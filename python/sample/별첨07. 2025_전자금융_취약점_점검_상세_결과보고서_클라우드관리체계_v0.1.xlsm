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lms\Desktop\템플릿 프로젝트 2\이호설\취약점 진단 결과보고서\2. 전자\"/>
    </mc:Choice>
  </mc:AlternateContent>
  <xr:revisionPtr revIDLastSave="0" documentId="13_ncr:1_{5E7865C2-EDBA-446F-A864-7270E2A06326}" xr6:coauthVersionLast="47" xr6:coauthVersionMax="47" xr10:uidLastSave="{00000000-0000-0000-0000-000000000000}"/>
  <bookViews>
    <workbookView xWindow="-120" yWindow="-120" windowWidth="29040" windowHeight="15840" tabRatio="868" xr2:uid="{00000000-000D-0000-FFFF-FFFF00000000}"/>
  </bookViews>
  <sheets>
    <sheet name="#삭제. 설명서" sheetId="95" r:id="rId1"/>
    <sheet name="#숨김. 클라우드관리체계 보안 가이드" sheetId="73" r:id="rId2"/>
    <sheet name="#숨김. 위협목록" sheetId="96" r:id="rId3"/>
    <sheet name="표지" sheetId="79" r:id="rId4"/>
    <sheet name="개정이력" sheetId="81" r:id="rId5"/>
    <sheet name="개요" sheetId="88" r:id="rId6"/>
    <sheet name="점검대상" sheetId="66" r:id="rId7"/>
    <sheet name="보안수준 통계" sheetId="69" r:id="rId8"/>
    <sheet name="요약 통계" sheetId="67" r:id="rId9"/>
    <sheet name="#삭제. 항목별 취약 시스템" sheetId="68" r:id="rId10"/>
    <sheet name="#숨김. 전년도 점검 결과" sheetId="70" r:id="rId11"/>
    <sheet name="결과 비교" sheetId="71" r:id="rId12"/>
    <sheet name="#삭제. 결과가져오기" sheetId="83" r:id="rId13"/>
    <sheet name="통합 점검결과" sheetId="84" r:id="rId14"/>
    <sheet name="클라우드관리체계(샘플)" sheetId="74" r:id="rId15"/>
    <sheet name="END" sheetId="78" state="hidden" r:id="rId16"/>
  </sheets>
  <externalReferences>
    <externalReference r:id="rId17"/>
  </externalReferences>
  <definedNames>
    <definedName name="_001전체이행V점수" comment="AH열 관련 indirect-&gt;수정후V">INDIRECT("'05.취약점 분석평가 (진단결과_통합)'!$V$6:$V$"&amp;"1048576")</definedName>
    <definedName name="_001전체최초T점수" comment="AF열 관련 indirect-&gt;수정후T">INDIRECT("'05.취약점 분석평가 (진단결과_통합)'!$T$6:$T$"&amp;"1048576")</definedName>
    <definedName name="_002최초U점수" comment="AG열 관련 indirect-&gt;수정후U">INDIRECT("'05.취약점 분석평가 (진단결과_통합)'!$U$6:$U$"&amp;"1048576")</definedName>
    <definedName name="_003이행W점수" comment="AI열 관련 indirect-&gt;수정후W">INDIRECT("'05.취약점 분석평가 (진단결과_통합)'!$W$6:$W$"&amp;"1048576")</definedName>
    <definedName name="_004호스트명A확인" comment="호스트명확인">INDIRECT("'05.취약점 분석평가 (진단결과_통합)'!$A$6:$A$"&amp;"1048576")</definedName>
    <definedName name="_005구분E확인" comment="구분확인">INDIRECT("'05.취약점 분석평가 (진단결과_통합)'!$E$6:$E$"&amp;"1048576")</definedName>
    <definedName name="_006호스트넘버B확인" comment="호스트넘버B확인">INDIRECT("'05.취약점 분석평가 (진단결과_통합)'!$B$6:$B$"&amp;"1048576")</definedName>
    <definedName name="_007최초I진단결과" comment="최초진단결과">INDIRECT("'05.취약점 분석평가 (진단결과_통합)'!$I$6:$I$"&amp;"1048576")</definedName>
    <definedName name="_008이행K진단결과" comment="이행진단결과">INDIRECT("'05.취약점 분석평가 (진단결과_통합)'!$K$6:$K$"&amp;"1048576")</definedName>
    <definedName name="_xlnm._FilterDatabase" localSheetId="12" hidden="1">'#삭제. 결과가져오기'!$A$6:$N$26</definedName>
    <definedName name="_xlnm._FilterDatabase" localSheetId="0" hidden="1">'#삭제. 설명서'!$B$80:$O$100</definedName>
    <definedName name="_xlnm._FilterDatabase" localSheetId="1" hidden="1">'#숨김. 클라우드관리체계 보안 가이드'!$A$5:$AA$25</definedName>
    <definedName name="_xlnm._FilterDatabase" localSheetId="8" hidden="1">'요약 통계'!$A$5:$O$26</definedName>
    <definedName name="_xlnm._FilterDatabase" localSheetId="14" hidden="1">'클라우드관리체계(샘플)'!$A$18:$R$38</definedName>
    <definedName name="_xlnm._FilterDatabase" localSheetId="13" hidden="1">'통합 점검결과'!$A$5:$P$5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_xlnm.Print_Area" localSheetId="12">'#삭제. 결과가져오기'!$A$1:$N$26</definedName>
    <definedName name="_xlnm.Print_Area" localSheetId="0">'#삭제. 설명서'!$A$1:$P$101</definedName>
    <definedName name="_xlnm.Print_Area" localSheetId="9">'#삭제. 항목별 취약 시스템'!$A$1:$D$25</definedName>
    <definedName name="_xlnm.Print_Area" localSheetId="2">'#숨김. 위협목록'!$A$1:$M$96</definedName>
    <definedName name="_xlnm.Print_Area" localSheetId="10">'#숨김. 전년도 점검 결과'!$A$1:$N$26</definedName>
    <definedName name="_xlnm.Print_Area" localSheetId="1">'#숨김. 클라우드관리체계 보안 가이드'!$A$1:$AA$25</definedName>
    <definedName name="_xlnm.Print_Area" localSheetId="5">개요!$A$1:$Q$65</definedName>
    <definedName name="_xlnm.Print_Area" localSheetId="4">개정이력!$A$1:$Q$44</definedName>
    <definedName name="_xlnm.Print_Area" localSheetId="11">'결과 비교'!$A$1:$N$26</definedName>
    <definedName name="_xlnm.Print_Area" localSheetId="7">'보안수준 통계'!$A$1:$J$44</definedName>
    <definedName name="_xlnm.Print_Area" localSheetId="8">'요약 통계'!$A$1:$N$26</definedName>
    <definedName name="_xlnm.Print_Area" localSheetId="6">점검대상!$A$1:$L$29</definedName>
    <definedName name="_xlnm.Print_Area" localSheetId="14">'클라우드관리체계(샘플)'!$A$1:$R$38</definedName>
    <definedName name="_xlnm.Print_Area" localSheetId="13">'통합 점검결과'!$A$1:$P$6</definedName>
    <definedName name="_xlnm.Print_Area" localSheetId="3">표지!$A$1:$Q$54</definedName>
    <definedName name="_xlnm.Print_Titles" localSheetId="2">'#숨김. 위협목록'!$1:$2</definedName>
    <definedName name="_xlnm.Print_Titles" localSheetId="8">'요약 통계'!$A:$C</definedName>
    <definedName name="ㅁㅁ" hidden="1">REPT(LOCAL_YEAR_FORMAT,4)&amp;LOCAL_DATE_SEPARATOR&amp;REPT(LOCAL_MONTH_FORMAT,2)&amp;LOCAL_DATE_SEPARATOR&amp;REPT(LOCAL_DAY_FORMAT,2)&amp;" "&amp;REPT(LOCAL_HOUR_FORMAT,2)&amp;LOCAL_TIME_SEPARATOR&amp;REPT(LOCAL_MINUTE_FORMAT,2)&amp;LOCAL_TIME_SEPARATOR&amp;REPT([0]!LOCAL_SECOND_FORMAT,2)</definedName>
    <definedName name="ㅁㅁㅁㅁ">'[1]#정보보호점검항목'!#REF!</definedName>
    <definedName name="이력관리팀">" "</definedName>
    <definedName name="ㅠ1">'[1]#정보보호점검항목'!#REF!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74" l="1"/>
  <c r="A10" i="74"/>
  <c r="A11" i="74"/>
  <c r="D10" i="74"/>
  <c r="D11" i="74"/>
  <c r="C12" i="69"/>
  <c r="E12" i="69"/>
  <c r="F12" i="69"/>
  <c r="G12" i="69"/>
  <c r="D12" i="69" s="1"/>
  <c r="C13" i="69"/>
  <c r="E13" i="69"/>
  <c r="F13" i="69"/>
  <c r="G13" i="69"/>
  <c r="D13" i="69" s="1"/>
  <c r="I96" i="96"/>
  <c r="H96" i="96"/>
  <c r="I95" i="96"/>
  <c r="H95" i="96"/>
  <c r="J95" i="96" s="1"/>
  <c r="I94" i="96"/>
  <c r="H94" i="96"/>
  <c r="J94" i="96" s="1"/>
  <c r="I93" i="96"/>
  <c r="H93" i="96"/>
  <c r="J93" i="96" s="1"/>
  <c r="I92" i="96"/>
  <c r="H92" i="96"/>
  <c r="J92" i="96" s="1"/>
  <c r="I91" i="96"/>
  <c r="H91" i="96"/>
  <c r="J91" i="96" s="1"/>
  <c r="I90" i="96"/>
  <c r="H90" i="96"/>
  <c r="J90" i="96" s="1"/>
  <c r="K90" i="96" s="1"/>
  <c r="I89" i="96"/>
  <c r="H89" i="96"/>
  <c r="I88" i="96"/>
  <c r="H88" i="96"/>
  <c r="I87" i="96"/>
  <c r="H87" i="96"/>
  <c r="L86" i="96"/>
  <c r="K86" i="96"/>
  <c r="L85" i="96"/>
  <c r="K85" i="96"/>
  <c r="I84" i="96"/>
  <c r="H84" i="96"/>
  <c r="J84" i="96" s="1"/>
  <c r="K84" i="96" s="1"/>
  <c r="I83" i="96"/>
  <c r="H83" i="96"/>
  <c r="J83" i="96" s="1"/>
  <c r="I82" i="96"/>
  <c r="H82" i="96"/>
  <c r="I81" i="96"/>
  <c r="H81" i="96"/>
  <c r="I80" i="96"/>
  <c r="H80" i="96"/>
  <c r="J79" i="96"/>
  <c r="L79" i="96" s="1"/>
  <c r="I79" i="96"/>
  <c r="H79" i="96"/>
  <c r="I78" i="96"/>
  <c r="H78" i="96"/>
  <c r="I77" i="96"/>
  <c r="H77" i="96"/>
  <c r="J77" i="96" s="1"/>
  <c r="J76" i="96"/>
  <c r="L76" i="96" s="1"/>
  <c r="I76" i="96"/>
  <c r="H76" i="96"/>
  <c r="I75" i="96"/>
  <c r="H75" i="96"/>
  <c r="J75" i="96" s="1"/>
  <c r="I74" i="96"/>
  <c r="H74" i="96"/>
  <c r="I73" i="96"/>
  <c r="H73" i="96"/>
  <c r="I72" i="96"/>
  <c r="H72" i="96"/>
  <c r="J71" i="96"/>
  <c r="L71" i="96" s="1"/>
  <c r="I71" i="96"/>
  <c r="H71" i="96"/>
  <c r="L70" i="96"/>
  <c r="K70" i="96"/>
  <c r="L69" i="96"/>
  <c r="K69" i="96"/>
  <c r="L68" i="96"/>
  <c r="K68" i="96"/>
  <c r="L67" i="96"/>
  <c r="K67" i="96"/>
  <c r="L66" i="96"/>
  <c r="K66" i="96"/>
  <c r="L65" i="96"/>
  <c r="K65" i="96"/>
  <c r="L64" i="96"/>
  <c r="K64" i="96"/>
  <c r="L63" i="96"/>
  <c r="K63" i="96"/>
  <c r="L62" i="96"/>
  <c r="K62" i="96"/>
  <c r="L61" i="96"/>
  <c r="K61" i="96"/>
  <c r="I60" i="96"/>
  <c r="H60" i="96"/>
  <c r="I59" i="96"/>
  <c r="H59" i="96"/>
  <c r="J59" i="96" s="1"/>
  <c r="I58" i="96"/>
  <c r="H58" i="96"/>
  <c r="I57" i="96"/>
  <c r="H57" i="96"/>
  <c r="J57" i="96" s="1"/>
  <c r="I56" i="96"/>
  <c r="H56" i="96"/>
  <c r="J56" i="96" s="1"/>
  <c r="L55" i="96"/>
  <c r="J55" i="96"/>
  <c r="K55" i="96" s="1"/>
  <c r="I55" i="96"/>
  <c r="H55" i="96"/>
  <c r="I54" i="96"/>
  <c r="J54" i="96" s="1"/>
  <c r="K54" i="96" s="1"/>
  <c r="H54" i="96"/>
  <c r="I53" i="96"/>
  <c r="H53" i="96"/>
  <c r="J53" i="96" s="1"/>
  <c r="I52" i="96"/>
  <c r="J52" i="96" s="1"/>
  <c r="H52" i="96"/>
  <c r="I51" i="96"/>
  <c r="H51" i="96"/>
  <c r="J51" i="96" s="1"/>
  <c r="I50" i="96"/>
  <c r="H50" i="96"/>
  <c r="I49" i="96"/>
  <c r="J49" i="96" s="1"/>
  <c r="H49" i="96"/>
  <c r="I48" i="96"/>
  <c r="H48" i="96"/>
  <c r="J48" i="96" s="1"/>
  <c r="I47" i="96"/>
  <c r="H47" i="96"/>
  <c r="J47" i="96" s="1"/>
  <c r="J46" i="96"/>
  <c r="L46" i="96" s="1"/>
  <c r="I46" i="96"/>
  <c r="H46" i="96"/>
  <c r="I45" i="96"/>
  <c r="H45" i="96"/>
  <c r="J45" i="96" s="1"/>
  <c r="I44" i="96"/>
  <c r="H44" i="96"/>
  <c r="I43" i="96"/>
  <c r="H43" i="96"/>
  <c r="J43" i="96" s="1"/>
  <c r="I42" i="96"/>
  <c r="H42" i="96"/>
  <c r="J42" i="96" s="1"/>
  <c r="J41" i="96"/>
  <c r="L41" i="96" s="1"/>
  <c r="I41" i="96"/>
  <c r="H41" i="96"/>
  <c r="I40" i="96"/>
  <c r="H40" i="96"/>
  <c r="J40" i="96" s="1"/>
  <c r="I39" i="96"/>
  <c r="H39" i="96"/>
  <c r="J39" i="96" s="1"/>
  <c r="I38" i="96"/>
  <c r="H38" i="96"/>
  <c r="J38" i="96" s="1"/>
  <c r="L38" i="96" s="1"/>
  <c r="I37" i="96"/>
  <c r="H37" i="96"/>
  <c r="I36" i="96"/>
  <c r="H36" i="96"/>
  <c r="L35" i="96"/>
  <c r="K35" i="96"/>
  <c r="I34" i="96"/>
  <c r="J34" i="96" s="1"/>
  <c r="H34" i="96"/>
  <c r="I33" i="96"/>
  <c r="H33" i="96"/>
  <c r="J33" i="96" s="1"/>
  <c r="I32" i="96"/>
  <c r="H32" i="96"/>
  <c r="J32" i="96" s="1"/>
  <c r="J31" i="96"/>
  <c r="L31" i="96" s="1"/>
  <c r="I31" i="96"/>
  <c r="H31" i="96"/>
  <c r="I30" i="96"/>
  <c r="H30" i="96"/>
  <c r="J30" i="96" s="1"/>
  <c r="I29" i="96"/>
  <c r="J29" i="96" s="1"/>
  <c r="H29" i="96"/>
  <c r="I28" i="96"/>
  <c r="H28" i="96"/>
  <c r="J28" i="96" s="1"/>
  <c r="L27" i="96"/>
  <c r="K27" i="96"/>
  <c r="L26" i="96"/>
  <c r="K26" i="96"/>
  <c r="L25" i="96"/>
  <c r="K25" i="96"/>
  <c r="L24" i="96"/>
  <c r="K24" i="96"/>
  <c r="L23" i="96"/>
  <c r="K23" i="96"/>
  <c r="L22" i="96"/>
  <c r="K22" i="96"/>
  <c r="L21" i="96"/>
  <c r="K21" i="96"/>
  <c r="L20" i="96"/>
  <c r="K20" i="96"/>
  <c r="L19" i="96"/>
  <c r="K19" i="96"/>
  <c r="L18" i="96"/>
  <c r="K18" i="96"/>
  <c r="L17" i="96"/>
  <c r="K17" i="96"/>
  <c r="L16" i="96"/>
  <c r="K16" i="96"/>
  <c r="L15" i="96"/>
  <c r="K15" i="96"/>
  <c r="L14" i="96"/>
  <c r="K14" i="96"/>
  <c r="L13" i="96"/>
  <c r="K13" i="96"/>
  <c r="I12" i="96"/>
  <c r="H12" i="96"/>
  <c r="I11" i="96"/>
  <c r="H11" i="96"/>
  <c r="J11" i="96" s="1"/>
  <c r="I10" i="96"/>
  <c r="H10" i="96"/>
  <c r="J10" i="96" s="1"/>
  <c r="I9" i="96"/>
  <c r="H9" i="96"/>
  <c r="J9" i="96" s="1"/>
  <c r="I8" i="96"/>
  <c r="H8" i="96"/>
  <c r="J7" i="96"/>
  <c r="K7" i="96" s="1"/>
  <c r="I7" i="96"/>
  <c r="H7" i="96"/>
  <c r="I6" i="96"/>
  <c r="J6" i="96" s="1"/>
  <c r="L6" i="96" s="1"/>
  <c r="H6" i="96"/>
  <c r="I5" i="96"/>
  <c r="H5" i="96"/>
  <c r="J5" i="96" s="1"/>
  <c r="I4" i="96"/>
  <c r="J4" i="96" s="1"/>
  <c r="H4" i="96"/>
  <c r="I3" i="96"/>
  <c r="H3" i="96"/>
  <c r="J3" i="96" s="1"/>
  <c r="A41" i="69"/>
  <c r="A42" i="69"/>
  <c r="A43" i="69"/>
  <c r="L9" i="96" l="1"/>
  <c r="K9" i="96"/>
  <c r="L93" i="96"/>
  <c r="K93" i="96"/>
  <c r="K39" i="96"/>
  <c r="L39" i="96"/>
  <c r="L34" i="96"/>
  <c r="K34" i="96"/>
  <c r="L49" i="96"/>
  <c r="K49" i="96"/>
  <c r="K91" i="96"/>
  <c r="L91" i="96"/>
  <c r="L57" i="96"/>
  <c r="K57" i="96"/>
  <c r="K32" i="96"/>
  <c r="L32" i="96"/>
  <c r="K47" i="96"/>
  <c r="L47" i="96"/>
  <c r="K77" i="96"/>
  <c r="L77" i="96"/>
  <c r="K41" i="96"/>
  <c r="J60" i="96"/>
  <c r="K71" i="96"/>
  <c r="J78" i="96"/>
  <c r="L78" i="96" s="1"/>
  <c r="J81" i="96"/>
  <c r="J88" i="96"/>
  <c r="J8" i="96"/>
  <c r="J36" i="96"/>
  <c r="J72" i="96"/>
  <c r="J89" i="96"/>
  <c r="L7" i="96"/>
  <c r="J37" i="96"/>
  <c r="L37" i="96" s="1"/>
  <c r="J82" i="96"/>
  <c r="J58" i="96"/>
  <c r="K58" i="96" s="1"/>
  <c r="J73" i="96"/>
  <c r="J12" i="96"/>
  <c r="J74" i="96"/>
  <c r="K74" i="96" s="1"/>
  <c r="K79" i="96"/>
  <c r="J87" i="96"/>
  <c r="K87" i="96" s="1"/>
  <c r="J96" i="96"/>
  <c r="K96" i="96" s="1"/>
  <c r="J44" i="96"/>
  <c r="J50" i="96"/>
  <c r="L50" i="96" s="1"/>
  <c r="J80" i="96"/>
  <c r="L92" i="96"/>
  <c r="K92" i="96"/>
  <c r="L28" i="96"/>
  <c r="K28" i="96"/>
  <c r="L40" i="96"/>
  <c r="K40" i="96"/>
  <c r="K43" i="96"/>
  <c r="L43" i="96"/>
  <c r="K52" i="96"/>
  <c r="L52" i="96"/>
  <c r="L58" i="96"/>
  <c r="K73" i="96"/>
  <c r="L73" i="96"/>
  <c r="K95" i="96"/>
  <c r="L95" i="96"/>
  <c r="K12" i="96"/>
  <c r="L12" i="96"/>
  <c r="L53" i="96"/>
  <c r="K53" i="96"/>
  <c r="L83" i="96"/>
  <c r="K83" i="96"/>
  <c r="L87" i="96"/>
  <c r="K56" i="96"/>
  <c r="L56" i="96"/>
  <c r="K29" i="96"/>
  <c r="L29" i="96"/>
  <c r="K50" i="96"/>
  <c r="L80" i="96"/>
  <c r="K80" i="96"/>
  <c r="L75" i="96"/>
  <c r="K75" i="96"/>
  <c r="K82" i="96"/>
  <c r="L82" i="96"/>
  <c r="L3" i="96"/>
  <c r="K3" i="96"/>
  <c r="K59" i="96"/>
  <c r="L59" i="96"/>
  <c r="L10" i="96"/>
  <c r="K10" i="96"/>
  <c r="L30" i="96"/>
  <c r="K30" i="96"/>
  <c r="L45" i="96"/>
  <c r="K45" i="96"/>
  <c r="K78" i="96"/>
  <c r="K81" i="96"/>
  <c r="L81" i="96"/>
  <c r="K88" i="96"/>
  <c r="L88" i="96"/>
  <c r="L94" i="96"/>
  <c r="K94" i="96"/>
  <c r="K44" i="96"/>
  <c r="L44" i="96"/>
  <c r="L4" i="96"/>
  <c r="K4" i="96"/>
  <c r="L5" i="96"/>
  <c r="K5" i="96"/>
  <c r="L33" i="96"/>
  <c r="K33" i="96"/>
  <c r="L48" i="96"/>
  <c r="K48" i="96"/>
  <c r="L51" i="96"/>
  <c r="K51" i="96"/>
  <c r="K60" i="96"/>
  <c r="L60" i="96"/>
  <c r="K8" i="96"/>
  <c r="L8" i="96"/>
  <c r="K11" i="96"/>
  <c r="L11" i="96"/>
  <c r="K36" i="96"/>
  <c r="L36" i="96"/>
  <c r="L42" i="96"/>
  <c r="K42" i="96"/>
  <c r="L72" i="96"/>
  <c r="K72" i="96"/>
  <c r="L89" i="96"/>
  <c r="K89" i="96"/>
  <c r="K31" i="96"/>
  <c r="K6" i="96"/>
  <c r="K46" i="96"/>
  <c r="K38" i="96"/>
  <c r="K76" i="96"/>
  <c r="L54" i="96"/>
  <c r="L84" i="96"/>
  <c r="L90" i="96"/>
  <c r="L96" i="96" l="1"/>
  <c r="K37" i="96"/>
  <c r="L74" i="96"/>
  <c r="K8" i="66"/>
  <c r="A5" i="74"/>
  <c r="E26" i="71"/>
  <c r="E26" i="70"/>
  <c r="E26" i="67"/>
  <c r="A29" i="66"/>
  <c r="A28" i="66"/>
  <c r="A27" i="66"/>
  <c r="A26" i="66"/>
  <c r="A25" i="66"/>
  <c r="A24" i="66"/>
  <c r="A23" i="66"/>
  <c r="A22" i="66"/>
  <c r="A21" i="66"/>
  <c r="A20" i="66"/>
  <c r="A19" i="66"/>
  <c r="A18" i="66"/>
  <c r="A17" i="66"/>
  <c r="A16" i="66"/>
  <c r="A15" i="66"/>
  <c r="A14" i="66"/>
  <c r="A13" i="66"/>
  <c r="A12" i="66"/>
  <c r="A11" i="66"/>
  <c r="A10" i="66"/>
  <c r="A9" i="66"/>
  <c r="A8" i="66"/>
  <c r="A7" i="66"/>
  <c r="I5" i="74" l="1"/>
  <c r="K5" i="74"/>
  <c r="C5" i="74"/>
  <c r="E5" i="74"/>
  <c r="G5" i="74"/>
  <c r="L32" i="70"/>
  <c r="N40" i="70" l="1"/>
  <c r="M40" i="70"/>
  <c r="L40" i="70"/>
  <c r="N39" i="70"/>
  <c r="M39" i="70"/>
  <c r="L39" i="70"/>
  <c r="N38" i="70"/>
  <c r="M38" i="70"/>
  <c r="L38" i="70"/>
  <c r="N37" i="70"/>
  <c r="M37" i="70"/>
  <c r="L37" i="70"/>
  <c r="N36" i="70"/>
  <c r="M36" i="70"/>
  <c r="L36" i="70"/>
  <c r="N35" i="70"/>
  <c r="M35" i="70"/>
  <c r="L35" i="70"/>
  <c r="N34" i="70"/>
  <c r="M34" i="70"/>
  <c r="L34" i="70"/>
  <c r="N33" i="70"/>
  <c r="M33" i="70"/>
  <c r="L33" i="70"/>
  <c r="N32" i="70"/>
  <c r="M32" i="70"/>
  <c r="N30" i="70"/>
  <c r="M30" i="70"/>
  <c r="L30" i="70"/>
  <c r="L29" i="70"/>
  <c r="M29" i="70"/>
  <c r="N29" i="70"/>
  <c r="N28" i="70"/>
  <c r="M28" i="70"/>
  <c r="L28" i="70"/>
  <c r="N26" i="70"/>
  <c r="M26" i="70"/>
  <c r="L26" i="70"/>
  <c r="J40" i="70" l="1"/>
  <c r="J35" i="70"/>
  <c r="J38" i="70"/>
  <c r="J32" i="70"/>
  <c r="J29" i="70"/>
  <c r="J39" i="70"/>
  <c r="J28" i="70"/>
  <c r="R2" i="74"/>
  <c r="J33" i="70" l="1"/>
  <c r="J34" i="70" l="1"/>
  <c r="J37" i="70"/>
  <c r="J30" i="70"/>
  <c r="J36" i="70"/>
  <c r="M4" i="67"/>
  <c r="L4" i="67"/>
  <c r="N4" i="67"/>
  <c r="M4" i="71" l="1"/>
  <c r="M4" i="70"/>
  <c r="N4" i="71"/>
  <c r="N4" i="70"/>
  <c r="L4" i="71"/>
  <c r="L4" i="70"/>
  <c r="K4" i="70"/>
  <c r="A13" i="74"/>
  <c r="A12" i="74"/>
  <c r="A6" i="84"/>
  <c r="K7" i="66"/>
  <c r="N5" i="74" s="1"/>
  <c r="F6" i="70"/>
  <c r="O6" i="84" l="1"/>
  <c r="I6" i="84"/>
  <c r="E11" i="69" s="1"/>
  <c r="L6" i="84"/>
  <c r="J6" i="84"/>
  <c r="K6" i="84"/>
  <c r="E6" i="84"/>
  <c r="C6" i="84"/>
  <c r="D6" i="84"/>
  <c r="F6" i="84"/>
  <c r="G6" i="84"/>
  <c r="H6" i="84"/>
  <c r="B6" i="84"/>
  <c r="H41" i="69" s="1"/>
  <c r="D9" i="74"/>
  <c r="D13" i="74"/>
  <c r="D12" i="74"/>
  <c r="C5" i="69" a="1"/>
  <c r="C5" i="69" s="1"/>
  <c r="C14" i="69"/>
  <c r="N19" i="74" l="1" a="1"/>
  <c r="N19" i="74" s="1"/>
  <c r="R19" i="74" a="1"/>
  <c r="R19" i="74" s="1"/>
  <c r="C41" i="69"/>
  <c r="E41" i="69"/>
  <c r="N20" i="74" a="1"/>
  <c r="N20" i="74" s="1"/>
  <c r="D14" i="74"/>
  <c r="N34" i="74" a="1"/>
  <c r="N34" i="74" s="1"/>
  <c r="N26" i="74" a="1"/>
  <c r="N26" i="74" s="1"/>
  <c r="N31" i="74" a="1"/>
  <c r="N31" i="74" s="1"/>
  <c r="N23" i="74" a="1"/>
  <c r="N23" i="74" s="1"/>
  <c r="N37" i="74" a="1"/>
  <c r="N37" i="74" s="1"/>
  <c r="N29" i="74" a="1"/>
  <c r="N29" i="74" s="1"/>
  <c r="N21" i="74" a="1"/>
  <c r="N21" i="74" s="1"/>
  <c r="N35" i="74" a="1"/>
  <c r="N35" i="74" s="1"/>
  <c r="N32" i="74" a="1"/>
  <c r="N32" i="74" s="1"/>
  <c r="N27" i="74" a="1"/>
  <c r="N27" i="74" s="1"/>
  <c r="N24" i="74" a="1"/>
  <c r="N24" i="74" s="1"/>
  <c r="N38" i="74" a="1"/>
  <c r="N38" i="74" s="1"/>
  <c r="N30" i="74" a="1"/>
  <c r="N30" i="74" s="1"/>
  <c r="N22" i="74" a="1"/>
  <c r="N22" i="74" s="1"/>
  <c r="N33" i="74" a="1"/>
  <c r="N33" i="74" s="1"/>
  <c r="N36" i="74" a="1"/>
  <c r="N36" i="74" s="1"/>
  <c r="N25" i="74" a="1"/>
  <c r="N25" i="74" s="1"/>
  <c r="N28" i="74" a="1"/>
  <c r="N28" i="74" s="1"/>
  <c r="M29" i="74" a="1"/>
  <c r="M29" i="74" s="1"/>
  <c r="L29" i="74" s="1"/>
  <c r="M38" i="74" a="1"/>
  <c r="M38" i="74" s="1"/>
  <c r="L38" i="74" s="1"/>
  <c r="R26" i="74" a="1"/>
  <c r="R26" i="74" s="1"/>
  <c r="R35" i="74" a="1"/>
  <c r="R35" i="74" s="1"/>
  <c r="M31" i="74" a="1"/>
  <c r="M31" i="74" s="1"/>
  <c r="L31" i="74" s="1"/>
  <c r="I11" i="74" s="1"/>
  <c r="K11" i="74" s="1"/>
  <c r="M24" i="74" a="1"/>
  <c r="M24" i="74" s="1"/>
  <c r="L24" i="74" s="1"/>
  <c r="I10" i="74" s="1"/>
  <c r="K10" i="74" s="1"/>
  <c r="R21" i="74" a="1"/>
  <c r="R21" i="74" s="1"/>
  <c r="M26" i="74" a="1"/>
  <c r="M26" i="74" s="1"/>
  <c r="L26" i="74" s="1"/>
  <c r="R38" i="74" a="1"/>
  <c r="R38" i="74" s="1"/>
  <c r="R31" i="74" a="1"/>
  <c r="R31" i="74" s="1"/>
  <c r="M20" i="74" a="1"/>
  <c r="M20" i="74" s="1"/>
  <c r="L20" i="74" s="1"/>
  <c r="M34" i="74" a="1"/>
  <c r="M34" i="74" s="1"/>
  <c r="L34" i="74" s="1"/>
  <c r="M27" i="74" a="1"/>
  <c r="M27" i="74" s="1"/>
  <c r="L27" i="74" s="1"/>
  <c r="R29" i="74" a="1"/>
  <c r="R29" i="74" s="1"/>
  <c r="R22" i="74" a="1"/>
  <c r="R22" i="74" s="1"/>
  <c r="M37" i="74" a="1"/>
  <c r="M37" i="74" s="1"/>
  <c r="L37" i="74" s="1"/>
  <c r="R36" i="74" a="1"/>
  <c r="R36" i="74" s="1"/>
  <c r="M22" i="74" a="1"/>
  <c r="M22" i="74" s="1"/>
  <c r="L22" i="74" s="1"/>
  <c r="R25" i="74" a="1"/>
  <c r="R25" i="74" s="1"/>
  <c r="R34" i="74" a="1"/>
  <c r="R34" i="74" s="1"/>
  <c r="R27" i="74" a="1"/>
  <c r="R27" i="74" s="1"/>
  <c r="M25" i="74" a="1"/>
  <c r="M25" i="74" s="1"/>
  <c r="L25" i="74" s="1"/>
  <c r="R32" i="74" a="1"/>
  <c r="R32" i="74" s="1"/>
  <c r="M32" i="74" a="1"/>
  <c r="M32" i="74" s="1"/>
  <c r="L32" i="74" s="1"/>
  <c r="R37" i="74" a="1"/>
  <c r="R37" i="74" s="1"/>
  <c r="M35" i="74" a="1"/>
  <c r="M35" i="74" s="1"/>
  <c r="L35" i="74" s="1"/>
  <c r="M21" i="74" a="1"/>
  <c r="M21" i="74" s="1"/>
  <c r="L21" i="74" s="1"/>
  <c r="M30" i="74" a="1"/>
  <c r="M30" i="74" s="1"/>
  <c r="L30" i="74" s="1"/>
  <c r="M23" i="74" a="1"/>
  <c r="M23" i="74" s="1"/>
  <c r="L23" i="74" s="1"/>
  <c r="R20" i="74" a="1"/>
  <c r="R20" i="74" s="1"/>
  <c r="R30" i="74" a="1"/>
  <c r="R30" i="74" s="1"/>
  <c r="R23" i="74" a="1"/>
  <c r="R23" i="74" s="1"/>
  <c r="M28" i="74" a="1"/>
  <c r="M28" i="74" s="1"/>
  <c r="L28" i="74" s="1"/>
  <c r="R28" i="74" a="1"/>
  <c r="R28" i="74" s="1"/>
  <c r="M33" i="74" a="1"/>
  <c r="M33" i="74" s="1"/>
  <c r="L33" i="74" s="1"/>
  <c r="R33" i="74" a="1"/>
  <c r="R33" i="74" s="1"/>
  <c r="M36" i="74" a="1"/>
  <c r="M36" i="74" s="1"/>
  <c r="L36" i="74" s="1"/>
  <c r="R24" i="74" a="1"/>
  <c r="R24" i="74" s="1"/>
  <c r="G15" i="69"/>
  <c r="E15" i="69"/>
  <c r="G14" i="69"/>
  <c r="D14" i="69" s="1"/>
  <c r="F14" i="69"/>
  <c r="E14" i="69"/>
  <c r="C11" i="69"/>
  <c r="H43" i="69"/>
  <c r="J43" i="69" s="1"/>
  <c r="I41" i="69"/>
  <c r="I42" i="69"/>
  <c r="H42" i="69"/>
  <c r="I43" i="69"/>
  <c r="F41" i="69"/>
  <c r="G41" i="69"/>
  <c r="D41" i="69" s="1"/>
  <c r="N19" i="67" a="1"/>
  <c r="N19" i="67" s="1"/>
  <c r="L14" i="67" a="1"/>
  <c r="L14" i="67" s="1"/>
  <c r="L24" i="67" a="1"/>
  <c r="L24" i="67" s="1"/>
  <c r="L16" i="67" a="1"/>
  <c r="L16" i="67" s="1"/>
  <c r="L9" i="67" a="1"/>
  <c r="L9" i="67" s="1"/>
  <c r="N23" i="67" a="1"/>
  <c r="N23" i="67" s="1"/>
  <c r="N18" i="67" a="1"/>
  <c r="N18" i="67" s="1"/>
  <c r="N7" i="67" a="1"/>
  <c r="N7" i="67" s="1"/>
  <c r="M25" i="67" a="1"/>
  <c r="M25" i="67" s="1"/>
  <c r="N10" i="67" a="1"/>
  <c r="N10" i="67" s="1"/>
  <c r="L8" i="67" a="1"/>
  <c r="L8" i="67" s="1"/>
  <c r="N20" i="67" a="1"/>
  <c r="N20" i="67" s="1"/>
  <c r="M11" i="67" a="1"/>
  <c r="M11" i="67" s="1"/>
  <c r="M22" i="67" a="1"/>
  <c r="M22" i="67" s="1"/>
  <c r="N15" i="67" a="1"/>
  <c r="N15" i="67" s="1"/>
  <c r="N17" i="67" a="1"/>
  <c r="N17" i="67" s="1"/>
  <c r="N12" i="67" a="1"/>
  <c r="N12" i="67" s="1"/>
  <c r="L11" i="67" a="1"/>
  <c r="L11" i="67" s="1"/>
  <c r="L22" i="67" a="1"/>
  <c r="L22" i="67" s="1"/>
  <c r="M13" i="67" a="1"/>
  <c r="M13" i="67" s="1"/>
  <c r="M14" i="67" a="1"/>
  <c r="M14" i="67" s="1"/>
  <c r="L19" i="67" a="1"/>
  <c r="L19" i="67" s="1"/>
  <c r="L10" i="67" a="1"/>
  <c r="L10" i="67" s="1"/>
  <c r="L23" i="67" a="1"/>
  <c r="L23" i="67" s="1"/>
  <c r="N14" i="67" a="1"/>
  <c r="N14" i="67" s="1"/>
  <c r="L25" i="67" a="1"/>
  <c r="L25" i="67" s="1"/>
  <c r="L12" i="67" a="1"/>
  <c r="L12" i="67" s="1"/>
  <c r="M24" i="67" a="1"/>
  <c r="M24" i="67" s="1"/>
  <c r="M7" i="67" a="1"/>
  <c r="M7" i="67" s="1"/>
  <c r="N11" i="67" a="1"/>
  <c r="N11" i="67" s="1"/>
  <c r="N25" i="67" a="1"/>
  <c r="N25" i="67" s="1"/>
  <c r="M10" i="67" a="1"/>
  <c r="M10" i="67" s="1"/>
  <c r="L7" i="67" a="1"/>
  <c r="L7" i="67" s="1"/>
  <c r="M19" i="67" a="1"/>
  <c r="M19" i="67" s="1"/>
  <c r="N21" i="67" a="1"/>
  <c r="N21" i="67" s="1"/>
  <c r="N9" i="67" a="1"/>
  <c r="N9" i="67" s="1"/>
  <c r="M21" i="67" a="1"/>
  <c r="M21" i="67" s="1"/>
  <c r="N16" i="67" a="1"/>
  <c r="N16" i="67" s="1"/>
  <c r="L13" i="67" a="1"/>
  <c r="L13" i="67" s="1"/>
  <c r="L21" i="67" a="1"/>
  <c r="L21" i="67" s="1"/>
  <c r="M23" i="67" a="1"/>
  <c r="M23" i="67" s="1"/>
  <c r="M18" i="67" a="1"/>
  <c r="M18" i="67" s="1"/>
  <c r="L20" i="67" a="1"/>
  <c r="L20" i="67" s="1"/>
  <c r="L15" i="67" a="1"/>
  <c r="L15" i="67" s="1"/>
  <c r="M9" i="67" a="1"/>
  <c r="M9" i="67" s="1"/>
  <c r="N8" i="67" a="1"/>
  <c r="N8" i="67" s="1"/>
  <c r="N22" i="67" a="1"/>
  <c r="N22" i="67" s="1"/>
  <c r="M8" i="67" a="1"/>
  <c r="M8" i="67" s="1"/>
  <c r="N13" i="67" a="1"/>
  <c r="N13" i="67" s="1"/>
  <c r="M20" i="67" a="1"/>
  <c r="M20" i="67" s="1"/>
  <c r="M15" i="67" a="1"/>
  <c r="M15" i="67" s="1"/>
  <c r="M12" i="67" a="1"/>
  <c r="M12" i="67" s="1"/>
  <c r="M16" i="67" a="1"/>
  <c r="M16" i="67" s="1"/>
  <c r="N24" i="67" a="1"/>
  <c r="N24" i="67" s="1"/>
  <c r="L17" i="67" a="1"/>
  <c r="L17" i="67" s="1"/>
  <c r="L18" i="67" a="1"/>
  <c r="L18" i="67" s="1"/>
  <c r="M17" i="67" a="1"/>
  <c r="M17" i="67" s="1"/>
  <c r="M6" i="67" a="1"/>
  <c r="M6" i="67" s="1"/>
  <c r="M19" i="74" a="1"/>
  <c r="M19" i="74" s="1"/>
  <c r="F15" i="69"/>
  <c r="F11" i="69"/>
  <c r="C15" i="69"/>
  <c r="D15" i="69" s="1"/>
  <c r="G11" i="69"/>
  <c r="G43" i="69"/>
  <c r="G42" i="69"/>
  <c r="F42" i="69"/>
  <c r="F43" i="69"/>
  <c r="C42" i="69"/>
  <c r="C43" i="69"/>
  <c r="N6" i="67" a="1"/>
  <c r="N6" i="67" s="1"/>
  <c r="E43" i="69"/>
  <c r="L6" i="67" a="1"/>
  <c r="L6" i="67" s="1"/>
  <c r="E42" i="69"/>
  <c r="F6" i="67"/>
  <c r="G11" i="74" l="1" a="1"/>
  <c r="G11" i="74" s="1"/>
  <c r="J10" i="74"/>
  <c r="H11" i="74" a="1"/>
  <c r="H11" i="74" s="1"/>
  <c r="E11" i="74" s="1"/>
  <c r="F10" i="74" a="1"/>
  <c r="F10" i="74" s="1"/>
  <c r="J11" i="74"/>
  <c r="F11" i="74" a="1"/>
  <c r="F11" i="74" s="1"/>
  <c r="H10" i="74" a="1"/>
  <c r="H10" i="74" s="1"/>
  <c r="E10" i="74" s="1"/>
  <c r="G10" i="74" a="1"/>
  <c r="G10" i="74" s="1"/>
  <c r="E16" i="69"/>
  <c r="D11" i="69"/>
  <c r="J9" i="74"/>
  <c r="F9" i="74" a="1"/>
  <c r="F9" i="74" s="1"/>
  <c r="F14" i="74" s="1"/>
  <c r="F13" i="74" a="1"/>
  <c r="F13" i="74" s="1"/>
  <c r="F12" i="74" a="1"/>
  <c r="F12" i="74" s="1"/>
  <c r="M28" i="67"/>
  <c r="M29" i="67"/>
  <c r="M26" i="67"/>
  <c r="M40" i="67"/>
  <c r="L40" i="67"/>
  <c r="L39" i="67"/>
  <c r="L38" i="67"/>
  <c r="L36" i="67"/>
  <c r="L26" i="67"/>
  <c r="L35" i="67"/>
  <c r="L30" i="67"/>
  <c r="L28" i="67"/>
  <c r="L37" i="67"/>
  <c r="N28" i="67"/>
  <c r="N29" i="67"/>
  <c r="N30" i="67"/>
  <c r="N26" i="67"/>
  <c r="G44" i="69"/>
  <c r="D16" i="69"/>
  <c r="H9" i="74" a="1"/>
  <c r="H9" i="74" s="1"/>
  <c r="E9" i="74" s="1"/>
  <c r="H12" i="74" a="1"/>
  <c r="H12" i="74" s="1"/>
  <c r="E12" i="74" s="1"/>
  <c r="H13" i="74" a="1"/>
  <c r="H13" i="74" s="1"/>
  <c r="E13" i="74" s="1"/>
  <c r="J41" i="69"/>
  <c r="G9" i="74" a="1"/>
  <c r="G9" i="74" s="1"/>
  <c r="J42" i="69"/>
  <c r="H44" i="69"/>
  <c r="I44" i="69"/>
  <c r="G13" i="74" a="1"/>
  <c r="G13" i="74" s="1"/>
  <c r="G12" i="74" a="1"/>
  <c r="G12" i="74" s="1"/>
  <c r="J13" i="74"/>
  <c r="L19" i="74"/>
  <c r="I9" i="74" s="1"/>
  <c r="K9" i="74" s="1"/>
  <c r="F16" i="69"/>
  <c r="M34" i="67"/>
  <c r="M33" i="67"/>
  <c r="M32" i="67"/>
  <c r="M30" i="67"/>
  <c r="M37" i="67"/>
  <c r="M36" i="67"/>
  <c r="M35" i="67"/>
  <c r="M39" i="67"/>
  <c r="M38" i="67"/>
  <c r="N38" i="67"/>
  <c r="N40" i="67"/>
  <c r="N39" i="67"/>
  <c r="N35" i="67"/>
  <c r="N37" i="67"/>
  <c r="N36" i="67"/>
  <c r="L32" i="67"/>
  <c r="L34" i="67"/>
  <c r="L33" i="67"/>
  <c r="N32" i="67"/>
  <c r="N34" i="67"/>
  <c r="N33" i="67"/>
  <c r="L29" i="67"/>
  <c r="G16" i="69"/>
  <c r="C16" i="69"/>
  <c r="D42" i="69"/>
  <c r="D43" i="69"/>
  <c r="C44" i="69"/>
  <c r="E44" i="69"/>
  <c r="F44" i="69"/>
  <c r="J28" i="67" l="1"/>
  <c r="H14" i="74"/>
  <c r="J44" i="69"/>
  <c r="G14" i="74"/>
  <c r="I12" i="74"/>
  <c r="K12" i="74" s="1"/>
  <c r="J12" i="74"/>
  <c r="I13" i="74"/>
  <c r="K13" i="74" s="1"/>
  <c r="E14" i="74"/>
  <c r="J32" i="67"/>
  <c r="J33" i="67"/>
  <c r="J34" i="67"/>
  <c r="J35" i="67"/>
  <c r="J39" i="67"/>
  <c r="J36" i="67"/>
  <c r="J40" i="67"/>
  <c r="J37" i="67"/>
  <c r="J30" i="67"/>
  <c r="D44" i="69"/>
  <c r="J29" i="67"/>
  <c r="J38" i="67"/>
  <c r="I14" i="74" l="1"/>
  <c r="J14" i="74"/>
  <c r="K14" i="74" l="1"/>
  <c r="P5" i="74" s="1"/>
  <c r="D14" i="68" l="1"/>
  <c r="N20" i="71"/>
  <c r="M25" i="71"/>
  <c r="N17" i="71"/>
  <c r="M21" i="71"/>
  <c r="N16" i="71"/>
  <c r="N25" i="71"/>
  <c r="M8" i="71"/>
  <c r="D16" i="68"/>
  <c r="D13" i="68"/>
  <c r="N15" i="71"/>
  <c r="D21" i="68"/>
  <c r="D7" i="68"/>
  <c r="D25" i="68"/>
  <c r="D9" i="68"/>
  <c r="D10" i="68"/>
  <c r="M22" i="71"/>
  <c r="M15" i="71"/>
  <c r="M23" i="71"/>
  <c r="M20" i="71"/>
  <c r="M18" i="71"/>
  <c r="M10" i="71"/>
  <c r="D15" i="68"/>
  <c r="N24" i="71"/>
  <c r="M6" i="71"/>
  <c r="N11" i="71"/>
  <c r="N12" i="71"/>
  <c r="N18" i="71"/>
  <c r="D24" i="68"/>
  <c r="D22" i="68"/>
  <c r="D17" i="68"/>
  <c r="N6" i="71"/>
  <c r="N9" i="71"/>
  <c r="N19" i="71"/>
  <c r="N13" i="71"/>
  <c r="D8" i="68"/>
  <c r="D18" i="68"/>
  <c r="M19" i="71"/>
  <c r="N23" i="71"/>
  <c r="D11" i="68"/>
  <c r="N22" i="71"/>
  <c r="N14" i="71"/>
  <c r="M24" i="71"/>
  <c r="N7" i="71"/>
  <c r="D6" i="68"/>
  <c r="M12" i="71"/>
  <c r="N8" i="71"/>
  <c r="M16" i="71"/>
  <c r="M14" i="71"/>
  <c r="N10" i="71"/>
  <c r="D20" i="68"/>
  <c r="D12" i="68"/>
  <c r="N21" i="71"/>
  <c r="M9" i="71"/>
  <c r="D23" i="68"/>
  <c r="M17" i="71"/>
  <c r="M7" i="71"/>
  <c r="M13" i="71"/>
  <c r="M11" i="71"/>
  <c r="D19" i="68"/>
  <c r="L20" i="71"/>
  <c r="L17" i="71"/>
  <c r="L11" i="71"/>
  <c r="L14" i="71"/>
  <c r="L23" i="71"/>
  <c r="L21" i="71"/>
  <c r="L24" i="71"/>
  <c r="L19" i="71"/>
  <c r="L10" i="71"/>
  <c r="L15" i="71"/>
  <c r="L9" i="71"/>
  <c r="L22" i="71"/>
  <c r="L8" i="71"/>
  <c r="L7" i="71"/>
  <c r="L18" i="71"/>
  <c r="L16" i="71"/>
  <c r="L12" i="71"/>
  <c r="L25" i="71"/>
  <c r="L13" i="71"/>
  <c r="L6" i="71"/>
  <c r="J17" i="71"/>
  <c r="J20" i="71"/>
  <c r="I19" i="70"/>
  <c r="F22" i="70"/>
  <c r="I12" i="67"/>
  <c r="F18" i="71"/>
  <c r="H18" i="71"/>
  <c r="F11" i="67"/>
  <c r="J9" i="67"/>
  <c r="K19" i="71"/>
  <c r="J7" i="67"/>
  <c r="H24" i="67"/>
  <c r="J20" i="70"/>
  <c r="J18" i="70"/>
  <c r="F13" i="71"/>
  <c r="F9" i="67"/>
  <c r="F14" i="70"/>
  <c r="I14" i="71"/>
  <c r="K9" i="71"/>
  <c r="J22" i="67"/>
  <c r="F17" i="71"/>
  <c r="K7" i="71"/>
  <c r="F9" i="71"/>
  <c r="F17" i="70"/>
  <c r="I8" i="67"/>
  <c r="H6" i="71"/>
  <c r="H15" i="71"/>
  <c r="J23" i="67"/>
  <c r="F20" i="67"/>
  <c r="I7" i="67"/>
  <c r="I22" i="71"/>
  <c r="K21" i="71"/>
  <c r="I9" i="67"/>
  <c r="F17" i="67"/>
  <c r="H14" i="70"/>
  <c r="J7" i="71"/>
  <c r="J24" i="70"/>
  <c r="F11" i="70"/>
  <c r="K15" i="71"/>
  <c r="H16" i="71"/>
  <c r="K10" i="71"/>
  <c r="I8" i="71"/>
  <c r="J11" i="70"/>
  <c r="F9" i="70"/>
  <c r="H19" i="71"/>
  <c r="F8" i="70"/>
  <c r="I13" i="67"/>
  <c r="H8" i="71"/>
  <c r="J24" i="71"/>
  <c r="F24" i="71"/>
  <c r="J16" i="67"/>
  <c r="J11" i="71"/>
  <c r="H13" i="67"/>
  <c r="H23" i="70"/>
  <c r="H16" i="70"/>
  <c r="I10" i="70"/>
  <c r="J14" i="67"/>
  <c r="H22" i="67"/>
  <c r="J13" i="71"/>
  <c r="I22" i="67"/>
  <c r="K6" i="71"/>
  <c r="H6" i="67"/>
  <c r="I21" i="67"/>
  <c r="K14" i="71"/>
  <c r="H10" i="67"/>
  <c r="J7" i="70"/>
  <c r="H25" i="71"/>
  <c r="F20" i="71"/>
  <c r="H13" i="70"/>
  <c r="H16" i="67"/>
  <c r="H15" i="67"/>
  <c r="F21" i="71"/>
  <c r="F16" i="71"/>
  <c r="K8" i="71"/>
  <c r="H21" i="67"/>
  <c r="H23" i="67"/>
  <c r="J18" i="71"/>
  <c r="J17" i="70"/>
  <c r="F24" i="70"/>
  <c r="H23" i="71"/>
  <c r="F24" i="67"/>
  <c r="H21" i="70"/>
  <c r="J19" i="70"/>
  <c r="J10" i="67"/>
  <c r="H7" i="67"/>
  <c r="I11" i="70"/>
  <c r="J14" i="70"/>
  <c r="H11" i="67"/>
  <c r="H21" i="71"/>
  <c r="I14" i="67"/>
  <c r="F10" i="71"/>
  <c r="F14" i="71"/>
  <c r="J18" i="67"/>
  <c r="K20" i="71"/>
  <c r="H11" i="70"/>
  <c r="F19" i="70"/>
  <c r="J9" i="71"/>
  <c r="H20" i="71"/>
  <c r="I12" i="71"/>
  <c r="F19" i="67"/>
  <c r="F15" i="71"/>
  <c r="I24" i="67"/>
  <c r="F21" i="67"/>
  <c r="J25" i="70"/>
  <c r="H6" i="70"/>
  <c r="H19" i="70"/>
  <c r="K25" i="71"/>
  <c r="F22" i="67"/>
  <c r="J23" i="70"/>
  <c r="I20" i="70"/>
  <c r="I17" i="67"/>
  <c r="J11" i="67"/>
  <c r="I13" i="70"/>
  <c r="I14" i="70"/>
  <c r="K22" i="71"/>
  <c r="H20" i="70"/>
  <c r="H18" i="67"/>
  <c r="I8" i="70"/>
  <c r="F18" i="70"/>
  <c r="I6" i="71"/>
  <c r="F11" i="71"/>
  <c r="J19" i="71"/>
  <c r="J12" i="70"/>
  <c r="H14" i="67"/>
  <c r="F19" i="71"/>
  <c r="H17" i="67"/>
  <c r="I9" i="70"/>
  <c r="I25" i="71"/>
  <c r="H19" i="67"/>
  <c r="H22" i="70"/>
  <c r="I11" i="67"/>
  <c r="I20" i="71"/>
  <c r="J8" i="70"/>
  <c r="I18" i="71"/>
  <c r="F22" i="71"/>
  <c r="J15" i="67"/>
  <c r="J20" i="67"/>
  <c r="H9" i="67"/>
  <c r="I12" i="70"/>
  <c r="H24" i="70"/>
  <c r="H13" i="71"/>
  <c r="J12" i="67"/>
  <c r="J21" i="71"/>
  <c r="I19" i="67"/>
  <c r="J16" i="70"/>
  <c r="F23" i="71"/>
  <c r="J17" i="67"/>
  <c r="J22" i="70"/>
  <c r="I11" i="71"/>
  <c r="H17" i="70"/>
  <c r="J12" i="71"/>
  <c r="J10" i="71"/>
  <c r="I25" i="70"/>
  <c r="F7" i="67"/>
  <c r="F25" i="67"/>
  <c r="J10" i="70"/>
  <c r="H20" i="67"/>
  <c r="F15" i="70"/>
  <c r="H14" i="71"/>
  <c r="H11" i="71"/>
  <c r="H12" i="71"/>
  <c r="H12" i="70"/>
  <c r="H25" i="70"/>
  <c r="I16" i="71"/>
  <c r="J13" i="67"/>
  <c r="F8" i="71"/>
  <c r="J9" i="70"/>
  <c r="J14" i="71"/>
  <c r="J6" i="70"/>
  <c r="I18" i="70"/>
  <c r="I24" i="70"/>
  <c r="J21" i="67"/>
  <c r="I6" i="67"/>
  <c r="I21" i="70"/>
  <c r="I23" i="67"/>
  <c r="H22" i="71"/>
  <c r="I7" i="71"/>
  <c r="I15" i="67"/>
  <c r="H17" i="71"/>
  <c r="I24" i="71"/>
  <c r="H10" i="70"/>
  <c r="I16" i="67"/>
  <c r="F18" i="67"/>
  <c r="I15" i="70"/>
  <c r="F14" i="67"/>
  <c r="I7" i="70"/>
  <c r="H10" i="71"/>
  <c r="F13" i="67"/>
  <c r="K24" i="71"/>
  <c r="J8" i="67"/>
  <c r="J25" i="67"/>
  <c r="K23" i="71"/>
  <c r="J16" i="71"/>
  <c r="I10" i="67"/>
  <c r="I22" i="70"/>
  <c r="I10" i="71"/>
  <c r="I9" i="71"/>
  <c r="F12" i="67"/>
  <c r="H25" i="67"/>
  <c r="F15" i="67"/>
  <c r="I23" i="70"/>
  <c r="F8" i="67"/>
  <c r="I6" i="70"/>
  <c r="F21" i="70"/>
  <c r="F13" i="70"/>
  <c r="F12" i="70"/>
  <c r="J6" i="71"/>
  <c r="K17" i="71"/>
  <c r="F10" i="67"/>
  <c r="I17" i="71"/>
  <c r="I16" i="70"/>
  <c r="H9" i="71"/>
  <c r="I18" i="67"/>
  <c r="I17" i="70"/>
  <c r="F16" i="67"/>
  <c r="H7" i="71"/>
  <c r="J6" i="67"/>
  <c r="I21" i="71"/>
  <c r="F7" i="70"/>
  <c r="F10" i="70"/>
  <c r="F16" i="70"/>
  <c r="F6" i="71"/>
  <c r="J19" i="67"/>
  <c r="J24" i="67"/>
  <c r="I13" i="71"/>
  <c r="J13" i="70"/>
  <c r="F23" i="70"/>
  <c r="H9" i="70"/>
  <c r="F20" i="70"/>
  <c r="K12" i="71"/>
  <c r="J21" i="70"/>
  <c r="H8" i="70"/>
  <c r="I25" i="67"/>
  <c r="H7" i="70"/>
  <c r="F12" i="71"/>
  <c r="J8" i="71"/>
  <c r="H12" i="67"/>
  <c r="I23" i="71"/>
  <c r="K11" i="71"/>
  <c r="J15" i="70"/>
  <c r="H18" i="70"/>
  <c r="H15" i="70"/>
  <c r="J22" i="71"/>
  <c r="K13" i="71"/>
  <c r="F25" i="71"/>
  <c r="K18" i="71"/>
  <c r="F23" i="67"/>
  <c r="K16" i="71"/>
  <c r="I20" i="67"/>
  <c r="I15" i="71"/>
  <c r="H24" i="71"/>
  <c r="J23" i="71"/>
  <c r="J25" i="71"/>
  <c r="F25" i="70"/>
  <c r="H8" i="67"/>
  <c r="L29" i="71" l="1"/>
  <c r="I12" i="69" a="1"/>
  <c r="I12" i="69" s="1"/>
  <c r="I13" i="69" a="1"/>
  <c r="I13" i="69" s="1"/>
  <c r="G21" i="71"/>
  <c r="G14" i="71"/>
  <c r="G12" i="71"/>
  <c r="G18" i="71"/>
  <c r="G20" i="71"/>
  <c r="G24" i="71"/>
  <c r="G22" i="71"/>
  <c r="G8" i="71"/>
  <c r="G11" i="71"/>
  <c r="G23" i="71"/>
  <c r="G13" i="71"/>
  <c r="G6" i="71"/>
  <c r="G10" i="67"/>
  <c r="G18" i="70"/>
  <c r="G21" i="70"/>
  <c r="G16" i="71"/>
  <c r="G17" i="71"/>
  <c r="G15" i="71"/>
  <c r="G10" i="71"/>
  <c r="G19" i="70"/>
  <c r="G10" i="70"/>
  <c r="G25" i="71"/>
  <c r="G9" i="71"/>
  <c r="G23" i="70"/>
  <c r="G9" i="70"/>
  <c r="G15" i="70"/>
  <c r="G16" i="70"/>
  <c r="G25" i="67"/>
  <c r="G17" i="70"/>
  <c r="J26" i="67"/>
  <c r="G6" i="67"/>
  <c r="N32" i="71"/>
  <c r="N26" i="71"/>
  <c r="N33" i="71" s="1"/>
  <c r="N30" i="71"/>
  <c r="N27" i="71"/>
  <c r="N31" i="71"/>
  <c r="N29" i="71"/>
  <c r="G24" i="67"/>
  <c r="G19" i="71"/>
  <c r="G8" i="70"/>
  <c r="G22" i="67"/>
  <c r="G16" i="67"/>
  <c r="I26" i="70"/>
  <c r="G17" i="67"/>
  <c r="M29" i="71"/>
  <c r="M26" i="71"/>
  <c r="M33" i="71" s="1"/>
  <c r="M31" i="71"/>
  <c r="M30" i="71"/>
  <c r="M27" i="71"/>
  <c r="M32" i="71"/>
  <c r="G14" i="70"/>
  <c r="G12" i="70"/>
  <c r="G20" i="67"/>
  <c r="J26" i="70"/>
  <c r="G7" i="70"/>
  <c r="G19" i="67"/>
  <c r="G8" i="67"/>
  <c r="G11" i="67"/>
  <c r="G13" i="70"/>
  <c r="G11" i="70"/>
  <c r="G7" i="67"/>
  <c r="F26" i="67"/>
  <c r="G22" i="70"/>
  <c r="H26" i="67"/>
  <c r="E5" i="69" s="1" a="1"/>
  <c r="E5" i="69" s="1"/>
  <c r="I15" i="69" a="1"/>
  <c r="I15" i="69" s="1"/>
  <c r="I11" i="69" a="1"/>
  <c r="I11" i="69" s="1"/>
  <c r="I14" i="69" a="1"/>
  <c r="I14" i="69" s="1"/>
  <c r="H5" i="69" a="1"/>
  <c r="H5" i="69" s="1"/>
  <c r="L26" i="71"/>
  <c r="L33" i="71" s="1"/>
  <c r="L32" i="71"/>
  <c r="L30" i="71"/>
  <c r="L31" i="71"/>
  <c r="L27" i="71"/>
  <c r="F26" i="70"/>
  <c r="G6" i="70"/>
  <c r="G20" i="70"/>
  <c r="I26" i="67"/>
  <c r="F5" i="69" s="1" a="1"/>
  <c r="F5" i="69" s="1"/>
  <c r="G13" i="67"/>
  <c r="G24" i="70"/>
  <c r="G9" i="67"/>
  <c r="G12" i="67"/>
  <c r="G14" i="67"/>
  <c r="G15" i="67"/>
  <c r="H26" i="70"/>
  <c r="G21" i="67"/>
  <c r="G25" i="70"/>
  <c r="G23" i="67"/>
  <c r="G18" i="67"/>
  <c r="J15" i="71"/>
  <c r="I19" i="71"/>
  <c r="F7" i="71"/>
  <c r="H11" i="69" l="1" a="1"/>
  <c r="H11" i="69" s="1"/>
  <c r="H12" i="69" a="1"/>
  <c r="H12" i="69" s="1"/>
  <c r="J12" i="69" s="1"/>
  <c r="H13" i="69" a="1"/>
  <c r="H13" i="69" s="1"/>
  <c r="J13" i="69" s="1"/>
  <c r="K30" i="71"/>
  <c r="K32" i="71"/>
  <c r="K26" i="71"/>
  <c r="I16" i="69"/>
  <c r="H26" i="71"/>
  <c r="G7" i="71"/>
  <c r="F26" i="71"/>
  <c r="I26" i="71"/>
  <c r="J26" i="71"/>
  <c r="H14" i="69" a="1"/>
  <c r="H14" i="69" s="1"/>
  <c r="J14" i="69" s="1"/>
  <c r="G26" i="67"/>
  <c r="D5" i="69" s="1" a="1"/>
  <c r="D5" i="69" s="1"/>
  <c r="G5" i="69" a="1"/>
  <c r="G5" i="69" s="1"/>
  <c r="H15" i="69" a="1"/>
  <c r="H15" i="69" s="1"/>
  <c r="J15" i="69" s="1"/>
  <c r="G26" i="70"/>
  <c r="K33" i="71"/>
  <c r="K29" i="71"/>
  <c r="K31" i="71"/>
  <c r="I5" i="69" l="1"/>
  <c r="J5" i="69" s="1"/>
  <c r="G26" i="71"/>
  <c r="H16" i="69"/>
  <c r="J16" i="69" s="1"/>
  <c r="J11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btrust-DS</author>
  </authors>
  <commentList>
    <comment ref="F4" authorId="0" shapeId="0" xr:uid="{00000000-0006-0000-0B00-000001000000}">
      <text>
        <r>
          <rPr>
            <b/>
            <sz val="10"/>
            <color indexed="81"/>
            <rFont val="맑은 고딕"/>
            <family val="3"/>
            <charset val="129"/>
          </rPr>
          <t>양호, 신규, 조치, 미조치에 대한 통계 기준은 아래와 같습니다.
 작년 결과 | 올해 결과 | 비교 결과
   미점검   |    양호     |    양호
   미점검   |    취약     |    신규
   미점검   |  부분만족  |    신규
   미점검   |    N/A     |    N/A
     양호    |     양호    |    양호
     양호    |     취약    |    신규
     양호    |  부분만족  |    신규
     양호    |     N/A    |    N/A
     취약    |     양호    |    조치
     취약    |     취약    |   미조치
     취약    |  부분만족  |   미조치
     취약    |     N/A    |    조치 
  부분만족  |     양호    |    양호
  부분만족  |     취약    |   미조치
  부분만족  |  부분만족  |   미조치
  부분만족  |     N/A    |    조치
     N/A    |     양호    |    양호
     N/A    |     취약    |    신규
     N/A    |  부분만족  |    신규
     N/A    |     N/A    |    N/A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<sst xmlns="http://schemas.openxmlformats.org/spreadsheetml/2006/main" count="2151" uniqueCount="828">
  <si>
    <t>◈ 보고서 사용법</t>
    <phoneticPr fontId="5" type="noConversion"/>
  </si>
  <si>
    <t>해당 보고서는 기술진단 통합보고서입니다.</t>
    <phoneticPr fontId="1" type="noConversion"/>
  </si>
  <si>
    <t>하기의 주의사항을 숙지 후 작업하시기 바랍니다.</t>
    <phoneticPr fontId="1" type="noConversion"/>
  </si>
  <si>
    <t>[공통]</t>
    <phoneticPr fontId="1" type="noConversion"/>
  </si>
  <si>
    <r>
      <t xml:space="preserve">① </t>
    </r>
    <r>
      <rPr>
        <b/>
        <u/>
        <sz val="11"/>
        <color theme="1"/>
        <rFont val="맑은 고딕"/>
        <family val="3"/>
        <charset val="129"/>
        <scheme val="minor"/>
      </rPr>
      <t>단계별 보고서를 사전에 분리하여 사용할 것을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</si>
  <si>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r>
      <t xml:space="preserve">    통합보고서를 저장할 경우, </t>
    </r>
    <r>
      <rPr>
        <b/>
        <sz val="11"/>
        <color rgb="FFFF0000"/>
        <rFont val="맑은 고딕"/>
        <family val="3"/>
        <charset val="129"/>
        <scheme val="minor"/>
      </rPr>
      <t>매우 오랜시간이 걸림</t>
    </r>
    <phoneticPr fontId="1" type="noConversion"/>
  </si>
  <si>
    <t>② 대부분 '통합 점검결과' 시트를 참조하고 있습니다.</t>
    <phoneticPr fontId="1" type="noConversion"/>
  </si>
  <si>
    <r>
      <t xml:space="preserve">    따라서 '</t>
    </r>
    <r>
      <rPr>
        <b/>
        <u/>
        <sz val="11"/>
        <color theme="1"/>
        <rFont val="맑은 고딕"/>
        <family val="3"/>
        <charset val="129"/>
        <scheme val="minor"/>
      </rPr>
      <t>통합 점검결과' 시트의 결과값이 들어간 경우, 수식을 값으로 전환할 것을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</si>
  <si>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r>
      <t xml:space="preserve">    수식이 살아있을 경우, </t>
    </r>
    <r>
      <rPr>
        <b/>
        <sz val="11"/>
        <color rgb="FFFF0000"/>
        <rFont val="맑은 고딕"/>
        <family val="3"/>
        <charset val="129"/>
        <scheme val="minor"/>
      </rPr>
      <t>매우 오랜시간이 걸림</t>
    </r>
    <phoneticPr fontId="1" type="noConversion"/>
  </si>
  <si>
    <r>
      <t xml:space="preserve">③ 통합보고서의 속도를 고려하여 </t>
    </r>
    <r>
      <rPr>
        <b/>
        <sz val="11"/>
        <color rgb="FFFF0000"/>
        <rFont val="맑은 고딕"/>
        <family val="3"/>
        <charset val="129"/>
        <scheme val="minor"/>
      </rPr>
      <t>최소한의 수식만을 남겨두었습니다</t>
    </r>
    <r>
      <rPr>
        <b/>
        <sz val="11"/>
        <color theme="1"/>
        <rFont val="맑은 고딕"/>
        <family val="3"/>
        <charset val="129"/>
        <scheme val="minor"/>
      </rPr>
      <t>.</t>
    </r>
    <phoneticPr fontId="1" type="noConversion"/>
  </si>
  <si>
    <r>
      <t xml:space="preserve">    </t>
    </r>
    <r>
      <rPr>
        <b/>
        <u/>
        <sz val="11"/>
        <color theme="1"/>
        <rFont val="맑은 고딕"/>
        <family val="3"/>
        <charset val="129"/>
        <scheme val="minor"/>
      </rPr>
      <t>적절하게 복붙하여 자동채우기 사용을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</si>
  <si>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t>④ 보고서 종류별 '통합 점검결과' 시트 변경하기</t>
    <phoneticPr fontId="1" type="noConversion"/>
  </si>
  <si>
    <t>[취약점 진단]</t>
    <phoneticPr fontId="1" type="noConversion"/>
  </si>
  <si>
    <t>① '점검대상' 시트 채우기</t>
    <phoneticPr fontId="1" type="noConversion"/>
  </si>
  <si>
    <t xml:space="preserve">     * hostname이 점검대상을 구분하는 기준입니다. 중복값 검증해주시기 바랍니다. (Ex. Hostname_instance 등으로 변경)</t>
    <phoneticPr fontId="1" type="noConversion"/>
  </si>
  <si>
    <t>② 점검대상에 따라 '통합 점검결과' 시트 채우기</t>
    <phoneticPr fontId="1" type="noConversion"/>
  </si>
  <si>
    <t>※ 정보보호시스템, 네트워크장비 등은 수동점검하여 채워넣기</t>
    <phoneticPr fontId="1" type="noConversion"/>
  </si>
  <si>
    <t>③ '#삭제. 결과가져오기' 시트 매크로를 이용하여 스크립트 결과값 채워넣기</t>
    <phoneticPr fontId="1" type="noConversion"/>
  </si>
  <si>
    <t xml:space="preserve">     * ANSI(개행문자 \r\n) 형식 텍스트만 매크로가 동작합니다. Notepad++로 변환하여 사용이 필요합니다.</t>
    <phoneticPr fontId="1" type="noConversion"/>
  </si>
  <si>
    <t>④ '통합 점검결과' 시트 현황값 채워넣고 진단하기</t>
    <phoneticPr fontId="1" type="noConversion"/>
  </si>
  <si>
    <t xml:space="preserve">     * 진단완료시 불필요한 수식은 값으로 변경하기를 권고드립니다.</t>
    <phoneticPr fontId="1" type="noConversion"/>
  </si>
  <si>
    <t>⑤ 그 외 시트에 대해 검토하기</t>
    <phoneticPr fontId="1" type="noConversion"/>
  </si>
  <si>
    <t>⑥ (개별 점검 시트가 필요한 경우) 진단 완료 후 '점검대상'의 매크로를 이용하여 '점검대상(샘플)' 시트 복사하기</t>
    <phoneticPr fontId="1" type="noConversion"/>
  </si>
  <si>
    <t>[위험평가]</t>
    <phoneticPr fontId="1" type="noConversion"/>
  </si>
  <si>
    <t xml:space="preserve"> - 통합 위혐평가표 / 개별 위험평가표 여부는 PM님과 협의하여 결정</t>
    <phoneticPr fontId="1" type="noConversion"/>
  </si>
  <si>
    <t>① [상세결과보고서] '점검대상'을 동일 시트에 복붙하기</t>
    <phoneticPr fontId="1" type="noConversion"/>
  </si>
  <si>
    <t>② [상세결과보고서] '통합 점검결과' 시트의 값을 동일 시트에 복붙하기</t>
    <phoneticPr fontId="1" type="noConversion"/>
  </si>
  <si>
    <t>③ [위험평가표] '통합 점검결과' 시트명을 '위험평가표'로 변경하기</t>
    <phoneticPr fontId="1" type="noConversion"/>
  </si>
  <si>
    <t>④ 그 외 시트에 대해 검토하기</t>
    <phoneticPr fontId="1" type="noConversion"/>
  </si>
  <si>
    <t>[위험조치계획]</t>
    <phoneticPr fontId="1" type="noConversion"/>
  </si>
  <si>
    <t xml:space="preserve"> - 통합 조치계획서 / 개별 조치계획서 여부는 PM님과 협의하여 결정</t>
    <phoneticPr fontId="1" type="noConversion"/>
  </si>
  <si>
    <t>① [위험평가표] '점검대상'을 동일 시트에 복붙하기</t>
    <phoneticPr fontId="1" type="noConversion"/>
  </si>
  <si>
    <t>② [위험평가표] '통합 점검결과' 시트의 값을 동일 시트에 복붙하기</t>
    <phoneticPr fontId="1" type="noConversion"/>
  </si>
  <si>
    <t>③ [위험조치계획서] '통합 점검결과' 시트명을 '위험조치계획'으로 변경하기</t>
    <phoneticPr fontId="1" type="noConversion"/>
  </si>
  <si>
    <t>[이행조치]</t>
    <phoneticPr fontId="1" type="noConversion"/>
  </si>
  <si>
    <r>
      <t xml:space="preserve">④ '통합 점검결과' 시트 </t>
    </r>
    <r>
      <rPr>
        <b/>
        <u/>
        <sz val="11"/>
        <color theme="1"/>
        <rFont val="맑은 고딕"/>
        <family val="3"/>
        <charset val="129"/>
        <scheme val="minor"/>
      </rPr>
      <t>이행 후</t>
    </r>
    <r>
      <rPr>
        <b/>
        <sz val="11"/>
        <color theme="1"/>
        <rFont val="맑은 고딕"/>
        <family val="3"/>
        <charset val="129"/>
        <scheme val="minor"/>
      </rPr>
      <t xml:space="preserve"> 현황값 채워넣고 진단하기</t>
    </r>
    <phoneticPr fontId="1" type="noConversion"/>
  </si>
  <si>
    <t>③ [이행조치결과서] '통합 점검결과' 시트명을 '통합 이행점검결과'으로 변경하기</t>
    <phoneticPr fontId="1" type="noConversion"/>
  </si>
  <si>
    <r>
      <t>⑥ (개별 점검 시트가 필요한 경우) 진단 완료 후 '점검대상'의 매크로를 이용하여 '</t>
    </r>
    <r>
      <rPr>
        <b/>
        <u/>
        <sz val="11"/>
        <color theme="1"/>
        <rFont val="맑은 고딕"/>
        <family val="3"/>
        <charset val="129"/>
        <scheme val="minor"/>
      </rPr>
      <t>점검대상(샘플)_이행</t>
    </r>
    <r>
      <rPr>
        <b/>
        <sz val="11"/>
        <color theme="1"/>
        <rFont val="맑은 고딕"/>
        <family val="3"/>
        <charset val="129"/>
        <scheme val="minor"/>
      </rPr>
      <t>' 시트 복사하기</t>
    </r>
    <phoneticPr fontId="1" type="noConversion"/>
  </si>
  <si>
    <t>시트</t>
    <phoneticPr fontId="1" type="noConversion"/>
  </si>
  <si>
    <t>매크로</t>
    <phoneticPr fontId="1" type="noConversion"/>
  </si>
  <si>
    <t>단계별 보고서 종류</t>
    <phoneticPr fontId="1" type="noConversion"/>
  </si>
  <si>
    <t>취약점 진단</t>
    <phoneticPr fontId="1" type="noConversion"/>
  </si>
  <si>
    <t>위험평가</t>
    <phoneticPr fontId="1" type="noConversion"/>
  </si>
  <si>
    <t>위험조치계획</t>
    <phoneticPr fontId="1" type="noConversion"/>
  </si>
  <si>
    <t>이행조치</t>
    <phoneticPr fontId="1" type="noConversion"/>
  </si>
  <si>
    <t>시트명</t>
    <phoneticPr fontId="1" type="noConversion"/>
  </si>
  <si>
    <t>숨김/삭제 여부</t>
    <phoneticPr fontId="1" type="noConversion"/>
  </si>
  <si>
    <t>필수 사용 여부</t>
    <phoneticPr fontId="1" type="noConversion"/>
  </si>
  <si>
    <t>매크로명</t>
    <phoneticPr fontId="1" type="noConversion"/>
  </si>
  <si>
    <t>동작방식</t>
    <phoneticPr fontId="1" type="noConversion"/>
  </si>
  <si>
    <t>No</t>
    <phoneticPr fontId="1" type="noConversion"/>
  </si>
  <si>
    <t>상세 결과보고서</t>
    <phoneticPr fontId="1" type="noConversion"/>
  </si>
  <si>
    <t>위험평가보고서</t>
    <phoneticPr fontId="1" type="noConversion"/>
  </si>
  <si>
    <t>위험조치계획서</t>
    <phoneticPr fontId="1" type="noConversion"/>
  </si>
  <si>
    <t>이행조치보고서</t>
    <phoneticPr fontId="1" type="noConversion"/>
  </si>
  <si>
    <t>#숨김. 진단대상 보안 가이드</t>
    <phoneticPr fontId="1" type="noConversion"/>
  </si>
  <si>
    <t>수식 -&gt; 값 전환 후 삭제</t>
    <phoneticPr fontId="1" type="noConversion"/>
  </si>
  <si>
    <t>필수</t>
    <phoneticPr fontId="1" type="noConversion"/>
  </si>
  <si>
    <t>-</t>
    <phoneticPr fontId="1" type="noConversion"/>
  </si>
  <si>
    <t>표지</t>
    <phoneticPr fontId="1" type="noConversion"/>
  </si>
  <si>
    <t>개정이력</t>
    <phoneticPr fontId="1" type="noConversion"/>
  </si>
  <si>
    <t>개요</t>
    <phoneticPr fontId="1" type="noConversion"/>
  </si>
  <si>
    <t>선택</t>
    <phoneticPr fontId="1" type="noConversion"/>
  </si>
  <si>
    <t>위험도 산정기준</t>
    <phoneticPr fontId="1" type="noConversion"/>
  </si>
  <si>
    <t>정보보호계획 수립기준</t>
    <phoneticPr fontId="1" type="noConversion"/>
  </si>
  <si>
    <t>점검대상</t>
    <phoneticPr fontId="1" type="noConversion"/>
  </si>
  <si>
    <t>sheet_copy</t>
    <phoneticPr fontId="1" type="noConversion"/>
  </si>
  <si>
    <t>클릭 실행</t>
    <phoneticPr fontId="1" type="noConversion"/>
  </si>
  <si>
    <t>위험평가 통계</t>
    <phoneticPr fontId="1" type="noConversion"/>
  </si>
  <si>
    <t>보안수준 통계</t>
    <phoneticPr fontId="1" type="noConversion"/>
  </si>
  <si>
    <t>요약 통계</t>
    <phoneticPr fontId="1" type="noConversion"/>
  </si>
  <si>
    <t>이행 후 보안수준 통계</t>
    <phoneticPr fontId="1" type="noConversion"/>
  </si>
  <si>
    <t>이행 후 요약 통계</t>
    <phoneticPr fontId="1" type="noConversion"/>
  </si>
  <si>
    <t>#삭제. 항목별 취약 시스템</t>
    <phoneticPr fontId="1" type="noConversion"/>
  </si>
  <si>
    <t>작업 완료 후 삭제</t>
    <phoneticPr fontId="1" type="noConversion"/>
  </si>
  <si>
    <t>fn취약대상()</t>
    <phoneticPr fontId="1" type="noConversion"/>
  </si>
  <si>
    <t>자동 실행</t>
    <phoneticPr fontId="1" type="noConversion"/>
  </si>
  <si>
    <t>#숨김. 전년도 점검 결과</t>
    <phoneticPr fontId="1" type="noConversion"/>
  </si>
  <si>
    <t>숨김</t>
    <phoneticPr fontId="1" type="noConversion"/>
  </si>
  <si>
    <t>결과 비교</t>
    <phoneticPr fontId="1" type="noConversion"/>
  </si>
  <si>
    <t>fn_Compare()</t>
    <phoneticPr fontId="1" type="noConversion"/>
  </si>
  <si>
    <t>#삭제. 결과가져오기</t>
    <phoneticPr fontId="1" type="noConversion"/>
  </si>
  <si>
    <t>text_to_excel</t>
    <phoneticPr fontId="1" type="noConversion"/>
  </si>
  <si>
    <t>통합 점검결과</t>
    <phoneticPr fontId="1" type="noConversion"/>
  </si>
  <si>
    <t>위험평가표</t>
    <phoneticPr fontId="1" type="noConversion"/>
  </si>
  <si>
    <t>통합 이행점검결과</t>
    <phoneticPr fontId="1" type="noConversion"/>
  </si>
  <si>
    <t>대상(샘플)</t>
    <phoneticPr fontId="1" type="noConversion"/>
  </si>
  <si>
    <t>불필요한 경우 삭제</t>
    <phoneticPr fontId="1" type="noConversion"/>
  </si>
  <si>
    <t>대상(샘플)_이행</t>
    <phoneticPr fontId="1" type="noConversion"/>
  </si>
  <si>
    <t>END</t>
    <phoneticPr fontId="1" type="noConversion"/>
  </si>
  <si>
    <t>취약성 평가</t>
    <phoneticPr fontId="1" type="noConversion"/>
  </si>
  <si>
    <t>취약점 진단 및 조치</t>
    <phoneticPr fontId="1" type="noConversion"/>
  </si>
  <si>
    <t>분류</t>
    <phoneticPr fontId="1" type="noConversion"/>
  </si>
  <si>
    <t>구분(전자금융)</t>
    <phoneticPr fontId="1" type="noConversion"/>
  </si>
  <si>
    <t>항목</t>
  </si>
  <si>
    <t>등급</t>
    <phoneticPr fontId="1" type="noConversion"/>
  </si>
  <si>
    <t>중요도</t>
    <phoneticPr fontId="1" type="noConversion"/>
  </si>
  <si>
    <t>위협코드</t>
  </si>
  <si>
    <t>위협항목</t>
  </si>
  <si>
    <t>잠재위험</t>
  </si>
  <si>
    <t>심각도</t>
    <phoneticPr fontId="1" type="noConversion"/>
  </si>
  <si>
    <t>발생빈도</t>
    <phoneticPr fontId="1" type="noConversion"/>
  </si>
  <si>
    <t>위협등급</t>
  </si>
  <si>
    <t>판단기준
(AIX)</t>
  </si>
  <si>
    <t>판단방법
(AIX)</t>
  </si>
  <si>
    <t>판단기준
(HP-UX)</t>
  </si>
  <si>
    <t>판단기준
(LINUX)</t>
  </si>
  <si>
    <t>판단방법
(LINUX)</t>
  </si>
  <si>
    <t>판단기준
(SOLARIS)</t>
  </si>
  <si>
    <t>판단방법
(SOLARIS)</t>
  </si>
  <si>
    <t>조치방법</t>
    <phoneticPr fontId="1" type="noConversion"/>
  </si>
  <si>
    <t>주통기반</t>
    <phoneticPr fontId="1" type="noConversion"/>
  </si>
  <si>
    <t>평가대상
(AIX)</t>
  </si>
  <si>
    <t>평가대상
(HP-UX)</t>
  </si>
  <si>
    <t>평가대상
(LINUX)</t>
  </si>
  <si>
    <t>평가대상
(SOLARIS)</t>
  </si>
  <si>
    <t>중</t>
    <phoneticPr fontId="1" type="noConversion"/>
  </si>
  <si>
    <t>H</t>
  </si>
  <si>
    <t>(중) [서비스 관리] U-67 SNMP 서비스 Community String의 복잡성 설정</t>
  </si>
  <si>
    <t>o</t>
  </si>
  <si>
    <t>불필요한 SMTP 서비스 실행</t>
  </si>
  <si>
    <t>불필요 시스템 사용</t>
  </si>
  <si>
    <t>M</t>
  </si>
  <si>
    <t>* 양호 - SMTP 서비스가 동작 중이지 않거나, 업무상 사용 중인 경우
* 취약 - 불필요한 SMTP 서비스가 동작 중인 경우</t>
  </si>
  <si>
    <t>25번 포트에 SMTP 서비스가 동작 중인지 확인</t>
  </si>
  <si>
    <t>불필요 시 SMTP 서비스 비활성화</t>
  </si>
  <si>
    <t>(상) [서비스 관리] U-23 DoS 공격에 취약한 서비스 비활성화</t>
  </si>
  <si>
    <t>SMTP 서비스의 expn/vrfy 명령어 실행 제한 미비</t>
  </si>
  <si>
    <t>환경설정 미흡</t>
  </si>
  <si>
    <t>* 양호 - expn, vrfy 명령어 사용을 허용하지 않고 있을 경우
* 취약 - expn, vrfy 명령어 사용을 허용했을 경우</t>
  </si>
  <si>
    <t xml:space="preserve">[ Sendmail ]
1. SMTP 포트(25번)에 접속하여 expn 과 vrfy 명령을 통해 aliases 정보와 사용자 정보를 알아낼 수 있는지 점검
또는
2. /etc/mail/sendmail.cf 또는 /etc/sendmail.cf 파일에 "noexpn"과 "novrfy" 또는 "goaway"가 설정되어 있는지 확인
[ Postfix ]
1. SMTP 포트(25번)에 접속하여 vrfy 명령을 통해 aliases 정보와 사용자 정보를 알아낼 수 있는지 점검
또는
2. /etc/postfix/main.cf 설정에서 disable_vrfy_command = yes 가 설정되어 있는지 확인
[ Exim ]
1. SMTP 포트(25번)에 접속하여 vrfy 명령을 통해 aliases 정보와 사용자 정보를 알아낼 수 있는지 점검
또는
2. 설정 파일*에서 acl_smtp_expn 과 acl_smtp_vrfy 설정 확인
(* /etc/exim4/exim4.conf.template 또는 /etc/exim/exim4.conf 또는 /etc/exim4/conf.d/*.conf)
* acl_smtp_expn: 설정 값이 없거나, 필요한 호스트만 설정한 경우 양호
* acl_smtp_vrfy: 설정 값이 없거나, 필요한 호스트만 설정한 경우 양호 
</t>
  </si>
  <si>
    <t>SMTP 서비스를 비활성화 하거나, 서비스를 사용하는 경우 noexpn, novrfy 옵션 설정</t>
  </si>
  <si>
    <t>(중) [서비스 관리] U-70 expn, vrfy 명령어 제한</t>
  </si>
  <si>
    <t>SMTP 서비스 로그 수준 설정 미흡</t>
  </si>
  <si>
    <t>sendmail.cf 파일 내부의 LogLevel 설정값이 9 이상으로 설정</t>
  </si>
  <si>
    <t>취약한 버전의 SMTP 서비스 사용</t>
  </si>
  <si>
    <t>상</t>
    <phoneticPr fontId="1" type="noConversion"/>
  </si>
  <si>
    <t>패치관리 미흡</t>
  </si>
  <si>
    <t>* 양호 - SMTP 서비스 버전이 최신 버전일 경우 또는 금융회사 내부 규정에 따라 패치 검토 및 패치를 수행하고 있는 경우
* 취약 - SMTP 서비스 버전이 최신이 아닐 경우 또는 금융회사 내부 규정의 패치 관리 절차를 준수하지 않은 경우</t>
  </si>
  <si>
    <t>[ Sendmail ]
* sendmail 현재 버전 확인
#  echo \$Z | /usr/lib/sendmail -bt -d0
Version 8.12.5+Sun
최소 8.14.9 이상 버전인지 확인 (접근 제한 우회 취약점: CVE-2009-4565)
* 최신 버전 확인 : http://www.sendmail.org/releases
[ Postfix ]
* postfix 현재 버전 확인
# postconf -d mail_version
2.5일 경우 2.5.13 이상, 2.6일 경우 2.6.10 이상, 2.7일 경우 2.7.4 이상, 2.8일 경우 2.8.3 이상의 버전인지 확인 (DoS 또는 코드 실행 취약점: CVE-2011-1720)
* 최신 버전 확인 : https://www.postfix.org/announcements.html
[ Exim ]
* exim 현재 버전 확인
# exim -bV
최소 4.94.2 이상의 버전인지 확인 (코드 실행 취약점: CVE-2020-28025)
* 최신 버전 확인: https://www.exim.org/</t>
  </si>
  <si>
    <t>SMTP 서비스 버전을 최신버전을 사용하거나, 내부 규정에 따라 패치 검토 및 패치 수행</t>
  </si>
  <si>
    <t>(상) [서비스 관리] U-30 Sendmail 버전 점검</t>
  </si>
  <si>
    <t>SMTP 서비스의 DoS 방지 기능 미설정</t>
  </si>
  <si>
    <t>* 양호 - SMTP 서비스의 DoS 방지 관련 설정이 적용된 경우
* 취약 - SMTP 서비스의 DoS 방지 관련 설정이 적용되지 않은 경우</t>
  </si>
  <si>
    <t>[ Sendmail ]
sendmail.cf 파일 내부에 아래 파라미터들이 설정된 경우 양호, 파라미터가 없거나 주석 처리된 경우 취약
    * MaxDaemonChildren
    * ConnectionRateThrottle
    * MinFreeBlocks
    * MaxHeadersLength
    * MaxMessageSize
[ Postfix ]
다음과 같은 설정들이 있지만, 기본값이 있기 때문에 설정되어 있지 않아도 양호 (하지만 0으로 설정이 해제된 경우 취약)
* message_size_limit
* header_size_limit
* default_process_limit
* local_destination_concurrency_limit
* smtpd_recipient_limit
[ Exim ]
다음과 같은 설정들이 있지만, 기본값이 있기 때문에 설정되어 있지 않아도 양호 (하지만 0으로 설정이 해제된 경우 취약)
* message_size_limit
* header_maxsize
* queue_run_max
* recipients_max</t>
  </si>
  <si>
    <t xml:space="preserve">sendmail.cf 내부에 아래의 DoS 방지 관련 파라미터들을 적절하게 설정
- MaxDaemonChildre: 최대 자식 프로세스 수
- MinFreeBlocks: 메일 수용을 위한 최소 블록
- MaxMessageSize: 최대수용가능 메시지 길이
- ConnectionRateThrottle: 초당 수용 가능한 클라이언트 수
- MaxHeaderLength: 최대 수용 헤더 길이
</t>
  </si>
  <si>
    <t>SMTP 서비스 스팸 메일 릴레이 제한 미설정</t>
  </si>
  <si>
    <t>* 양호 - 스팸 메일 릴레이 방지 설정을 했을 경우
* 취약 - 스팸 메일 릴레이 방지 설정을 하지 않았을 경우</t>
  </si>
  <si>
    <t>[ Sendmail ]
1. sendmail 버전 8.9 이상인 promiscuous_relay가 비활성화된 경우 양호 (디폴트는 비활성화) 
2. 8.9 미만 버전은 스팸 메일 릴레이 제한 설정 확인 (접근통제 설정파일 생성 여부 확인)
# cat /etc/mail/sendmail.cf, /etc/mail/sendmail.mc 설정 파일 등 점검 
[ Postfix ]
설정 파일의 smtpd_recipient_restrictions 또는 smtpd_relay_restrictions 구문에서 permit으로 허용된 네트워크가 0.0.0.0과 같이 과도하게 설정된 값 확인
[ Exim ]
설정 파일의 acl_smtp_rcpt 정책에서 accept로 허용된 네트워크가 0.0.0.0과 같이 과도하게 설정된 값 확인</t>
  </si>
  <si>
    <t>SMTP 서비스를 비활성화하거나, 서비스를 사용하는 경우 릴레이 제한 설정</t>
  </si>
  <si>
    <t>(상) [서비스 관리] U-31 스팸 메일 릴레이 제한</t>
  </si>
  <si>
    <t>SMTP 서비스의 메일 queue 처리 권한 설정 미흡</t>
  </si>
  <si>
    <t>* 양호 - SMTP 서비스의 메일 queue 처리 권한을 업무 관리자에게만 부여되도록 설정된 경우
* 취약 - SMTP 서비스의 메일 queue 처리 권한이 업무와 무관한 일반 사용자에게도 부여되도록 설정된 경우</t>
  </si>
  <si>
    <t>SMTP 서비스를 비활성화하거나, 서비스를 사용하는 경우 설정파일 내 O PrivacyOptions= 설정 부분에 restrictqrun 옵션 추가</t>
  </si>
  <si>
    <t>(상) [서비스 관리] U-32 일반사용자의  Sendmail 실행 방지</t>
  </si>
  <si>
    <t>시스템 관리자 계정의 FTP 사용 제한 미비</t>
  </si>
  <si>
    <t>* 양호 - ftpusers 파일이 존재하고, ftpusers 파일 안에 시스템 계정(root)이 존재할 경우
* 취약 - ftpusers 파일이 없거나, ftpusers 파일 안에 시스템 계정 미존재 혹은 주석처리 되어 있을 경우</t>
  </si>
  <si>
    <t>1. ftpusers 파일 존재 확인 후, ftpusers 파일 내에 시스템 계정이 존재하는지 확인
2. 실제 시스템 계정으로 ftp 접속이 거부되는지 확인</t>
  </si>
  <si>
    <t>FTP 서비스를 비활성화 하거나, 서비스를 사용하는 경우 root 계정 접속 차단</t>
  </si>
  <si>
    <t>(중) [서비스 관리] U-64 ftpusers 파일 설정(FTP 서비스 root 계정 접근제한)</t>
  </si>
  <si>
    <t>.netrc 파일 내 중요 정보 노출</t>
  </si>
  <si>
    <t>* 양호 - .netrc 파일 내부에 아이디, 패스워드 등 민감한 정보가 없는 경우
* 취약 - .netrc 파일 내부에 아이디 ,패스워드 등 민감한 정보가 있는 경우</t>
  </si>
  <si>
    <t>1. .netrc 파일의 존재 유무 확인
2. 파일 내에 민감한 정보 존재 유무 확인</t>
  </si>
  <si>
    <t>.netrc 파일 내부에 아이디, 패스워드 등 민감한 정보 제거</t>
  </si>
  <si>
    <t>Anonymous 계정의 FTP 서비스 접속 제한 미비</t>
  </si>
  <si>
    <t>* 양호 - FTP 서비스 미사용 또는 Anonymous 설정 비활성화
* 취약 - Anonymous FTP 설정 활성화</t>
  </si>
  <si>
    <t>1. FTP 설정 파일에서 Anonymous 허용 여부 확인
2. 실제 FTP 접속 시도 (ID: anonymous / PW: )</t>
  </si>
  <si>
    <t>Anonymous FTP 접속 차단 설정</t>
  </si>
  <si>
    <t>(상) [서비스 관리] U-20 Anonymous FTP 비활성화</t>
  </si>
  <si>
    <t>NFS 접근통제 미비</t>
  </si>
  <si>
    <t>* 양호 - NFS 비활성화 혹은 적절한 접근통제가 이루어지고 있을 경우
* 취약 - 아래 조건 만족 시 취약  
        1. NFS 서비스 실행 중  
        2. NFS 설정 파일 내에 읽기/쓰기 권한 정의 등의 적절한 접근 통제 설정이 없을 경우
        3. NFS 설정 파일의 접근권한이 소유자가 root가 아니고, 권한이 644보다 높게 부여된 경우</t>
  </si>
  <si>
    <t>1. NFS 서비스 실행 여부
2. /etc/exports 파일 및 /etc/dfs/dfstab 파일 확인
3. 설정 파일 내 share 옵션에 적절한(예시:access, rw, ro 등) 접근 통제 설정 확인</t>
  </si>
  <si>
    <t>NFS 서비스를 비활성화하거나, 서비스를 사용하는 경우 NFS 설정파일에 접근 통제를 적절하게 설정하고 설정파일의 소유자를 root, 권한을 644이하로 설정</t>
  </si>
  <si>
    <t xml:space="preserve">(상) [서비스 관리] U-25 NFS 접근통제
(중) [서비스 관리] U-69 NFS 설정파일 접근권한 </t>
  </si>
  <si>
    <t>불필요한 NFS 서비스 실행</t>
  </si>
  <si>
    <t>* 양호: nfsd 서비스가 비활성화 되어 있는 경우
* 취약: nfsd 서비스가 불필요하게 활성화 되어 있는 경우</t>
  </si>
  <si>
    <t>1. nfsd 프로세스 구동 확인
2. rpcinfo -p 결과에 nfs 존재 여부 확인
3. inetd.conf 에 nfs 존재 여부 확인</t>
  </si>
  <si>
    <t>NFS 불필요 시 서비스 비활성화</t>
  </si>
  <si>
    <t>(상) [서비스 관리] U-24 NFS 서비스 비활성화</t>
  </si>
  <si>
    <t>불필요한 RPC서비스 활성화</t>
  </si>
  <si>
    <t>* 양호 - rpc.cmsd, rpc.ttdbserverd, sadmind, rusersd, walld, sprayd, rstatd, rpc.nisd, rexd, rpc.pcnfsd, rpc.statd, rpc.ypupdated, rpc.rquotad, kcms_server, cachefsd 서비스가 비활성화 되어 있는 경우 (업무상 사용시 예외)
* 취약 - rpc.cmsd, rpc.ttdbserverd, sadmind, rusersd, walld, sprayd, rstatd, rpc.nisd, rexd, rpc.pcnfsd, rpc.statd, rpc.ypupdated, rpc.rquotad, kcms_server, cachefsd 서비스가 불필요하게 활성화 되어 있는 경우</t>
  </si>
  <si>
    <t>1. 프로세스 목록에서 rpc 프로세스 구동 확인
2. rpcinfo -p 명령 결과에서 RPC 서비스 설정 확인
3. inetd.conf 파일에서 RPC 서비스 설정 확인</t>
  </si>
  <si>
    <t xml:space="preserve">불필요한 RPC 서비스들을 inetd.conf 파일에서 주석 처리한 후 inetd 재구동 </t>
  </si>
  <si>
    <t>(상) [서비스 관리] U-27 RPC 서비스 확인</t>
  </si>
  <si>
    <t>FTP 서비스 접근 제어 설정 미비</t>
  </si>
  <si>
    <t>* 양호 - 특정 IP 주소 또는 호스트에서만 FTP 서버에 접속하도록 접근제어 설정을 적용한 경우
* 취약 - 특정 IP 주소 또는 호스트에서만 FTP 서버에 접속하도록 접근제어 설정을 적용하지 않은 경우</t>
  </si>
  <si>
    <t>FTP 접근제어 설정 파일 점검
# cat /etc/ftpaccess.ctl</t>
  </si>
  <si>
    <t>FTP 접근제어 설정 점검
# cat /etc/ftpd/ftphosts
또는
# cat /etc/ftpd/ftpaccess</t>
  </si>
  <si>
    <t>FTP 접근제어 설정 점검
# cat /etc/proftpd.conf 
# cat /usr/local/etc/proftpd.conf</t>
  </si>
  <si>
    <t>FTP 접근제어 설정 파일 점검
# cat /etc/ftpd/ftpaccess
또는
# cat /etc/proftpd.conf 
# cat /usr/local/etc/proftpd.conf</t>
  </si>
  <si>
    <t>FTP접근제어 설정파일 내부에 특정 IP 주소 또는 호스트 설정</t>
    <phoneticPr fontId="1" type="noConversion"/>
  </si>
  <si>
    <t>계정의 비밀번호 미설정, 빈 암호 사용 관리 미흡</t>
  </si>
  <si>
    <t>계정 침해</t>
  </si>
  <si>
    <t>* 양호 - 계정들의 비밀번호가 모두 설정되어 있을 경우
* 취약 - 비밀번호가 설정되지 않은 계정이 존재할 경우</t>
  </si>
  <si>
    <t>패스워드 파일을 확인하여 패스워드 필드가 공란인 계정 확인(공란인 경우 미설정으로 인식됨)</t>
  </si>
  <si>
    <t>계정에 비밀번호를 설정하거나 불필요한 계정 제거</t>
  </si>
  <si>
    <t>취약한 hosts.equiv 또는 .rhosts 설정 존재</t>
  </si>
  <si>
    <t>* 양호 - /etc/hosts.equiv, 각 계정들의 $HOME/.rhosts 파일이 없을 경우 혹은 신뢰된 호스트들의 목록만 가지고 있을 경우
* 취약 - /etc/hosts.equiv 또는 각 계정들의 $HOME/.rhosts 파일에 '+' 설정이나 불필요한 계정/호스트 IP가 존재할 경우</t>
  </si>
  <si>
    <t>/etc/hosts.equiv 파일 또는 [각 계정의 홈디렉터리]/.rhosts 파일 내에  '+' 설정이나 불필요한 계정/호스트 IP가 존재하는지 확인</t>
  </si>
  <si>
    <t>해당 서비스를 사용하지 않거나, 해당서비스를 사용할 경우 다음과 같은 조치 수행
- /etc/hosts.equiv 및 $HOME/.rhosts 파일 소유자를 root 또는, 해당 계정으로 변경
- /etc/hosts.equiv 및 $HOME/.rhosts 파일 권한을 600 이하로 변경
- /etc/hosts.equiv 및 $HOME/.rhosts 파일에서 “+”를 제거하고 반드시 필요한 호스트 및 
계정만 등록 (해당 내역 요청)</t>
  </si>
  <si>
    <t>(상) [파일 및 디렉터리 관리] U-17 $HOME/.rhosts, hosts.equiv 사용 금지</t>
  </si>
  <si>
    <t>root 계정 원격 접속 제한 미비</t>
  </si>
  <si>
    <t>* 양호 - root 계정의 원격 접속이 허용되지 않은 경우
* 취약
    1. rlogin 사용 시: /etc/security/user 파일의 root : 필드에 rlogin=true로 설정되어 있을 경우
    2. SSH 사용 시: /etc/ssh/sshd_config 파일에 PermitRootLogin yes로 설정되어 있을 경우</t>
  </si>
  <si>
    <t>1. rlogin 사용 시: cat /etc/security/user로 root 관련 설정 확인
2. SSH 사용 시: cat /etc/ssh/sshd_config로 root 접속 가능 여부 확인</t>
  </si>
  <si>
    <t>* 양호 - root 계정의 원격 접속이 허용되지 않은 경우
* 취약
        1. Telnet 사용 시: /etc/securetty 파일이 존재하지 않거나 파일 안에 console이 주석 처리 되어 있을 경우
        2. SSH 사용 시: /etc/ssh/sshd_config 파일에 PermitRootLogin yes로 설정되어 있을 경우</t>
  </si>
  <si>
    <t>1. Telnet 사용 시: cat /etc/securetty로 console 확인
2. SSH 사용 시: cat /etc/ssh/sshd_config로 root 로그인 가능 여부 확인</t>
  </si>
  <si>
    <t>* 양호 - root 계정의 원격 접속이 허용되지 않은 경우
* 취약
    1. Telnet 사용 시: /etc/securetty 파일이 존재하지 않거나 파일 내에 pts/0 ~ pts/x 등 가상 터미널이 허용된 경우
    2. SSH 사용 시: /etc/ssh/sshd_config 파일에 PermitRootLogin yes로 설정되어 있을 경우</t>
  </si>
  <si>
    <t>1. Telnet 사용 시: cat /etc/securetty로 pts/0~pts/x 가상터미널 허용 여부 확인
2. SSH 사용 시: cat /etc/ssh/sshd_config로 root 로그인 가능 여부 확인</t>
  </si>
  <si>
    <t>* 양호 - root 계정의 원격 접속이 허용되지 않은 경우
* 취약
        1. Telnet 사용 시: /etc/default/login 파일에 CONSOLE=/dev/console이 없거나 주석처리 되어있을 경우
        2. SSH 사용 시: /etc/ssh/sshd_config 파일에 PermitRootLogin yes로 설정되어 있을 경우</t>
  </si>
  <si>
    <t>1. Telnet 사용 시: cat /etc/default/user로 root 관련 설정 확인
2. SSH 사용 시: cat /etc/ssh/sshd_config로 root 로그인 가능 여부 확인</t>
  </si>
  <si>
    <t>원격 접속 시 root 계정으로 바로 접속 할 수 없도록 설정 파일 수정</t>
  </si>
  <si>
    <t>(상) [계정 관리] U-01 root 계정 원격접속 제한</t>
  </si>
  <si>
    <t>서비스 접근 IP 및 포트 제한 미비</t>
  </si>
  <si>
    <t xml:space="preserve">* 양호 - 시스템 서비스로의 접근통제가 적절하게 수행되고 있을 경우 (방화벽, tcp-wrapper, 3rd-party 제품 등을 활용)
* 취약 - 시스템 서비스로의 접근통제가 적절하게 수행되고 있지 않을 경우
</t>
  </si>
  <si>
    <t xml:space="preserve">다음 중, 해당 사항이 있는 것만 점검
1. 방화벽 현황
2. 3rd-party 제품 활용 여부
3. tcp-wrapper 설정 (/etc/hosts.allow, /etc/host.deny)
</t>
  </si>
  <si>
    <t>방화벽, 3rd-party 제품 또는 tcpwrapper 등을 통하여 접근제어 설정</t>
  </si>
  <si>
    <t>(상) [파일 및 디렉터리 관리] U-18 접속 IP 및 포트 제한</t>
  </si>
  <si>
    <t>원격 터미널 접속 타임아웃 미설정</t>
  </si>
  <si>
    <t>* 양호 - 세션 타임아웃 값이 900초 이하(15분)로 설정 되어 있을 경우
* 취약 - 세션 타임아웃 값이 900초 이하(15분)로 설정 되어 있지 않을 경우 (아래 내용 중 해당사항이 있는 경우)
  1) 내부 규정에 세션 종료 시간이 명시되어 있을 경우
     - 세션 타임아웃이 내부 규정에 명시된 세션 종료 시간보다 초과 설정 시 "취약"으로 판단
  2) 내부 규정에 세션 종료시간이 명시되어 있지 않을 경우
     - 세션 타임아웃이 15분 초과 설정 시 "취약"으로 판단</t>
  </si>
  <si>
    <t>/etc/profile(.profile) 파일 내 TMOUT, TIMEOUT 값 확인</t>
  </si>
  <si>
    <t>/etc/default/login 파일 내 TMOUT, TIMEOUT 값 확인</t>
  </si>
  <si>
    <t>(하) [계정 관리] U-54 Session Timeout 설정</t>
  </si>
  <si>
    <t>정보수집</t>
  </si>
  <si>
    <t>피싱</t>
  </si>
  <si>
    <t>◈ 개정이력</t>
    <phoneticPr fontId="5" type="noConversion"/>
  </si>
  <si>
    <t>개정번호</t>
    <phoneticPr fontId="5" type="noConversion"/>
  </si>
  <si>
    <t>개정일자</t>
    <phoneticPr fontId="5" type="noConversion"/>
  </si>
  <si>
    <t>개정내용</t>
    <phoneticPr fontId="5" type="noConversion"/>
  </si>
  <si>
    <t>작성자</t>
    <phoneticPr fontId="5" type="noConversion"/>
  </si>
  <si>
    <t>비고</t>
    <phoneticPr fontId="5" type="noConversion"/>
  </si>
  <si>
    <t>v1.0</t>
    <phoneticPr fontId="5" type="noConversion"/>
  </si>
  <si>
    <t>최초 작성</t>
  </si>
  <si>
    <t>ㅇㅇㅇ</t>
    <phoneticPr fontId="5" type="noConversion"/>
  </si>
  <si>
    <t>◈ 개요</t>
    <phoneticPr fontId="5" type="noConversion"/>
  </si>
  <si>
    <t>1. 목적</t>
    <phoneticPr fontId="5" type="noConversion"/>
  </si>
  <si>
    <t>본 보고서는 취약점 점검 결과에 대한 보고서입니다. 따라서 본 보고서와 "보안 가이드"를 함께 참고하여 취약점이 도출된 항목에 대해 취약점을 제거 함으로써 해당 자산의 보안 강화를 목적으로 합니다.</t>
    <phoneticPr fontId="5" type="noConversion"/>
  </si>
  <si>
    <t>2. 보안수준 평가</t>
    <phoneticPr fontId="5" type="noConversion"/>
  </si>
  <si>
    <t>• 항목 중요도 : 진단 항목의 중요도 값
• N(가중치) : 진단결과가 양호일 경우 1로 설정, 취약일 경우 0으로 설정</t>
    <phoneticPr fontId="1" type="noConversion"/>
  </si>
  <si>
    <t>2.2 현황점수 분포</t>
    <phoneticPr fontId="1" type="noConversion"/>
  </si>
  <si>
    <t>진단 결과</t>
    <phoneticPr fontId="5" type="noConversion"/>
  </si>
  <si>
    <t>평가항목 중요도</t>
    <phoneticPr fontId="5" type="noConversion"/>
  </si>
  <si>
    <t>상(5)</t>
    <phoneticPr fontId="1" type="noConversion"/>
  </si>
  <si>
    <t>상(4)</t>
    <phoneticPr fontId="1" type="noConversion"/>
  </si>
  <si>
    <t>중(3)</t>
    <phoneticPr fontId="1" type="noConversion"/>
  </si>
  <si>
    <t>하(2)</t>
    <phoneticPr fontId="1" type="noConversion"/>
  </si>
  <si>
    <t>하(1)</t>
    <phoneticPr fontId="1" type="noConversion"/>
  </si>
  <si>
    <t>양호
(취약점 제거)</t>
    <phoneticPr fontId="5" type="noConversion"/>
  </si>
  <si>
    <t>5점</t>
    <phoneticPr fontId="5" type="noConversion"/>
  </si>
  <si>
    <t>4점</t>
    <phoneticPr fontId="5" type="noConversion"/>
  </si>
  <si>
    <t>3점</t>
    <phoneticPr fontId="5" type="noConversion"/>
  </si>
  <si>
    <t>2점</t>
    <phoneticPr fontId="5" type="noConversion"/>
  </si>
  <si>
    <t>1점</t>
    <phoneticPr fontId="5" type="noConversion"/>
  </si>
  <si>
    <t>취약
(취약점 발견)</t>
    <phoneticPr fontId="1" type="noConversion"/>
  </si>
  <si>
    <t>0점</t>
    <phoneticPr fontId="1" type="noConversion"/>
  </si>
  <si>
    <t>N/A
(해당 없음)</t>
    <phoneticPr fontId="5" type="noConversion"/>
  </si>
  <si>
    <t>2.3 보안지수 계산</t>
    <phoneticPr fontId="1" type="noConversion"/>
  </si>
  <si>
    <t>보안지수(%) =       X 100</t>
    <phoneticPr fontId="1" type="noConversion"/>
  </si>
  <si>
    <t>• A(현황점수) : 식별된 양호 항목의 점수 합
• B(전체점수) : N/A를 제외한 평가항목의 점수 합</t>
    <phoneticPr fontId="1" type="noConversion"/>
  </si>
  <si>
    <t>2.4 보안등급 분류</t>
    <phoneticPr fontId="1" type="noConversion"/>
  </si>
  <si>
    <t>보안등급</t>
    <phoneticPr fontId="5" type="noConversion"/>
  </si>
  <si>
    <t>보안 지수</t>
    <phoneticPr fontId="5" type="noConversion"/>
  </si>
  <si>
    <t>보안 수준</t>
    <phoneticPr fontId="5" type="noConversion"/>
  </si>
  <si>
    <t>우수</t>
    <phoneticPr fontId="5" type="noConversion"/>
  </si>
  <si>
    <t>90% ≤ Z ≤ 100%</t>
    <phoneticPr fontId="1" type="noConversion"/>
  </si>
  <si>
    <r>
      <rPr>
        <sz val="10"/>
        <rFont val="Calibri"/>
        <family val="3"/>
      </rPr>
      <t xml:space="preserve"> “</t>
    </r>
    <r>
      <rPr>
        <sz val="10"/>
        <rFont val="맑은 고딕"/>
        <family val="3"/>
        <charset val="129"/>
        <scheme val="major"/>
      </rPr>
      <t>금융분야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취약점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분석</t>
    </r>
    <r>
      <rPr>
        <sz val="10"/>
        <rFont val="Calibri"/>
        <family val="3"/>
      </rPr>
      <t>·</t>
    </r>
    <r>
      <rPr>
        <sz val="10"/>
        <rFont val="맑은 고딕"/>
        <family val="3"/>
        <charset val="129"/>
        <scheme val="major"/>
      </rPr>
      <t>평가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기준”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요구사항에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준수하는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정보보호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통제가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잘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실행되며</t>
    </r>
    <r>
      <rPr>
        <sz val="10"/>
        <rFont val="Calibri"/>
        <family val="3"/>
      </rPr>
      <t xml:space="preserve">, </t>
    </r>
    <r>
      <rPr>
        <sz val="10"/>
        <rFont val="맑은 고딕"/>
        <family val="3"/>
        <charset val="129"/>
        <scheme val="major"/>
      </rPr>
      <t>이를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증빙할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수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있는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수준</t>
    </r>
    <phoneticPr fontId="5" type="noConversion"/>
  </si>
  <si>
    <t>양호</t>
    <phoneticPr fontId="1" type="noConversion"/>
  </si>
  <si>
    <t>80% ≤ Z ≤ 90%</t>
    <phoneticPr fontId="1" type="noConversion"/>
  </si>
  <si>
    <t>“금융분야 취약점 분석·평가 기준” 요구사항에 준수하는 정보보호 통제가 대체로 실행되고 있으며, 이에 대해   증빙할 수 있는 수준</t>
    <phoneticPr fontId="5" type="noConversion"/>
  </si>
  <si>
    <t>보통</t>
    <phoneticPr fontId="1" type="noConversion"/>
  </si>
  <si>
    <t>70% ≤ Z ≤ 80%</t>
    <phoneticPr fontId="1" type="noConversion"/>
  </si>
  <si>
    <t>“금융분야 취약점 분석·평가 기준” 요구사항에 준수하는 정보보호 통제가 부분적으로 실행 중이며, 이에 대해   증빙이 어느정도 가능한 수준</t>
    <phoneticPr fontId="5" type="noConversion"/>
  </si>
  <si>
    <t>취약</t>
    <phoneticPr fontId="1" type="noConversion"/>
  </si>
  <si>
    <t>60% ≤ Z ≤ 70%</t>
    <phoneticPr fontId="1" type="noConversion"/>
  </si>
  <si>
    <t>“금융분야 취약점 분석·평가 기준” 요구사항에 준수하는 정보보호 통제가 일부분만 실행 중이며, 이에 대해     증빙이 어느정도 가능한 수준</t>
    <phoneticPr fontId="5" type="noConversion"/>
  </si>
  <si>
    <t>0% ≤ Z ≤ 60%</t>
    <phoneticPr fontId="5" type="noConversion"/>
  </si>
  <si>
    <t>“금융분야취약점 분석·평가 기준” 요구사항에 준수하는 정보보호 통제가 미약하거나 준수되지 않고 있으며, 이에 대해 증빙할 수 없는 수준</t>
    <phoneticPr fontId="5" type="noConversion"/>
  </si>
  <si>
    <t>3. 취약점 제거 방안</t>
    <phoneticPr fontId="5" type="noConversion"/>
  </si>
  <si>
    <t>• "보안가이드"의 &lt;조치방안&gt;을 참고하여 시스템 환경과 서비스에 맞추어 취약점 제거</t>
    <phoneticPr fontId="5" type="noConversion"/>
  </si>
  <si>
    <r>
      <rPr>
        <b/>
        <sz val="11"/>
        <color indexed="10"/>
        <rFont val="맑은 고딕"/>
        <family val="3"/>
        <charset val="129"/>
      </rPr>
      <t>• 긴급히 조치해야할 취약점</t>
    </r>
    <r>
      <rPr>
        <sz val="11"/>
        <rFont val="맑은 고딕"/>
        <family val="3"/>
        <charset val="129"/>
      </rPr>
      <t>을 우선적으로 제거</t>
    </r>
    <phoneticPr fontId="5" type="noConversion"/>
  </si>
  <si>
    <t>구분</t>
    <phoneticPr fontId="5" type="noConversion"/>
  </si>
  <si>
    <t>상</t>
    <phoneticPr fontId="5" type="noConversion"/>
  </si>
  <si>
    <t>중</t>
    <phoneticPr fontId="5" type="noConversion"/>
  </si>
  <si>
    <t>하</t>
    <phoneticPr fontId="5" type="noConversion"/>
  </si>
  <si>
    <t>구분</t>
    <phoneticPr fontId="1" type="noConversion"/>
  </si>
  <si>
    <t>점수</t>
    <phoneticPr fontId="5" type="noConversion"/>
  </si>
  <si>
    <t>◈ 점검대상</t>
    <phoneticPr fontId="5" type="noConversion"/>
  </si>
  <si>
    <t>DoA</t>
    <phoneticPr fontId="5" type="noConversion"/>
  </si>
  <si>
    <t>No</t>
    <phoneticPr fontId="5" type="noConversion"/>
  </si>
  <si>
    <t>자산정보</t>
    <phoneticPr fontId="5" type="noConversion"/>
  </si>
  <si>
    <t>자산평가</t>
    <phoneticPr fontId="5" type="noConversion"/>
  </si>
  <si>
    <t>HostName (Instance)</t>
    <phoneticPr fontId="5" type="noConversion"/>
  </si>
  <si>
    <t>O/S</t>
    <phoneticPr fontId="5" type="noConversion"/>
  </si>
  <si>
    <t xml:space="preserve"> IP</t>
    <phoneticPr fontId="5" type="noConversion"/>
  </si>
  <si>
    <t>용도</t>
    <phoneticPr fontId="5" type="noConversion"/>
  </si>
  <si>
    <t>담당부서</t>
    <phoneticPr fontId="1" type="noConversion"/>
  </si>
  <si>
    <t>담당자</t>
    <phoneticPr fontId="1" type="noConversion"/>
  </si>
  <si>
    <t>C</t>
    <phoneticPr fontId="5" type="noConversion"/>
  </si>
  <si>
    <t>I</t>
    <phoneticPr fontId="5" type="noConversion"/>
  </si>
  <si>
    <t>A</t>
    <phoneticPr fontId="5" type="noConversion"/>
  </si>
  <si>
    <t>등급</t>
  </si>
  <si>
    <t>LINUX</t>
    <phoneticPr fontId="5" type="noConversion"/>
  </si>
  <si>
    <t>파일 서버 용도</t>
    <phoneticPr fontId="5" type="noConversion"/>
  </si>
  <si>
    <t>시스템운영팀</t>
    <phoneticPr fontId="1" type="noConversion"/>
  </si>
  <si>
    <t>김담당</t>
    <phoneticPr fontId="1" type="noConversion"/>
  </si>
  <si>
    <t>UNIX</t>
    <phoneticPr fontId="5" type="noConversion"/>
  </si>
  <si>
    <t>127.0.0.1</t>
  </si>
  <si>
    <t>파일 서버 용도</t>
  </si>
  <si>
    <t>시스템운영팀</t>
  </si>
  <si>
    <t>김담당</t>
  </si>
  <si>
    <t>상</t>
  </si>
  <si>
    <t>구분</t>
  </si>
  <si>
    <t>계</t>
  </si>
  <si>
    <t>◈ 보안등급 평가 결과</t>
    <phoneticPr fontId="1" type="noConversion"/>
  </si>
  <si>
    <t>진단대수</t>
    <phoneticPr fontId="1" type="noConversion"/>
  </si>
  <si>
    <t>점검항목</t>
    <phoneticPr fontId="1" type="noConversion"/>
  </si>
  <si>
    <t>취약</t>
  </si>
  <si>
    <t>전체점수(B)</t>
    <phoneticPr fontId="1" type="noConversion"/>
  </si>
  <si>
    <t>현황점수(A)</t>
    <phoneticPr fontId="1" type="noConversion"/>
  </si>
  <si>
    <t>보안지수</t>
    <phoneticPr fontId="1" type="noConversion"/>
  </si>
  <si>
    <t>보안등급</t>
    <phoneticPr fontId="1" type="noConversion"/>
  </si>
  <si>
    <t>점검 결과</t>
  </si>
  <si>
    <t>점검 점수</t>
    <phoneticPr fontId="1" type="noConversion"/>
  </si>
  <si>
    <t>전체항목</t>
  </si>
  <si>
    <t>점검항목</t>
  </si>
  <si>
    <t>양호</t>
  </si>
  <si>
    <t>해당없음</t>
  </si>
  <si>
    <t>전체점수</t>
  </si>
  <si>
    <t>현황점수</t>
    <phoneticPr fontId="1" type="noConversion"/>
  </si>
  <si>
    <t>보안수준</t>
  </si>
  <si>
    <r>
      <t xml:space="preserve">◈ </t>
    </r>
    <r>
      <rPr>
        <b/>
        <sz val="12"/>
        <rFont val="맑은 고딕"/>
        <family val="3"/>
        <charset val="129"/>
      </rPr>
      <t>점검 영역별 보안수준 그래프</t>
    </r>
    <phoneticPr fontId="5" type="noConversion"/>
  </si>
  <si>
    <t>◈ 장비별 보안수준</t>
    <phoneticPr fontId="5" type="noConversion"/>
  </si>
  <si>
    <t>Host 명</t>
  </si>
  <si>
    <t>◈ 요약 통계</t>
    <phoneticPr fontId="5" type="noConversion"/>
  </si>
  <si>
    <t>중요도</t>
    <phoneticPr fontId="5" type="noConversion"/>
  </si>
  <si>
    <t>점검통계</t>
  </si>
  <si>
    <t>분류</t>
    <phoneticPr fontId="5" type="noConversion"/>
  </si>
  <si>
    <t>항목코드</t>
    <phoneticPr fontId="1" type="noConversion"/>
  </si>
  <si>
    <t>점검 항목</t>
  </si>
  <si>
    <t>전체항목</t>
    <phoneticPr fontId="5" type="noConversion"/>
  </si>
  <si>
    <t>양호</t>
    <phoneticPr fontId="5" type="noConversion"/>
  </si>
  <si>
    <t>취약</t>
    <phoneticPr fontId="5" type="noConversion"/>
  </si>
  <si>
    <t>해당없음</t>
    <phoneticPr fontId="5" type="noConversion"/>
  </si>
  <si>
    <t>중</t>
  </si>
  <si>
    <t>전체항목 합계</t>
    <phoneticPr fontId="5" type="noConversion"/>
  </si>
  <si>
    <t>N/A</t>
    <phoneticPr fontId="5" type="noConversion"/>
  </si>
  <si>
    <t>N/A</t>
    <phoneticPr fontId="1" type="noConversion"/>
  </si>
  <si>
    <t>◈ 항목별 취약 시스템 목록</t>
    <phoneticPr fontId="5" type="noConversion"/>
  </si>
  <si>
    <t>취약점이 발견된 시스템</t>
    <phoneticPr fontId="5" type="noConversion"/>
  </si>
  <si>
    <t>항목코드</t>
    <phoneticPr fontId="5" type="noConversion"/>
  </si>
  <si>
    <t>◈ 전년도 점검 결과</t>
    <phoneticPr fontId="5" type="noConversion"/>
  </si>
  <si>
    <t>◈ 전년도 올해 결과 비교</t>
    <phoneticPr fontId="5" type="noConversion"/>
  </si>
  <si>
    <t>신규</t>
    <phoneticPr fontId="5" type="noConversion"/>
  </si>
  <si>
    <t>조치</t>
    <phoneticPr fontId="5" type="noConversion"/>
  </si>
  <si>
    <t>미조치</t>
    <phoneticPr fontId="5" type="noConversion"/>
  </si>
  <si>
    <t>통계</t>
    <phoneticPr fontId="5" type="noConversion"/>
  </si>
  <si>
    <t>그외</t>
    <phoneticPr fontId="5" type="noConversion"/>
  </si>
  <si>
    <t>1. 텍스트파일 인코딩이 "ANSI"인 경우에만 오류없이 가져올 수 있음, "UTF-8 X"</t>
    <phoneticPr fontId="5" type="noConversion"/>
  </si>
  <si>
    <t>2. 텍스트파일은 한 개만 선택 가능하며 입력된 host명을 따라 자동 입력됨</t>
    <phoneticPr fontId="5" type="noConversion"/>
  </si>
  <si>
    <t>3. 텍스트파일명에 host명이 포함되어 있어야 함</t>
    <phoneticPr fontId="5" type="noConversion"/>
  </si>
  <si>
    <t>4. 텍스트파일 경로에 host명을 포함한 경로가 있으면 안됨</t>
    <phoneticPr fontId="5" type="noConversion"/>
  </si>
  <si>
    <t>호스트명</t>
    <phoneticPr fontId="1" type="noConversion"/>
  </si>
  <si>
    <t>항목명</t>
    <phoneticPr fontId="1" type="noConversion"/>
  </si>
  <si>
    <t>hostname</t>
    <phoneticPr fontId="1" type="noConversion"/>
  </si>
  <si>
    <t>◈ 통합 점검결과</t>
    <phoneticPr fontId="5" type="noConversion"/>
  </si>
  <si>
    <t>no</t>
    <phoneticPr fontId="1" type="noConversion"/>
  </si>
  <si>
    <t>자산 현황</t>
    <phoneticPr fontId="1" type="noConversion"/>
  </si>
  <si>
    <t>비고</t>
    <phoneticPr fontId="33" type="noConversion"/>
  </si>
  <si>
    <t>Host Name
(Instance)</t>
    <phoneticPr fontId="1" type="noConversion"/>
  </si>
  <si>
    <t>O/S</t>
    <phoneticPr fontId="1" type="noConversion"/>
  </si>
  <si>
    <t>IP 주소</t>
    <phoneticPr fontId="1" type="noConversion"/>
  </si>
  <si>
    <t>용도</t>
    <phoneticPr fontId="1" type="noConversion"/>
  </si>
  <si>
    <t>자산중요도</t>
    <phoneticPr fontId="1" type="noConversion"/>
  </si>
  <si>
    <t>항목중요도</t>
    <phoneticPr fontId="1" type="noConversion"/>
  </si>
  <si>
    <t>점검
결과</t>
    <phoneticPr fontId="1" type="noConversion"/>
  </si>
  <si>
    <t>현황</t>
    <phoneticPr fontId="33" type="noConversion"/>
  </si>
  <si>
    <t>개선대책
(대체보안수단)</t>
    <phoneticPr fontId="1" type="noConversion"/>
  </si>
  <si>
    <t>◈ 자산평가 결과</t>
    <phoneticPr fontId="33" type="noConversion"/>
  </si>
  <si>
    <t>Host Name</t>
    <phoneticPr fontId="33" type="noConversion"/>
  </si>
  <si>
    <t>IP Address</t>
    <phoneticPr fontId="33" type="noConversion"/>
  </si>
  <si>
    <t>O/S</t>
    <phoneticPr fontId="33" type="noConversion"/>
  </si>
  <si>
    <t>용도</t>
    <phoneticPr fontId="33" type="noConversion"/>
  </si>
  <si>
    <t>담당부서</t>
    <phoneticPr fontId="33" type="noConversion"/>
  </si>
  <si>
    <t>자산등급</t>
    <phoneticPr fontId="33" type="noConversion"/>
  </si>
  <si>
    <t>보안수준</t>
    <phoneticPr fontId="1" type="noConversion"/>
  </si>
  <si>
    <t>O 보안 수준 계산(숨김)</t>
    <phoneticPr fontId="33" type="noConversion"/>
  </si>
  <si>
    <t>분류</t>
    <phoneticPr fontId="33" type="noConversion"/>
  </si>
  <si>
    <t>항목 통계</t>
    <phoneticPr fontId="33" type="noConversion"/>
  </si>
  <si>
    <t>점검 점수</t>
  </si>
  <si>
    <t>전체</t>
    <phoneticPr fontId="33" type="noConversion"/>
  </si>
  <si>
    <t>점검</t>
  </si>
  <si>
    <t>양호</t>
    <phoneticPr fontId="33" type="noConversion"/>
  </si>
  <si>
    <t>취약</t>
    <phoneticPr fontId="33" type="noConversion"/>
  </si>
  <si>
    <t>N/A</t>
    <phoneticPr fontId="33" type="noConversion"/>
  </si>
  <si>
    <t>전체점수</t>
    <phoneticPr fontId="33" type="noConversion"/>
  </si>
  <si>
    <t>현황점수</t>
    <phoneticPr fontId="33" type="noConversion"/>
  </si>
  <si>
    <t>보안수준</t>
    <phoneticPr fontId="33" type="noConversion"/>
  </si>
  <si>
    <t>전체 보안 수준</t>
    <phoneticPr fontId="5" type="noConversion"/>
  </si>
  <si>
    <t>◈ 상세 점검 결과</t>
    <phoneticPr fontId="33" type="noConversion"/>
  </si>
  <si>
    <t>중요도 값</t>
    <phoneticPr fontId="1" type="noConversion"/>
  </si>
  <si>
    <t>현황 및 문제점</t>
    <phoneticPr fontId="33" type="noConversion"/>
  </si>
  <si>
    <t>개선방안 및 보호대책</t>
    <phoneticPr fontId="33" type="noConversion"/>
  </si>
  <si>
    <t>시트의 가장 마지막에 위치시키세요.</t>
  </si>
  <si>
    <t>172.31.1.39</t>
  </si>
  <si>
    <t>◈ 점검 영역별 보안수준</t>
    <phoneticPr fontId="1" type="noConversion"/>
  </si>
  <si>
    <t>localhost</t>
    <phoneticPr fontId="1" type="noConversion"/>
  </si>
  <si>
    <t>미흡</t>
    <phoneticPr fontId="1" type="noConversion"/>
  </si>
  <si>
    <t>이 보고서의 저작권은 ㈜린시큐어에 있음. 저작권법에 의해 보호받는 저작물이므로 어떠한 형태로든 무단전재 및 복제를 금함. 본 보고서의 내용에 대해서 ㈜린시큐어의 문서상 동의 없이는, 전체 혹은 부분적으로도 인용이 불가함을 알리며 동의 없이 사용할 시는 관련법에 의해 처벌받을 수 있음.</t>
    <phoneticPr fontId="5" type="noConversion"/>
  </si>
  <si>
    <t>SNMP 서비스가 활성화되어 있으며, SNMP community string을 “public, private"를 사용하거나, 복잡도를 만족하지 않음</t>
    <phoneticPr fontId="1" type="noConversion"/>
  </si>
  <si>
    <t>* 다음 명령을 실행하여 SNMP 버전 확인
# lslpp -l | grep -i snmp 
 [SNMPv3] 
- 보안레벨 설정이 AuthPriv로 설정되어 있는지 확인</t>
  </si>
  <si>
    <t>양호 - 보안설정이 적용된 네트워크 모니터링 서비스를 사용하는 경우
취약 - 보안설정이 적용되지 않은 네트워크 모니터링 서비스를 사용하는 경우</t>
  </si>
  <si>
    <t>* 양호 - SMTP 로그 수준 설정이 적절한 경우
* 취약 - SMTP 로그 수준 설정이 낮은 경우</t>
  </si>
  <si>
    <t>[ Sendmail ]
1. sendmail.cf 설정 파일 내부의 LogLevel 설정값 확인
2. LogLevel 설정값이 기본값 이상의 수준(9 이상)인지 확인
[ Postfix ]
1. syslog(/etc/syslog.conf, /etc/rsyslog.conf, /etc/rsyslog.d/ 경로) 설정 파일 확인
2. debug_peer_level 설정값이 기본값 이상의 수준(2 이상)인지 확인
[ Exim ]
1. 설정 파일 확인 (/etc/exim4/exim4.conf.template 또는 /etc/exim/exim4.conf 또는 /etc/exim4/conf.d/*.conf)
2. log_level 설정값*이 기본값 이상의 수준(5 이상)인지 확인
* 설정값이 없는 경우 Default 값: 5</t>
  </si>
  <si>
    <t>[ Sendmail ]
sendmail.cf 파일 내 PrivacyOptions 에 restrictqrun 설정 존재 여부 확인 
 - restrictqrun 설정이 있는 경우: 일반 사용자의 queue 처리가 제한됨
 - restrictqrun 설정이 없는 경우: 일반 사용자의 queue 처리가 제한되지 않음
[ Postfix ] 
postsuper 실행 파일 권한 점검
 - others 실행 권한이 없는 경우: 메일 관리자가 아닌 일반 사용자 queue 처리 불가
 - others 실행 권한이 있는 경우: 과도한 권한 부여로 일반 사용자도 queue 처리 가능
[ Exim ]
exim 실행 파일 권한 점검
 - others 실행 권한이 없는 경우: 메일 관리자가 아닌 일반 사용자 queue 처리 불가
 - others 실행 권한이 있는 경우: 과도한 권한 부여로 일반 사용자도 queue 처리 가능</t>
  </si>
  <si>
    <t>2025.00.00.</t>
    <phoneticPr fontId="1" type="noConversion"/>
  </si>
  <si>
    <t>2025-01-00</t>
    <phoneticPr fontId="1" type="noConversion"/>
  </si>
  <si>
    <t>안전한 네트워크 모니터링 서비스 사용</t>
    <phoneticPr fontId="1" type="noConversion"/>
  </si>
  <si>
    <t>* 다음 명령을 실행하여 SNMP 버전 확인
# lslpp -l | grep -i snmp 
 [SNMPv3] 
- 보안레벨 설정이 AuthPriv로 설정되어 있는지 확인</t>
    <phoneticPr fontId="1" type="noConversion"/>
  </si>
  <si>
    <t>양호 - 보안설정이 적용된 네트워크 모니터링 서비스를 사용하는 경우
취약 - 보안설정이 적용되지 않은 네트워크 모니터링 서비스를 사용하는 경우, SNMP v3 사용  가능한 환경에서 v2를 이용 시</t>
    <phoneticPr fontId="1" type="noConversion"/>
  </si>
  <si>
    <t>판단방법
(HP-UX)</t>
    <phoneticPr fontId="1" type="noConversion"/>
  </si>
  <si>
    <t>취약점 설명</t>
    <phoneticPr fontId="1" type="noConversion"/>
  </si>
  <si>
    <t>양호 - 보안설정이 적용된 네트워크 모니터링 서비스를 사용하는 경우
취약 - 보안설정이 적용되지 않은 네트워크 모니터링 서비스를 사용하는 경우</t>
    <phoneticPr fontId="1" type="noConversion"/>
  </si>
  <si>
    <t>네트워크 모니터링 서비스를 비활성화하거나, 서비스를 사용하는 경우 프로토콜에 따라 알맞은 버전 및 안전한 보안설정을 적용하여 사용</t>
    <phoneticPr fontId="1" type="noConversion"/>
  </si>
  <si>
    <t>2.1 현황점수 계산</t>
    <phoneticPr fontId="1" type="noConversion"/>
  </si>
  <si>
    <t>현황점수 = 항목 중요도 X N</t>
    <phoneticPr fontId="1" type="noConversion"/>
  </si>
  <si>
    <t>▣ 위협 분석 및 평가</t>
  </si>
  <si>
    <t>분 류</t>
  </si>
  <si>
    <t>T_code
(Threat)</t>
  </si>
  <si>
    <t>위협 항목</t>
  </si>
  <si>
    <t>내 용</t>
  </si>
  <si>
    <t>심각도
(H,M,L)</t>
  </si>
  <si>
    <t>발생빈도
(H,M,L)</t>
  </si>
  <si>
    <t>심각도
(점수)</t>
    <phoneticPr fontId="75" type="noConversion"/>
  </si>
  <si>
    <t>발생빈도
(점수)</t>
    <phoneticPr fontId="75" type="noConversion"/>
  </si>
  <si>
    <t>평가
점수</t>
    <phoneticPr fontId="5" type="noConversion"/>
  </si>
  <si>
    <t>위협등급</t>
    <phoneticPr fontId="75" type="noConversion"/>
  </si>
  <si>
    <t>위협도
(T_Value)</t>
    <phoneticPr fontId="75" type="noConversion"/>
  </si>
  <si>
    <t>일반적 재해(G)</t>
    <phoneticPr fontId="5" type="noConversion"/>
  </si>
  <si>
    <t>TG-01</t>
  </si>
  <si>
    <t>보안 규정 부재 또는 미흡</t>
  </si>
  <si>
    <t>- 보안 정책/지침/절차 수립의 부재 또는 미흡
- 상위기관 규정 미준수로 인한 보안사고의 발생</t>
    <phoneticPr fontId="75" type="noConversion"/>
  </si>
  <si>
    <t>TG-02</t>
  </si>
  <si>
    <t>관리 및 운영 절차의 부재 또는 미흡</t>
  </si>
  <si>
    <t>- 운영/접근통제 절차 미흡/부재,
- 사후관리 절차 미흡/부재,
- 변경관리 절차 미흡,
- 검증/모니터링, 보고 절차 부재</t>
    <phoneticPr fontId="1" type="noConversion"/>
  </si>
  <si>
    <t>TG-03</t>
  </si>
  <si>
    <t>인력 가용성 위반</t>
  </si>
  <si>
    <t>- 전문 인력 부족 및 부적절한 배치</t>
    <phoneticPr fontId="75" type="noConversion"/>
  </si>
  <si>
    <t>TG-04</t>
  </si>
  <si>
    <t>유지보수 미비</t>
  </si>
  <si>
    <t>- 유지보수 미계약.
- 유지보수 활동 미흡으로 인한 장애 
- 서비스 수준 협정(SLA)의 부족 또는 불충분</t>
    <phoneticPr fontId="75" type="noConversion"/>
  </si>
  <si>
    <t>TG-05</t>
  </si>
  <si>
    <t>자산관리 미흡</t>
  </si>
  <si>
    <t>- 자산목록 문서 부재
- 내부 자산의 목록 관리 미흡, 중요도, 책임자/관리자 미설정
- 자산의 통제 미흡으로 인한 도난, 분실 등</t>
    <phoneticPr fontId="75" type="noConversion"/>
  </si>
  <si>
    <t>TG-06</t>
  </si>
  <si>
    <t>금융사기 및 부정</t>
  </si>
  <si>
    <t>- 각종 금융사기 및 부정 행위</t>
    <phoneticPr fontId="1" type="noConversion"/>
  </si>
  <si>
    <t>L</t>
  </si>
  <si>
    <t>TG-07</t>
  </si>
  <si>
    <t>사회공학적 침해
(사회공학적 공격)</t>
  </si>
  <si>
    <t>- 관리자/직원 사칭에 의한 정보 유출
- 타기관 사칭 및 외주직원에 의한 침해</t>
    <phoneticPr fontId="1" type="noConversion"/>
  </si>
  <si>
    <t>TG-08</t>
  </si>
  <si>
    <t>법 및 계약 요구사항</t>
  </si>
  <si>
    <t>- 법적 요구사항, 계약 상 지켜야 할 사항 인지 부족
- 법적 요구사항, 계약 조건에 대한 정보 부재</t>
    <phoneticPr fontId="1" type="noConversion"/>
  </si>
  <si>
    <t>TG-09</t>
  </si>
  <si>
    <t>자산 폐기 및 반출입 관리의 보호</t>
    <phoneticPr fontId="75" type="noConversion"/>
  </si>
  <si>
    <t>- PC 또는 서버 등 정보자산의 반출입 또는 폐기하였을 경우 사용자 전환 시 허가되지 않은 데이터 노출 발생</t>
    <phoneticPr fontId="75" type="noConversion"/>
  </si>
  <si>
    <t>TG-10</t>
  </si>
  <si>
    <t xml:space="preserve">외부 단말기의 물리적 통제 미흡 </t>
    <phoneticPr fontId="75" type="noConversion"/>
  </si>
  <si>
    <r>
      <t>- 재택근무에 사용되는 외부 단말기의 분실</t>
    </r>
    <r>
      <rPr>
        <sz val="10"/>
        <rFont val="MS Gothic"/>
        <family val="3"/>
        <charset val="128"/>
      </rPr>
      <t>･</t>
    </r>
    <r>
      <rPr>
        <sz val="10"/>
        <rFont val="맑은 고딕"/>
        <family val="3"/>
        <charset val="129"/>
      </rPr>
      <t>도난이나 타인의 정보 훔쳐보기 시 단말기 內 데이터가 유</t>
    </r>
    <r>
      <rPr>
        <sz val="10"/>
        <rFont val="MS Gothic"/>
        <family val="3"/>
        <charset val="128"/>
      </rPr>
      <t>･</t>
    </r>
    <r>
      <rPr>
        <sz val="10"/>
        <rFont val="맑은 고딕"/>
        <family val="3"/>
        <charset val="129"/>
      </rPr>
      <t>노출
- 외부 단말기를 통한 허가되지 않은 내부 네트워크 접근
- 악성코드에 감염된 외부 단말기로 내부 네트워크 연결 시 시스템 침해 가능</t>
    </r>
    <phoneticPr fontId="75" type="noConversion"/>
  </si>
  <si>
    <t>일반적 재해(G)</t>
  </si>
  <si>
    <t>TG-11</t>
  </si>
  <si>
    <t>공급망 관리 미흡</t>
  </si>
  <si>
    <t>- 회사에서 사용하는 핵심 소프트웨어, 시스템 등에 대해 특정 공급업체에 과도하게 의존할 경우, 공급업체의 파산, 계약 종료, 서비스 중단 등의 비상상황 발생 시 대체 방안 부재로 인해 업무 연속성 저해, 서비스 중단, 자산 손실 등의 피해 발생 가능</t>
    <phoneticPr fontId="1" type="noConversion"/>
  </si>
  <si>
    <t>TG-12</t>
  </si>
  <si>
    <t>정보의 검증 미흡</t>
  </si>
  <si>
    <t>- 회사 등에서 사용하게 되는 정보에 대해 검증 절차의 누락 또는 다중 검증 누락으로 인해 데이터의 유,노출이 발생
- 정보의 검증을 위해 사용 중인 제3의 기관이 침해 되어 정보의 무결성이 손상
- 전자정보(데이터, 전자문서 등)에 대한 비인가자의 임의 변경으로 데이터 무결성 침해</t>
    <phoneticPr fontId="1" type="noConversion"/>
  </si>
  <si>
    <t>TG-13</t>
  </si>
  <si>
    <t>사이버 공격 서비스</t>
  </si>
  <si>
    <t>- 기술과 AI의 발달로 사이버 범죄 수단이 서비스화(CaaS)되어 사이버 공격 진입장벽 완화</t>
    <phoneticPr fontId="1" type="noConversion"/>
  </si>
  <si>
    <t>TG-14</t>
  </si>
  <si>
    <t>오픈소스 공급자 검증 미흡</t>
  </si>
  <si>
    <t>- 검증되지 않은 오픈소스 소프트웨어 사용으로 인해 악성코드 감염 등 내부 시스템 침해 가능성 존재</t>
    <phoneticPr fontId="1" type="noConversion"/>
  </si>
  <si>
    <t>TG-15</t>
  </si>
  <si>
    <t>공격의 연계(이름 변경 예정)</t>
  </si>
  <si>
    <t>- 지정학적 불안 등으로 사이버 공격자들이 노리는 목표가 다양해지며, 목표에 도달하기 위한 다양한 우회 경로를 마련하기 위해 침해의 전염 등 다양한 방법을 시도 하고 있어 의도하지 않은 공격의 대상이 되어 피해를 받을 수 있음</t>
  </si>
  <si>
    <t>TG-16</t>
  </si>
  <si>
    <t>공동 대응 미흡</t>
  </si>
  <si>
    <t>- 사이버 위협 고도화로 단독 대응이 어려워지며, 탐지·분석·차단을 위한 전문기관과의 공동 대응 필요</t>
    <phoneticPr fontId="1" type="noConversion"/>
  </si>
  <si>
    <t>TG-17</t>
  </si>
  <si>
    <t>부족한 보안 지원</t>
  </si>
  <si>
    <t>- 현안 대응 우선으로 보안 지원이 소홀해지며, 자원 부족으로 알려진 공격조차 방어하지 못해 침해 및 서비스 중단 유발 가능</t>
    <phoneticPr fontId="1" type="noConversion"/>
  </si>
  <si>
    <t>TG-18</t>
  </si>
  <si>
    <t>서비스 제공 기업 모니터링</t>
  </si>
  <si>
    <t>- 신뢰된 제3자를 통한 소프트웨어 공급망 침투로 보안 사고 발생 위험이 존재</t>
    <phoneticPr fontId="1" type="noConversion"/>
  </si>
  <si>
    <t>TG-19</t>
  </si>
  <si>
    <t>위험의 전가</t>
  </si>
  <si>
    <t>- 사이버 보험 등 위험 전가 체계 미비로 인한 재정적 리스크 증가</t>
    <phoneticPr fontId="1" type="noConversion"/>
  </si>
  <si>
    <t>TG-20</t>
  </si>
  <si>
    <t>위험 관리</t>
    <phoneticPr fontId="1" type="noConversion"/>
  </si>
  <si>
    <t>- 정보시스템 자산에 대한 주기적 위험 분석 및 평가 미비로 인해 다양한 피해 유발</t>
    <phoneticPr fontId="1" type="noConversion"/>
  </si>
  <si>
    <t>TG-21</t>
  </si>
  <si>
    <t>회사와 보안의 불합치</t>
  </si>
  <si>
    <t>- 회사의 경영 목표와 보안 목표 간 정합성 부족으로 인해 보안 우선순위 하락 및 대응 역량 저하</t>
    <phoneticPr fontId="1" type="noConversion"/>
  </si>
  <si>
    <t>TG-22</t>
    <phoneticPr fontId="1" type="noConversion"/>
  </si>
  <si>
    <t>보안조직</t>
    <phoneticPr fontId="1" type="noConversion"/>
  </si>
  <si>
    <t>- 보안조직이 존재하지 않아 보안 정책 수립 및 이행이 체계적으로 이루어지지 않아 보안사고 발생</t>
    <phoneticPr fontId="1" type="noConversion"/>
  </si>
  <si>
    <t>H</t>
    <phoneticPr fontId="1" type="noConversion"/>
  </si>
  <si>
    <t>L</t>
    <phoneticPr fontId="1" type="noConversion"/>
  </si>
  <si>
    <t>TG-23</t>
    <phoneticPr fontId="1" type="noConversion"/>
  </si>
  <si>
    <t>인적보안</t>
    <phoneticPr fontId="1" type="noConversion"/>
  </si>
  <si>
    <t>- 주요직무자 식별, 서약서 작성, 교육, 퇴직 관리 등 입사에서 퇴사까지의 임직원에 대한 보안 활동 미흡으로 인한 보안사고 발생</t>
    <phoneticPr fontId="1" type="noConversion"/>
  </si>
  <si>
    <t>L</t>
    <phoneticPr fontId="1" type="noConversion"/>
  </si>
  <si>
    <t>L</t>
    <phoneticPr fontId="1" type="noConversion"/>
  </si>
  <si>
    <t>TG-24</t>
    <phoneticPr fontId="1" type="noConversion"/>
  </si>
  <si>
    <t>문서 및 기록의 보호</t>
    <phoneticPr fontId="1" type="noConversion"/>
  </si>
  <si>
    <t>- 보안관련 문서 및 기록 관리 미흡으로 보안사고 발생</t>
    <phoneticPr fontId="1" type="noConversion"/>
  </si>
  <si>
    <t>TG-25</t>
    <phoneticPr fontId="1" type="noConversion"/>
  </si>
  <si>
    <t>정보보호 활동</t>
  </si>
  <si>
    <t>- 범위 누락, 자산 누락 등 보안활동 범위 미식별로 인해 보안사고 발생
- 적절치 않은 정보보안 계획(대책) 및 예산 반영으로 효과적인 보안사고 예방 및 대응 실패</t>
    <phoneticPr fontId="1" type="noConversion"/>
  </si>
  <si>
    <t>M</t>
    <phoneticPr fontId="1" type="noConversion"/>
  </si>
  <si>
    <t>M</t>
    <phoneticPr fontId="1" type="noConversion"/>
  </si>
  <si>
    <t>인위적 재해(H)</t>
    <phoneticPr fontId="5" type="noConversion"/>
  </si>
  <si>
    <t>TH-01</t>
  </si>
  <si>
    <t>내외부 직원 통제 미흡</t>
  </si>
  <si>
    <t>- 내∙외부자에 의한 데이터 유출, 변조 및 파괴
- 내부직원의 통제 부족으로 인한 법적 피해 발생,
- 계약직 및 외부인에 의한 매체 또는 문서의 도난</t>
    <phoneticPr fontId="1" type="noConversion"/>
  </si>
  <si>
    <t>TH-02</t>
    <phoneticPr fontId="1" type="noConversion"/>
  </si>
  <si>
    <t>법적 계약 미비</t>
  </si>
  <si>
    <t>- 부적절한 고용 절차, 외주 인력에 대한 신원조회, 전문성 검증 미비,
- 고객 및 제3자와의 계약서의 조항 부족 또는 불충분
- 직원과의 계약서에 (정보보호에 관한) 조항의 부족 또는 불충분
- 계약서 내 보안 요구사항 기재 미흡</t>
    <phoneticPr fontId="1" type="noConversion"/>
  </si>
  <si>
    <t>TH-03</t>
  </si>
  <si>
    <t>교육 및 훈련</t>
  </si>
  <si>
    <t>- 정기적 교육 미비 및 불충분한 보안 훈련으로 인한 보안 인식 부족
- 전문적 교육 부족으로 업무 적격성(competence) 미흡</t>
    <phoneticPr fontId="1" type="noConversion"/>
  </si>
  <si>
    <t>인위적 재해(H)</t>
    <phoneticPr fontId="5" type="noConversion"/>
  </si>
  <si>
    <t>TH-04</t>
  </si>
  <si>
    <t>실수 또는 악의적 손상</t>
  </si>
  <si>
    <t>- 운영 실수나 악의적인 목적에 의한 소프트웨어/하드웨어의 장애 (데이터삭제, 물리적파괴 등)</t>
    <phoneticPr fontId="1" type="noConversion"/>
  </si>
  <si>
    <t>인위적 재해(H)</t>
    <phoneticPr fontId="5" type="noConversion"/>
  </si>
  <si>
    <t>TH-05</t>
  </si>
  <si>
    <t>운영절차 미준수</t>
  </si>
  <si>
    <t>- 규정 지침 절차의 미준수로 인한 사고</t>
    <phoneticPr fontId="5" type="noConversion"/>
  </si>
  <si>
    <t>TH-06</t>
  </si>
  <si>
    <t>관리자 권한 오남용</t>
  </si>
  <si>
    <t>- 관리자 권한의 오남용으로 인한 정보유출, 위변조 등 위반행위
- 주요업무자 모니터링 관리 미흡</t>
    <phoneticPr fontId="1" type="noConversion"/>
  </si>
  <si>
    <t>TH-07</t>
  </si>
  <si>
    <t>파업</t>
  </si>
  <si>
    <t>- 파업으로 인한 업무인력/대체인력 부재로 서비스/업무 문제 발생</t>
    <phoneticPr fontId="1" type="noConversion"/>
  </si>
  <si>
    <t>인위적 재해(H)</t>
  </si>
  <si>
    <t>TH-08</t>
  </si>
  <si>
    <t>하이브리드(사이버+물리적) 전쟁 및 테러</t>
  </si>
  <si>
    <t>- 국제전에서 하이브리드 전쟁 및 테러가 최초로 도입되기 시작('22 우크라이나 전쟁), 
- 다양한 방식의 서비스 파괴, 방해 공격을 예상한 총력전
- 통신망 테러를 통한 통신 마비를 일으켜 회사의 서비스를 중지 시키는 등 다양한 방식의 재해에 의한 훼손</t>
    <phoneticPr fontId="1" type="noConversion"/>
  </si>
  <si>
    <t>물리적 재해(P)</t>
    <phoneticPr fontId="5" type="noConversion"/>
  </si>
  <si>
    <t>TP-01</t>
  </si>
  <si>
    <t>자연재해</t>
  </si>
  <si>
    <t>- 화재, 홍수, 지진 등으로 인한 장애</t>
    <phoneticPr fontId="1" type="noConversion"/>
  </si>
  <si>
    <t>물리적 재해(P)</t>
    <phoneticPr fontId="5" type="noConversion"/>
  </si>
  <si>
    <t>TP-02</t>
  </si>
  <si>
    <t>환경재해</t>
  </si>
  <si>
    <t>- 정전, 항온항습기고장, 누수, CCTV 등</t>
    <phoneticPr fontId="1" type="noConversion"/>
  </si>
  <si>
    <t>TP-03</t>
  </si>
  <si>
    <t>전쟁 및 테러 등</t>
  </si>
  <si>
    <t>- 전쟁, 테러, 폭동, 데모, 도둑, 강도 등의 재해에 의한 자산의 훼손</t>
    <phoneticPr fontId="1" type="noConversion"/>
  </si>
  <si>
    <t>TP-04</t>
  </si>
  <si>
    <t>물리적 접근통제 미흡</t>
  </si>
  <si>
    <t>- 사무실, 전산실등 사내 통제구역의 비인가 접근</t>
    <phoneticPr fontId="1" type="noConversion"/>
  </si>
  <si>
    <t>TP-05</t>
  </si>
  <si>
    <t>장비 도난</t>
  </si>
  <si>
    <t>- 건물 출입문 및 창문의 물리적 보호의 부족 장비 도난</t>
    <phoneticPr fontId="1" type="noConversion"/>
  </si>
  <si>
    <t>물리적 재해(P)</t>
    <phoneticPr fontId="5" type="noConversion"/>
  </si>
  <si>
    <t>TP-06</t>
    <phoneticPr fontId="1" type="noConversion"/>
  </si>
  <si>
    <t>물리적 시설의 안전성</t>
  </si>
  <si>
    <t>- 주요 정보시스템의 물리적 위치 또는 시설에 대한 계획 및 조성 단계에서의 안전성 검토 미흡 인해 재난•장애의 피해 확대</t>
    <phoneticPr fontId="1" type="noConversion"/>
  </si>
  <si>
    <t>기술적 재해(T)</t>
    <phoneticPr fontId="5" type="noConversion"/>
  </si>
  <si>
    <t>TT-01</t>
  </si>
  <si>
    <t>개발/운영 환경 미분리</t>
  </si>
  <si>
    <t>- 개발/운영 환경의 서버 및 네트워크 미분리
- 테스트 시 실데이타 혼용사용</t>
    <phoneticPr fontId="75" type="noConversion"/>
  </si>
  <si>
    <t>기술적 재해(T)</t>
    <phoneticPr fontId="5" type="noConversion"/>
  </si>
  <si>
    <t>TT-02</t>
  </si>
  <si>
    <t>계정관리 미흡</t>
    <phoneticPr fontId="5" type="noConversion"/>
  </si>
  <si>
    <t>- 사용자 또는 이용자 관리미흡으로 인한 비인가자 접속</t>
    <phoneticPr fontId="5" type="noConversion"/>
  </si>
  <si>
    <t>M</t>
    <phoneticPr fontId="75" type="noConversion"/>
  </si>
  <si>
    <t>TT-03</t>
  </si>
  <si>
    <t>SW 오류 및 장애</t>
    <phoneticPr fontId="75" type="noConversion"/>
  </si>
  <si>
    <t>- 소프트웨어 버그 등에 의한 오동작
- 복잡한 사용자 인터페이스, 파라미터 설정오류, 부정확한 날짜 등으로 인한 오류</t>
    <phoneticPr fontId="1" type="noConversion"/>
  </si>
  <si>
    <t>기술적 재해(T)</t>
    <phoneticPr fontId="5" type="noConversion"/>
  </si>
  <si>
    <t>TT-04</t>
  </si>
  <si>
    <t>HW 장애</t>
  </si>
  <si>
    <t>- 하드웨어 파괴, 고장, 노후로 인한 장애
- 전산장비 이중화 및 예비장치 미확보로 인한 복구 불가</t>
    <phoneticPr fontId="5" type="noConversion"/>
  </si>
  <si>
    <t>TT-05</t>
  </si>
  <si>
    <t>접근통제 미흡</t>
  </si>
  <si>
    <t>- 내부 접근통제 시스템의 미설정, 미적용, 오류, 장애, 버그등에 의한 접근통제 미흡으로 인한 침해, 접근권한관리 미흡
- VPC 및 운영 서비스간의 Security Group 설정 미흡</t>
    <phoneticPr fontId="75" type="noConversion"/>
  </si>
  <si>
    <t>TT-06</t>
  </si>
  <si>
    <t>로그보관 미흡</t>
    <phoneticPr fontId="75" type="noConversion"/>
  </si>
  <si>
    <t>- 내부 시스템의 로그설정/분리보관 미흡으로 인한 책임추적 불가
- 클라우드 Console 및 리소스에 대한 로그 설정 미흡으로 인한 로그 보관 미흡</t>
    <phoneticPr fontId="75" type="noConversion"/>
  </si>
  <si>
    <t>TT-07</t>
  </si>
  <si>
    <t>암호화 미흡</t>
  </si>
  <si>
    <t>- 내부 주요 데이터의 암호화 적용 미흡으로 인한 정보유출
- 안전하지 않은 프로토콜 사용으로 인한 정보 유출</t>
    <phoneticPr fontId="75" type="noConversion"/>
  </si>
  <si>
    <t>TT-08</t>
  </si>
  <si>
    <t>모니터링 미흡</t>
  </si>
  <si>
    <t>- 내부 시스템의 모니터링 미흡으로 인한 오류/장애인지 지연 및 서비스/업무 문제 발생</t>
    <phoneticPr fontId="1" type="noConversion"/>
  </si>
  <si>
    <t>TT-09</t>
  </si>
  <si>
    <t>백업관리 미흡</t>
    <phoneticPr fontId="75" type="noConversion"/>
  </si>
  <si>
    <t>- 주요 시스템 데이터의 주기적 백업 및 검증 프로세스 부재 / 사고 발생시 복구 불가</t>
    <phoneticPr fontId="1" type="noConversion"/>
  </si>
  <si>
    <t>TT-10</t>
    <phoneticPr fontId="75" type="noConversion"/>
  </si>
  <si>
    <t>비인가 소프트웨어 사용</t>
    <phoneticPr fontId="75" type="noConversion"/>
  </si>
  <si>
    <t>- 불법/비인가 소프트웨어 사용에 의한 악성 바이러스 감염
- 불법/비인가 소프트웨어 사용에 의한 라이센스 위반</t>
    <phoneticPr fontId="75" type="noConversion"/>
  </si>
  <si>
    <t>TT-11</t>
  </si>
  <si>
    <t>비인가 저장매체 사용</t>
  </si>
  <si>
    <t>- USB, 외장하드, CD 등 허가되지 않은 저장매체의 사용</t>
    <phoneticPr fontId="1" type="noConversion"/>
  </si>
  <si>
    <t>TT-12</t>
  </si>
  <si>
    <t>- 최신 소프트웨어로 업데이트하지 않아 발생할 수 있는 침해사고</t>
    <phoneticPr fontId="1" type="noConversion"/>
  </si>
  <si>
    <t>TT-13</t>
  </si>
  <si>
    <t>내·외부 네트워크 서비스 장애</t>
  </si>
  <si>
    <t>- ISP, 회선등 통신서비스 장애
- 네트워크 장비/케이블(구성요소)의 고장 및 장애로 인한 서비스 중단 등</t>
    <phoneticPr fontId="1" type="noConversion"/>
  </si>
  <si>
    <t>TT-14</t>
  </si>
  <si>
    <t>- 미사용/불필요 서비스,프로그램,파일 등의 사용 및 관리 미흡에 의한 침해사고</t>
    <phoneticPr fontId="1" type="noConversion"/>
  </si>
  <si>
    <t>TT-15</t>
  </si>
  <si>
    <t>키 관리</t>
    <phoneticPr fontId="75" type="noConversion"/>
  </si>
  <si>
    <t>- 암호화 키 관리 및 사용자 액세스 키 관리 미흡으로 인한 데이터 유출</t>
    <phoneticPr fontId="75" type="noConversion"/>
  </si>
  <si>
    <t>TT-16</t>
  </si>
  <si>
    <t>클라우드 리전 마비</t>
    <phoneticPr fontId="75" type="noConversion"/>
  </si>
  <si>
    <t>- 클라우드 서비스 제공자의 시설의 마비로 인한 서비스 중단</t>
    <phoneticPr fontId="75" type="noConversion"/>
  </si>
  <si>
    <t>TT-17</t>
  </si>
  <si>
    <t>네트워크 구성 미흡</t>
    <phoneticPr fontId="75" type="noConversion"/>
  </si>
  <si>
    <t>- 클라우드 네트워크 상의 Public/Private Subnet 구성 및 설정 미흡</t>
    <phoneticPr fontId="75" type="noConversion"/>
  </si>
  <si>
    <t>TT-18</t>
  </si>
  <si>
    <t>로그분석 미흡</t>
    <phoneticPr fontId="1" type="noConversion"/>
  </si>
  <si>
    <t>- 주기적 또는 상시적으로 로그를 분석하거나 점검하지 않아 보안 위반의 발생 여부나 책임추적이 불가능</t>
    <phoneticPr fontId="75" type="noConversion"/>
  </si>
  <si>
    <t>TT-19</t>
  </si>
  <si>
    <t>리소스 관리 접근통제 미흡</t>
    <phoneticPr fontId="75" type="noConversion"/>
  </si>
  <si>
    <t>- 클라우드 리소스 관리 Console 접근에 대한 접근통제 미설정 및 2Factor 미적용, 과도한 접근권한 부여 등</t>
    <phoneticPr fontId="75" type="noConversion"/>
  </si>
  <si>
    <t>기술적 재해(T)</t>
  </si>
  <si>
    <t>TT-20</t>
  </si>
  <si>
    <t>자원 관리 미흡</t>
  </si>
  <si>
    <t>- 자원 소모량 검증 미비로 인한 자산 낭비 및 시스템 부하 증가</t>
    <phoneticPr fontId="1" type="noConversion"/>
  </si>
  <si>
    <t>TT-21</t>
  </si>
  <si>
    <t>신뢰받지 못하는 저장소</t>
  </si>
  <si>
    <t>- 통합 저장소 이용 및 보안 설정 미비로 인한 데이터 유·노출 위험 증가</t>
    <phoneticPr fontId="1" type="noConversion"/>
  </si>
  <si>
    <t>TT-22</t>
  </si>
  <si>
    <t>자동화 위협</t>
  </si>
  <si>
    <t>- 제한 없는 자동화 허용으로 인한 악성코드 자동 전파 및 침해 확산 가능성</t>
    <phoneticPr fontId="75" type="noConversion"/>
  </si>
  <si>
    <t>TT-23</t>
  </si>
  <si>
    <t>권한 관리</t>
  </si>
  <si>
    <t>- 설계 사상 대비 과도한 권한 부여로 인한 데이터 위변조 및 유출 가능성</t>
    <phoneticPr fontId="1" type="noConversion"/>
  </si>
  <si>
    <t>TT-24</t>
  </si>
  <si>
    <t>모듈화 보안 미흡</t>
  </si>
  <si>
    <t>- API 단위 시스템 도입에 따른 보안 검증 미흡으로 인한 침해 및 정보 유출 가능성</t>
    <phoneticPr fontId="1" type="noConversion"/>
  </si>
  <si>
    <t>TT-25</t>
  </si>
  <si>
    <t>보안 검증</t>
  </si>
  <si>
    <t>- 식별된 위협에 대한 선제적 대응 미흡 또는 이해당사자의 개입으로 인한 보안 검증의 공정성 저하로 인해 잠재적 공격 기술이 은폐되거나 간과되어, 데이터 유출 및 서비스 중단 등의 피해 발생 위험</t>
    <phoneticPr fontId="1" type="noConversion"/>
  </si>
  <si>
    <t>TT-26</t>
  </si>
  <si>
    <t>보안 기능 부족</t>
  </si>
  <si>
    <t>- 보안 요구사항이 미비한 정보시스템 도입으로 인한 침해위험 증가</t>
    <phoneticPr fontId="1" type="noConversion"/>
  </si>
  <si>
    <t>TT-27</t>
  </si>
  <si>
    <t>비 표준 언어 대응 미흡</t>
  </si>
  <si>
    <t>- Rust, Go 등 비표준 언어로 작성된 악성코드에 대한 대응 체계 미비 시, 초기 인터넷 시대와 유사한 형태의 급속한 악성코드 확산 및 대규모 침해 사고로 이어질 우려 존재</t>
    <phoneticPr fontId="1" type="noConversion"/>
  </si>
  <si>
    <t>TT-28</t>
  </si>
  <si>
    <t>인증 받지 않은 확장 프로그램</t>
  </si>
  <si>
    <t>- 웹 환경에서 다양한 브라우저 확장 프로그램 사용이 가능해진 가운데, 인증되지 않은 확장 기능을 통한 침해 및 사고 발생 위험 증가</t>
    <phoneticPr fontId="1" type="noConversion"/>
  </si>
  <si>
    <t>TT-29</t>
  </si>
  <si>
    <t>제로트러스트 위협</t>
  </si>
  <si>
    <t>- 제로트러스트는 '기본적으로 신뢰하지 않음'을 전제로 운영되나, 인증 체계의 집중화로 인해 인증 시스템이 우회될 경우 전사 자원에 대한 무제한 접근으로 이어질 수 있어 심각한 피해 발생 가능성 존재</t>
    <phoneticPr fontId="1" type="noConversion"/>
  </si>
  <si>
    <t>전자적 침해(E)</t>
    <phoneticPr fontId="5" type="noConversion"/>
  </si>
  <si>
    <t>TE-01</t>
  </si>
  <si>
    <t>위장 공격</t>
  </si>
  <si>
    <t>- spoofing 또는 정상 소프트웨어로 위장한 악성코드, 정상 하드웨어로 위장된 시스템 등에 의한 침해</t>
    <phoneticPr fontId="1" type="noConversion"/>
  </si>
  <si>
    <t>TE-02</t>
    <phoneticPr fontId="5" type="noConversion"/>
  </si>
  <si>
    <t>서비스거부</t>
  </si>
  <si>
    <t>- 네트워크 트래픽, 메모리 공격등 각종 서비스거부 공격에 의한 침해</t>
    <phoneticPr fontId="1" type="noConversion"/>
  </si>
  <si>
    <t>전자적 침해(E)</t>
    <phoneticPr fontId="5" type="noConversion"/>
  </si>
  <si>
    <t>TE-03</t>
  </si>
  <si>
    <t>악성코드</t>
  </si>
  <si>
    <t>- 웜, 바이러스, 랜섬웨어, 에드웨어 등 각종 악성코드에 의한 침해</t>
    <phoneticPr fontId="1" type="noConversion"/>
  </si>
  <si>
    <t>전자적 침해(E)</t>
    <phoneticPr fontId="5" type="noConversion"/>
  </si>
  <si>
    <t>TE-04</t>
  </si>
  <si>
    <t>전기적 도청</t>
  </si>
  <si>
    <t>- 전화 및 팩스, 무선통신망, 기타 도청 장비에 의한 도청</t>
    <phoneticPr fontId="1" type="noConversion"/>
  </si>
  <si>
    <t>TE-05</t>
  </si>
  <si>
    <t>전자적 도청</t>
  </si>
  <si>
    <t>- 내·외부 네트워크의 스니핑을 이용한 비인가 데이터 접근</t>
    <phoneticPr fontId="1" type="noConversion"/>
  </si>
  <si>
    <t>TE-06</t>
  </si>
  <si>
    <t>- 위·변조된 사이트, 메일, 문자 등에 의한 피싱</t>
    <phoneticPr fontId="1" type="noConversion"/>
  </si>
  <si>
    <t>TE-07</t>
  </si>
  <si>
    <t>- 침해를 목적으로 각종 스캔방법을 이용한 내부정보 수집</t>
    <phoneticPr fontId="1" type="noConversion"/>
  </si>
  <si>
    <t>TE-08</t>
  </si>
  <si>
    <t>정보의 송·수신 부인</t>
  </si>
  <si>
    <t>- 수신자의 정보 송·수신 부인</t>
    <phoneticPr fontId="1" type="noConversion"/>
  </si>
  <si>
    <t>TE-09</t>
  </si>
  <si>
    <t>신규취약점 침해</t>
  </si>
  <si>
    <t>- 알려지지 않은 신규 취약점에 의한 침해</t>
    <phoneticPr fontId="1" type="noConversion"/>
  </si>
  <si>
    <t>TE-10</t>
  </si>
  <si>
    <t>- 계정의 보관, 설정 부실등으로 인해 악의적 침해 행위로 인한 아이디/패스워드 유출</t>
    <phoneticPr fontId="1" type="noConversion"/>
  </si>
  <si>
    <t>TE-11</t>
  </si>
  <si>
    <t>안전하지 않은 API
(Application Programming Interface)</t>
  </si>
  <si>
    <t>- 안전하지 않은 API를 통한 데이터 유출, 서비스 접근 등을 통한 사고 발생</t>
    <phoneticPr fontId="1" type="noConversion"/>
  </si>
  <si>
    <t>TE-12</t>
  </si>
  <si>
    <t>- 시스템 보안설정 미흡으로 인한 침해사고 발생</t>
    <phoneticPr fontId="1" type="noConversion"/>
  </si>
  <si>
    <t>TE-13</t>
  </si>
  <si>
    <t>이용자 검증 미흡</t>
  </si>
  <si>
    <t>- 서비스 이용 시 이용자 검증 미흡으로 인한 침해사고 발생</t>
    <phoneticPr fontId="1" type="noConversion"/>
  </si>
  <si>
    <t>TE-14</t>
  </si>
  <si>
    <t>입력값 검증 미흡</t>
  </si>
  <si>
    <t>- 서비스 이용 시 이용자의 입력 값 검증 미흡으로 인한 침해사고 발생</t>
    <phoneticPr fontId="1" type="noConversion"/>
  </si>
  <si>
    <t>전자적 침해(E)</t>
  </si>
  <si>
    <t>TE-15</t>
  </si>
  <si>
    <t>악의적인 인공지능</t>
  </si>
  <si>
    <t>- 대화형 인공지능(AI) 사용 과정에서 내부 기밀 또는 중요 정보가 유출될 경우, 해당 정보가 AI 학습 데이터로 활용되어 글로벌 사용자에게 노출될 가능성 존재
- 머신러닝 기반 기술을 악용하여 잠재적 취약점을 가진 시스템을 빠르게 식별하고, 공격의 시작점으로 활용하여 피해 발생 가능성 증가</t>
    <phoneticPr fontId="1" type="noConversion"/>
  </si>
  <si>
    <t>TE-16</t>
  </si>
  <si>
    <t>악의적인 시스템 접근</t>
  </si>
  <si>
    <t>- 내부 시스템에서 악성 사이트 또는 시스템에 대한 접근 시도를 차단하지 못할 경우, 침해 전파의 경유지로 악용되는 등 보안 사고로 이어질 가능성 존재</t>
    <phoneticPr fontId="1" type="noConversion"/>
  </si>
  <si>
    <t>개인정보 침해(PI)</t>
    <phoneticPr fontId="5" type="noConversion"/>
  </si>
  <si>
    <t>TPI-01</t>
    <phoneticPr fontId="5" type="noConversion"/>
  </si>
  <si>
    <t>개인정보 수집</t>
    <phoneticPr fontId="5" type="noConversion"/>
  </si>
  <si>
    <t>- 개인정보 수집∙이용 동의 절차 부재, 동의 시 고지사항 미흡,  불필요한 개인정보 수집</t>
    <phoneticPr fontId="5" type="noConversion"/>
  </si>
  <si>
    <t>TPI-02</t>
    <phoneticPr fontId="5" type="noConversion"/>
  </si>
  <si>
    <t>개인정보 이용</t>
    <phoneticPr fontId="5" type="noConversion"/>
  </si>
  <si>
    <t>- 동의 받은 목적 및 법령에서 구체적으로 정한 범위 내에서 개인정보 이용</t>
    <phoneticPr fontId="5" type="noConversion"/>
  </si>
  <si>
    <t>개인정보 침해(PI)</t>
    <phoneticPr fontId="5" type="noConversion"/>
  </si>
  <si>
    <t>TPI-03</t>
    <phoneticPr fontId="5" type="noConversion"/>
  </si>
  <si>
    <t>중요정보 수집</t>
    <phoneticPr fontId="5" type="noConversion"/>
  </si>
  <si>
    <t>- 주민등록번호, 민감정보 등 중요 개인정보의 근거에 의하지 않은 수집</t>
    <phoneticPr fontId="5" type="noConversion"/>
  </si>
  <si>
    <t>TPI-04</t>
    <phoneticPr fontId="5" type="noConversion"/>
  </si>
  <si>
    <t>개인정보 제공</t>
    <phoneticPr fontId="5" type="noConversion"/>
  </si>
  <si>
    <t>- 제3자의 무분별한 개인정보 이용 및 안전한 관리 미흡</t>
    <phoneticPr fontId="5" type="noConversion"/>
  </si>
  <si>
    <t>TPI-05</t>
    <phoneticPr fontId="5" type="noConversion"/>
  </si>
  <si>
    <t>개인정보 위탁</t>
    <phoneticPr fontId="5" type="noConversion"/>
  </si>
  <si>
    <t>- 위탁 절차 미흡, 수탁자 관리∙감독 미흡</t>
    <phoneticPr fontId="5" type="noConversion"/>
  </si>
  <si>
    <t>TPI-06</t>
    <phoneticPr fontId="5" type="noConversion"/>
  </si>
  <si>
    <t>개인정보 파기</t>
    <phoneticPr fontId="5" type="noConversion"/>
  </si>
  <si>
    <t>- 개인정보의 안전한 파기 관리 및 파기 방법이 구현되지 않음으로써 목적을 달성한 개인정보의 재사용</t>
    <phoneticPr fontId="5" type="noConversion"/>
  </si>
  <si>
    <t>TPI-07</t>
    <phoneticPr fontId="5" type="noConversion"/>
  </si>
  <si>
    <t>분리보관</t>
    <phoneticPr fontId="5" type="noConversion"/>
  </si>
  <si>
    <t>- 분리보관 미흡으로 인한 목적외 사용 발생</t>
    <phoneticPr fontId="5" type="noConversion"/>
  </si>
  <si>
    <t>TPI-08</t>
    <phoneticPr fontId="5" type="noConversion"/>
  </si>
  <si>
    <t>정보주체의 권리 보장</t>
    <phoneticPr fontId="5" type="noConversion"/>
  </si>
  <si>
    <t>- 개인정보처리방침, 이용내역 통지, 이용내역 요청 등 개인정보주체의 권리 미보장</t>
    <phoneticPr fontId="5" type="noConversion"/>
  </si>
  <si>
    <t>TPI-09</t>
    <phoneticPr fontId="5" type="noConversion"/>
  </si>
  <si>
    <t>개인정보 출력</t>
    <phoneticPr fontId="5" type="noConversion"/>
  </si>
  <si>
    <t>- 개인정보처리시스템 상의 조회, 출력되는 개인정보의 유출</t>
    <phoneticPr fontId="5" type="noConversion"/>
  </si>
  <si>
    <t>TPI-10</t>
    <phoneticPr fontId="5" type="noConversion"/>
  </si>
  <si>
    <t>영상정보처리기기 관리</t>
    <phoneticPr fontId="5" type="noConversion"/>
  </si>
  <si>
    <t>- 정보주체의 영상정보 수집 및 안내에 관한 권리 침해</t>
    <phoneticPr fontId="5" type="noConversion"/>
  </si>
  <si>
    <t>TE-02</t>
  </si>
  <si>
    <t>- 내부 시스템의 모니터링 미흡으로 인한 오류/장애인지 지연 및 서비스/업무 문제 발생</t>
  </si>
  <si>
    <t>- 미사용/불필요 서비스,프로그램,파일 등의 사용 및 관리 미흡에 의한 침해사고</t>
  </si>
  <si>
    <t>- 침해를 목적으로 각종 스캔방법을 이용한 내부정보 수집</t>
  </si>
  <si>
    <t>로그보관 미흡</t>
  </si>
  <si>
    <t>- 내부 시스템의 로그설정/분리보관 미흡으로 인한 책임추적 불가
- 클라우드 Console 및 리소스에 대한 로그 설정 미흡으로 인한 로그 보관 미흡</t>
  </si>
  <si>
    <t>- 최신 소프트웨어로 업데이트하지 않아 발생할 수 있는 침해사고</t>
  </si>
  <si>
    <t>- 네트워크 트래픽, 메모리 공격등 각종 서비스거부 공격에 의한 침해</t>
  </si>
  <si>
    <t>- 수신자의 정보 송·수신 부인</t>
  </si>
  <si>
    <t>- 설계 사상 대비 과도한 권한 부여로 인한 데이터 위변조 및 유출 가능성</t>
  </si>
  <si>
    <t>- 계정의 보관, 설정 부실등으로 인해 악의적 침해 행위로 인한 아이디/패스워드 유출</t>
  </si>
  <si>
    <t>- 내부 접근통제 시스템의 미설정, 미적용, 오류, 장애, 버그등에 의한 접근통제 미흡으로 인한 침해, 접근권한관리 미흡
- VPC 및 운영 서비스간의 Security Group 설정 미흡</t>
  </si>
  <si>
    <t>- 관리자 권한의 오남용으로 인한 정보유출, 위변조 등 위반행위
- 주요업무자 모니터링 관리 미흡</t>
  </si>
  <si>
    <t>위협평가</t>
    <phoneticPr fontId="1" type="noConversion"/>
  </si>
  <si>
    <t>◈ 클라우드관리체계 보안 가이드</t>
    <phoneticPr fontId="5" type="noConversion"/>
  </si>
  <si>
    <t>정보처리시스템 보호대책</t>
  </si>
  <si>
    <t>취약점 분석·평가</t>
  </si>
  <si>
    <t>업무 지속성 확보방안</t>
  </si>
  <si>
    <t>단말기 보호대책</t>
  </si>
  <si>
    <t>IP주소 관리</t>
  </si>
  <si>
    <t>PRCI-001</t>
  </si>
  <si>
    <t>PRCI-002</t>
  </si>
  <si>
    <t>PRCI-003</t>
  </si>
  <si>
    <t>PRCI-004</t>
  </si>
  <si>
    <t>PRCI-005</t>
  </si>
  <si>
    <t>PRCI-006</t>
  </si>
  <si>
    <t>PRCI-007</t>
  </si>
  <si>
    <t>PRCI-008</t>
  </si>
  <si>
    <t>PRCI-009</t>
  </si>
  <si>
    <t>PRCI-010</t>
  </si>
  <si>
    <t>PRCI-011</t>
  </si>
  <si>
    <t>PRCI-012</t>
  </si>
  <si>
    <t>PRCI-013</t>
  </si>
  <si>
    <t>PRCI-014</t>
  </si>
  <si>
    <t>PRCI-015</t>
  </si>
  <si>
    <t>PRCI-016</t>
  </si>
  <si>
    <t>PRCI-017</t>
  </si>
  <si>
    <t>PRCI-018</t>
  </si>
  <si>
    <t>PRCI-019</t>
  </si>
  <si>
    <t>PRCI-020</t>
  </si>
  <si>
    <t>정기적인 가상화 인스턴스(가상머신, 컨테이너) 식별 여부</t>
  </si>
  <si>
    <t>가상화 인스턴스(가상머신, 컨테이너)의 생성, 변경, 회수 등에 관한 승인절차 수립 및 이행</t>
  </si>
  <si>
    <t>가상화 인스턴스(가상머신, 컨테이너) 변경에 대한 기록 관리</t>
  </si>
  <si>
    <t>가상화 인스턴스(가상머신, 컨테이너)의 보안 등급에 따른 책임자 지정</t>
  </si>
  <si>
    <t>가상머신 구축시 표준 이미지 미사용</t>
  </si>
  <si>
    <t>주기적인 표준 이미지 보안 검증 수행</t>
  </si>
  <si>
    <t>컨테이너 구성 파일에 대한 사전 보안 검증 수행</t>
  </si>
  <si>
    <t>시스템 가동기록 보관</t>
  </si>
  <si>
    <t>시스템에 대한 성능 및 용량 모니터링</t>
  </si>
  <si>
    <t>시스템 운영 매뉴얼 작성</t>
  </si>
  <si>
    <t>장애 발생시 장애상황기록부 작성</t>
  </si>
  <si>
    <t>시스템 정기 백업 및 보관 여부</t>
  </si>
  <si>
    <t>재해 또는 장애발생 시 복구를 위한 별도 구간 확보</t>
  </si>
  <si>
    <t>시스템 접근 시 강화된 보호대책이 미적용된 단말기를 통한 접속</t>
  </si>
  <si>
    <t>가상네트워크 접근통제 정책에 대한 변경통제 절차 수립</t>
  </si>
  <si>
    <t>소프트웨어 및 하드웨어 지원 서비스가 종료(EOS)된 노후장비 존재</t>
  </si>
  <si>
    <t>최신/긴급 보안 패치 및 업데이트 적용 여부</t>
  </si>
  <si>
    <t>시스템의 이중화 구성 여부</t>
  </si>
  <si>
    <t>업무 특성별 가상 네트워크 구간 분리 구성</t>
  </si>
  <si>
    <t>클라우드 시스템과 가상자산 간 IP 분리 구성</t>
  </si>
  <si>
    <t>o 가상화 인스턴스(가상머신, 컨테이너)가 식별이 되지 않을 경우, 시스템 침입, 데이터 유출 등을 목적으로 생성한 불필요 인스턴스가 존재할 수 있으므로, 정기적인 가상화 인스턴스(가상머신, 컨테이너) 식별 여부를 점검
 * 클라우드는 중앙집중화 되며, 스케일 업/아웃이 빈번하게 발생될 수 있으므로 자동화 방식으로 식별하는 것을 권고</t>
  </si>
  <si>
    <t>o 인가되지 않은 가상화 인스턴스(가상머신, 컨테이너) 생성, 변경, 회수 등을 방지하기 위한, 승인 절차 수립 및 이행 여부를 점검</t>
  </si>
  <si>
    <t>o 가상화 인스턴스(가상머신, 컨테이너)를 통해 발생될 수 있는 침해사고에 대한 사후 추적성 확보를 위해 가상 인스턴스의 변경(생성, 이동, 삭제, 복사 등)에 관한 기록 관리 여부를 점검</t>
  </si>
  <si>
    <t>o 가상화 인스턴스(가상머신, 컨테이너)의 용도, 취급 정보, 법적 요구사항 등을 고려한 보안 등급(중요도)을 측정하고, 그에 따른 책임자 지정 여부를 점검</t>
  </si>
  <si>
    <t>o 개별 가상머신에 대한 보안수준을 일정하게 적용하기 위하여, 사전에 보안 취약점을 제거한 표준 이미지(Golden Image)*를 생성, 배포 여부를 점검
 *표준 이미지(Golden Image) : 클라우드 운영자가 정의한 보안성이 적용된 상태의 이미지</t>
  </si>
  <si>
    <t>o 주기적으로 표준 이미지에 대한 보안성 점검을 수행하지 않을 경우 신규 취약점에 의해 표준 이미지의 보안성이 약화될 수 있으므로, 표준 이미지에 대한 주기적인 보안 점검 수행 여부</t>
  </si>
  <si>
    <t>컨테이너 생성을 위해 사용되는 컨테이너 구성 파일(쿠버네티스 매니페스트 파일, 도커파일 등)의 보안 수준 향상을 위한, 사전 보안점검 수행 여부를 점검</t>
  </si>
  <si>
    <t>ㅇ 클라우드 시스템에 대한 가동기록* 보관(1년이상) 여부를 점검
 * 클라우드 시스템에 접속한 일시, 접속자 및 접근을 확인할 수 있는 접근 기록 (시스템 로그, 콘솔로그 등)</t>
  </si>
  <si>
    <t>ㅇ 가상 시스템, 가상자원에 대한 성능 및 용량을 자동화된 방식으로 모니터링하고, 주기적으로 시스템 사용 현황 및 추이 분석 등 수행 여부를 점검</t>
  </si>
  <si>
    <t>o 클라우드 시스템에 대한 구동, 조작방법, 명령어 사용법, 운용순서, 장애조치 및 연락처 등 시스템 운영매뉴얼 작성(및 주기적 갱신) 여부를 점검</t>
  </si>
  <si>
    <t>ㅇ 클라우드 시스템에 대한 장애 발생시 장애상황기록부에 장애일시, 장애내용, 조치사항 등을 작성 및 보관 여부를 점검</t>
  </si>
  <si>
    <t>ㅇ 가상화 인스턴스(가상머신, 컨테이너), 가상 네트워크 접근통제 정책을 정기 백업하고, 안전지역 소산 및 백업자료 1년 이상 기록/관리 여부를 점검</t>
  </si>
  <si>
    <t>ㅇ 재해, 장애 등의 비상시를 대비해 재해 복구 센터 또는 백업센터 등의 별도 네트워크 구간 마련 여부</t>
  </si>
  <si>
    <t>o 클라우드 시스템에 접근 시, 비인가자에 의한 시스템 무단 접근을 방지하기 위해 강화된 보호대책*이 적용된 단말기를 통한 접근 여부 점검
 * 외부 반출, 인터넷 접속, 그룹웨어 접속의 금지 등</t>
  </si>
  <si>
    <t>o 가상네트워크의 접근통제 정책 승인 및 적용 시, 정책 등록, 변경, 삭제 내용에 대한 보관 여부</t>
  </si>
  <si>
    <t>o 벤더의 소프트웨어 및 하드웨어의 지원이 종료된 경우 장비의 성능저하 및 장애, 신규 취약점 패치 등이 원할하지 않을 수 있으므로 지원이 종료(End of Service)된 노후장비 존재 여부를 점검</t>
  </si>
  <si>
    <t>o 최신 보안패치 및 벤더 권고사항을 적용하지 않은 경우, 알려진 취약점에 노출될 수 있는 위협이 존재하므로 최신 보안 패치 및 권고사항 이행 여부를 점검</t>
  </si>
  <si>
    <t>ㅇ 클라우드 관리 플랫폼, 하이퍼바이저 등 클라우드 시스템의 이중화(클러스터 구성) 구성 여부를 점검</t>
  </si>
  <si>
    <t>o 업무 특성별로 가상 네트워크 구간이 분리되지 않을 경우 침해사고 발생 시, 인접한 네트워크를 경유한 정보 유출 등의 보안 위협이 발생될 수 있으므로  가상 네트워크 구간을 업무 특성별로 적절하게 분리하고 있는지 점검</t>
  </si>
  <si>
    <t>o 클라우드 시스템과 가상화 인스턴스(가상머신, 컨테이너)가 동일 네트워크 구간에 존재할 경우, 가상자산을 경유한 클라우드 시스템에 침입할 수 있는 위협이 있으므로, 시스템과 가상화 인스턴스간 IP 분리 구성 여부를 점검</t>
  </si>
  <si>
    <r>
      <rPr>
        <b/>
        <i/>
        <sz val="20"/>
        <color rgb="FFFF0000"/>
        <rFont val="맑은 고딕"/>
        <family val="3"/>
        <charset val="129"/>
        <scheme val="minor"/>
      </rPr>
      <t>기관명</t>
    </r>
    <r>
      <rPr>
        <b/>
        <sz val="20"/>
        <color rgb="FFFFFFFF"/>
        <rFont val="맑은 고딕"/>
        <family val="3"/>
        <charset val="129"/>
        <scheme val="minor"/>
      </rPr>
      <t xml:space="preserve">
</t>
    </r>
    <r>
      <rPr>
        <b/>
        <sz val="18"/>
        <color rgb="FFFFFFFF"/>
        <rFont val="맑은 고딕"/>
        <family val="3"/>
        <charset val="129"/>
        <scheme val="minor"/>
      </rPr>
      <t>클라우드관리체계 취약점 점검 상세 결과보고서</t>
    </r>
    <phoneticPr fontId="1" type="noConversion"/>
  </si>
  <si>
    <t>클라우드관리체계(샘플)</t>
    <phoneticPr fontId="5" type="noConversion"/>
  </si>
  <si>
    <t>클라우드관리체계(샘플)_이행</t>
    <phoneticPr fontId="5" type="noConversion"/>
  </si>
  <si>
    <t>클라우드관리체계</t>
    <phoneticPr fontId="5" type="noConversion"/>
  </si>
  <si>
    <t>정보처리시스템 보호대책</t>
    <phoneticPr fontId="5" type="noConversion"/>
  </si>
  <si>
    <t>취약점 분석·평가</t>
    <phoneticPr fontId="5" type="noConversion"/>
  </si>
  <si>
    <t>업무 지속성 확보방안</t>
    <phoneticPr fontId="5" type="noConversion"/>
  </si>
  <si>
    <t>단말기 보호대책</t>
    <phoneticPr fontId="5" type="noConversion"/>
  </si>
  <si>
    <t>IP주소 관리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</si>
</sst>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u/>
      <sz val="12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i/>
      <u/>
      <sz val="12"/>
      <color theme="1"/>
      <name val="맑은 고딕"/>
      <family val="3"/>
      <charset val="129"/>
    </font>
    <font>
      <b/>
      <i/>
      <u/>
      <sz val="12"/>
      <color theme="1"/>
      <name val="맑은 고딕"/>
      <family val="3"/>
      <charset val="129"/>
      <scheme val="minor"/>
    </font>
    <font>
      <u/>
      <sz val="11"/>
      <color theme="10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ajor"/>
    </font>
    <font>
      <b/>
      <sz val="10"/>
      <color theme="3" tint="0.39994506668294322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b/>
      <u/>
      <sz val="10"/>
      <color rgb="FFFF0000"/>
      <name val="맑은 고딕"/>
      <family val="3"/>
      <charset val="129"/>
    </font>
    <font>
      <b/>
      <sz val="10"/>
      <color rgb="FFFFC000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i/>
      <sz val="18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b/>
      <sz val="10"/>
      <color indexed="81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ajor"/>
    </font>
    <font>
      <b/>
      <i/>
      <u/>
      <sz val="1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</font>
    <font>
      <b/>
      <u/>
      <sz val="12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6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</font>
    <font>
      <b/>
      <sz val="9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1"/>
      <color indexed="10"/>
      <name val="맑은 고딕"/>
      <family val="3"/>
      <charset val="129"/>
    </font>
    <font>
      <sz val="1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b/>
      <sz val="11"/>
      <color theme="10"/>
      <name val="돋움"/>
      <family val="3"/>
      <charset val="129"/>
    </font>
    <font>
      <sz val="10"/>
      <name val="Calibri"/>
      <family val="3"/>
    </font>
    <font>
      <b/>
      <sz val="11"/>
      <color rgb="FF000000"/>
      <name val="돋움"/>
      <family val="3"/>
      <charset val="129"/>
    </font>
    <font>
      <b/>
      <sz val="20"/>
      <color rgb="FFFFFFFF"/>
      <name val="맑은 고딕"/>
      <family val="3"/>
      <charset val="129"/>
      <scheme val="minor"/>
    </font>
    <font>
      <b/>
      <i/>
      <sz val="2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sz val="10"/>
      <name val="돋움"/>
      <family val="3"/>
      <charset val="129"/>
    </font>
    <font>
      <sz val="12"/>
      <name val="돋움"/>
      <family val="3"/>
      <charset val="129"/>
    </font>
    <font>
      <b/>
      <sz val="18"/>
      <color rgb="FFFFFFFF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4"/>
      <name val="맑은 고딕"/>
      <family val="3"/>
      <charset val="129"/>
    </font>
    <font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Malgun Gothic"/>
      <family val="3"/>
      <charset val="129"/>
    </font>
    <font>
      <sz val="10"/>
      <name val="MS Gothic"/>
      <family val="3"/>
      <charset val="128"/>
    </font>
    <font>
      <sz val="10"/>
      <color theme="1"/>
      <name val="Malgun Gothic"/>
      <family val="3"/>
      <charset val="129"/>
    </font>
    <font>
      <sz val="10"/>
      <color rgb="FF0070C0"/>
      <name val="Malgun Gothic"/>
      <family val="3"/>
      <charset val="129"/>
    </font>
    <font>
      <sz val="10"/>
      <color rgb="FF0070C0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theme="1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FD5DD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8DB3E2"/>
      </patternFill>
    </fill>
    <fill>
      <patternFill patternType="solid">
        <fgColor theme="4" tint="0.59999389629810485"/>
        <bgColor rgb="FFFFF2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rgb="FFFFD96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rgb="FFD9EAD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rgb="FFEAD1DC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rgb="FFCFE2F3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4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rgb="FF54BCC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54BCC5"/>
      </top>
      <bottom style="medium">
        <color rgb="FF54BCC5"/>
      </bottom>
      <diagonal/>
    </border>
    <border>
      <left/>
      <right/>
      <top style="medium">
        <color rgb="FF54BCC5"/>
      </top>
      <bottom/>
      <diagonal/>
    </border>
    <border>
      <left/>
      <right/>
      <top/>
      <bottom style="medium">
        <color rgb="FF54BCC5"/>
      </bottom>
      <diagonal/>
    </border>
    <border>
      <left/>
      <right style="thin">
        <color rgb="FF54BCC5"/>
      </right>
      <top style="medium">
        <color rgb="FF54BCC5"/>
      </top>
      <bottom style="thin">
        <color rgb="FF54BCC5"/>
      </bottom>
      <diagonal/>
    </border>
    <border>
      <left style="thin">
        <color rgb="FF54BCC5"/>
      </left>
      <right style="thin">
        <color rgb="FF54BCC5"/>
      </right>
      <top style="medium">
        <color rgb="FF54BCC5"/>
      </top>
      <bottom style="thin">
        <color rgb="FF54BCC5"/>
      </bottom>
      <diagonal/>
    </border>
    <border>
      <left style="thin">
        <color rgb="FF54BCC5"/>
      </left>
      <right/>
      <top style="medium">
        <color rgb="FF54BCC5"/>
      </top>
      <bottom style="thin">
        <color rgb="FF54BCC5"/>
      </bottom>
      <diagonal/>
    </border>
    <border>
      <left/>
      <right style="thin">
        <color rgb="FF54BCC5"/>
      </right>
      <top style="thin">
        <color rgb="FF54BCC5"/>
      </top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 style="thin">
        <color rgb="FF54BCC5"/>
      </top>
      <bottom style="medium">
        <color rgb="FF54BCC5"/>
      </bottom>
      <diagonal/>
    </border>
    <border>
      <left style="thin">
        <color rgb="FF54BCC5"/>
      </left>
      <right/>
      <top style="thin">
        <color rgb="FF54BCC5"/>
      </top>
      <bottom style="medium">
        <color rgb="FF54BCC5"/>
      </bottom>
      <diagonal/>
    </border>
    <border>
      <left/>
      <right/>
      <top style="medium">
        <color rgb="FF54BCC5"/>
      </top>
      <bottom style="thin">
        <color rgb="FF54BCC5"/>
      </bottom>
      <diagonal/>
    </border>
    <border>
      <left/>
      <right style="thin">
        <color rgb="FF54BCC5"/>
      </right>
      <top style="medium">
        <color rgb="FF54BCC5"/>
      </top>
      <bottom/>
      <diagonal/>
    </border>
    <border>
      <left/>
      <right style="thin">
        <color rgb="FF54BCC5"/>
      </right>
      <top/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/>
      <bottom style="thin">
        <color rgb="FF54BCC5"/>
      </bottom>
      <diagonal/>
    </border>
    <border>
      <left style="thin">
        <color rgb="FF54BCC5"/>
      </left>
      <right/>
      <top/>
      <bottom style="thin">
        <color rgb="FF54BCC5"/>
      </bottom>
      <diagonal/>
    </border>
    <border>
      <left/>
      <right style="thin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/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/>
      <top style="medium">
        <color rgb="FF54BCC5"/>
      </top>
      <bottom/>
      <diagonal/>
    </border>
    <border>
      <left/>
      <right style="thin">
        <color theme="0" tint="-0.24994659260841701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medium">
        <color rgb="FF54BCC5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34998626667073579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54BCC5"/>
      </left>
      <right/>
      <top/>
      <bottom style="medium">
        <color rgb="FF54BCC5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medium">
        <color theme="0" tint="-0.24994659260841701"/>
      </top>
      <bottom style="medium">
        <color rgb="FF54BCC5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rgb="FF54BCC5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rgb="FF54BCC5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medium">
        <color rgb="FF54BCC5"/>
      </bottom>
      <diagonal/>
    </border>
    <border>
      <left style="medium">
        <color theme="0" tint="-0.34998626667073579"/>
      </left>
      <right/>
      <top style="medium">
        <color rgb="FF54BCC5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medium">
        <color rgb="FF54BCC5"/>
      </bottom>
      <diagonal/>
    </border>
    <border>
      <left style="medium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rgb="FF54BCC5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54BCC5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medium">
        <color rgb="FF54BCC5"/>
      </top>
      <bottom style="medium">
        <color theme="0" tint="-0.34998626667073579"/>
      </bottom>
      <diagonal/>
    </border>
    <border>
      <left/>
      <right/>
      <top style="medium">
        <color rgb="FF54BCC5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rgb="FF54BCC5"/>
      </bottom>
      <diagonal/>
    </border>
    <border>
      <left/>
      <right/>
      <top style="thin">
        <color rgb="FF54BCC5"/>
      </top>
      <bottom/>
      <diagonal/>
    </border>
    <border>
      <left/>
      <right style="thin">
        <color theme="0" tint="-0.24994659260841701"/>
      </right>
      <top style="medium">
        <color rgb="FF54BCC5"/>
      </top>
      <bottom style="medium">
        <color rgb="FF54BCC5"/>
      </bottom>
      <diagonal/>
    </border>
    <border>
      <left style="thin">
        <color theme="0" tint="-0.24994659260841701"/>
      </left>
      <right/>
      <top style="medium">
        <color rgb="FF54BCC5"/>
      </top>
      <bottom style="medium">
        <color rgb="FF54BCC5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medium">
        <color rgb="FF54BCC5"/>
      </bottom>
      <diagonal/>
    </border>
    <border>
      <left/>
      <right style="thin">
        <color theme="0" tint="-0.24994659260841701"/>
      </right>
      <top/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medium">
        <color rgb="FF54BCC5"/>
      </bottom>
      <diagonal/>
    </border>
    <border>
      <left/>
      <right style="thin">
        <color theme="0" tint="-0.24994659260841701"/>
      </right>
      <top style="medium">
        <color rgb="FF54BCC5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medium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/>
      <diagonal/>
    </border>
    <border>
      <left style="thin">
        <color theme="0" tint="-0.24994659260841701"/>
      </left>
      <right/>
      <top style="medium">
        <color rgb="FF54BCC5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 diagonalUp="1" diagonalDown="1">
      <left/>
      <right/>
      <top style="medium">
        <color rgb="FF54BCC5"/>
      </top>
      <bottom/>
      <diagonal/>
    </border>
    <border diagonalUp="1" diagonalDown="1">
      <left/>
      <right/>
      <top/>
      <bottom/>
      <diagonal/>
    </border>
    <border diagonalUp="1" diagonalDown="1">
      <left/>
      <right/>
      <top/>
      <bottom style="medium">
        <color rgb="FF54BCC5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rgb="FF54BCC5"/>
      </right>
      <top/>
      <bottom/>
      <diagonal/>
    </border>
    <border>
      <left style="thin">
        <color rgb="FF54BCC5"/>
      </left>
      <right style="thin">
        <color rgb="FF54BCC5"/>
      </right>
      <top style="thin">
        <color rgb="FF54BCC5"/>
      </top>
      <bottom/>
      <diagonal/>
    </border>
    <border>
      <left style="thin">
        <color rgb="FF54BCC5"/>
      </left>
      <right/>
      <top/>
      <bottom/>
      <diagonal/>
    </border>
    <border>
      <left/>
      <right style="thin">
        <color theme="0" tint="-0.249977111117893"/>
      </right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54BCC5"/>
      </left>
      <right style="thin">
        <color indexed="64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thin">
        <color indexed="64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medium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 style="medium">
        <color rgb="FF54BCC5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</borders>
  <cellStyleXfs count="16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3" fillId="0" borderId="0"/>
    <xf numFmtId="0" fontId="2" fillId="0" borderId="0"/>
    <xf numFmtId="0" fontId="2" fillId="0" borderId="0">
      <alignment vertical="center"/>
    </xf>
    <xf numFmtId="0" fontId="11" fillId="3" borderId="13" applyBorder="0">
      <alignment horizontal="center" vertical="center" wrapText="1"/>
    </xf>
    <xf numFmtId="0" fontId="2" fillId="0" borderId="0">
      <alignment vertical="center"/>
    </xf>
    <xf numFmtId="0" fontId="56" fillId="0" borderId="0"/>
    <xf numFmtId="0" fontId="72" fillId="0" borderId="0"/>
    <xf numFmtId="0" fontId="3" fillId="0" borderId="0">
      <alignment vertical="center"/>
    </xf>
    <xf numFmtId="0" fontId="3" fillId="0" borderId="0"/>
  </cellStyleXfs>
  <cellXfs count="538">
    <xf numFmtId="0" fontId="0" fillId="0" borderId="0" xfId="0">
      <alignment vertical="center"/>
    </xf>
    <xf numFmtId="0" fontId="2" fillId="2" borderId="0" xfId="1" applyFill="1">
      <alignment vertical="center"/>
    </xf>
    <xf numFmtId="0" fontId="3" fillId="0" borderId="0" xfId="2">
      <alignment vertical="center"/>
    </xf>
    <xf numFmtId="0" fontId="4" fillId="2" borderId="0" xfId="1" applyFont="1" applyFill="1">
      <alignment vertical="center"/>
    </xf>
    <xf numFmtId="0" fontId="6" fillId="2" borderId="0" xfId="1" applyFont="1" applyFill="1">
      <alignment vertical="center"/>
    </xf>
    <xf numFmtId="0" fontId="7" fillId="2" borderId="0" xfId="2" applyFont="1" applyFill="1">
      <alignment vertical="center"/>
    </xf>
    <xf numFmtId="0" fontId="15" fillId="2" borderId="0" xfId="1" applyFont="1" applyFill="1" applyAlignment="1">
      <alignment horizontal="left" vertical="center"/>
    </xf>
    <xf numFmtId="0" fontId="3" fillId="2" borderId="0" xfId="2" applyFill="1">
      <alignment vertical="center"/>
    </xf>
    <xf numFmtId="0" fontId="9" fillId="2" borderId="0" xfId="2" applyFont="1" applyFill="1">
      <alignment vertical="center"/>
    </xf>
    <xf numFmtId="0" fontId="17" fillId="2" borderId="0" xfId="1" applyFont="1" applyFill="1">
      <alignment vertical="center"/>
    </xf>
    <xf numFmtId="0" fontId="18" fillId="2" borderId="0" xfId="1" applyFont="1" applyFill="1">
      <alignment vertical="center"/>
    </xf>
    <xf numFmtId="0" fontId="10" fillId="4" borderId="21" xfId="2" applyFont="1" applyFill="1" applyBorder="1" applyAlignment="1">
      <alignment horizontal="center" vertical="center"/>
    </xf>
    <xf numFmtId="0" fontId="10" fillId="4" borderId="6" xfId="2" applyFont="1" applyFill="1" applyBorder="1" applyAlignment="1">
      <alignment horizontal="center" vertical="center"/>
    </xf>
    <xf numFmtId="0" fontId="10" fillId="4" borderId="23" xfId="2" applyFont="1" applyFill="1" applyBorder="1" applyAlignment="1">
      <alignment horizontal="center" vertical="center"/>
    </xf>
    <xf numFmtId="0" fontId="10" fillId="4" borderId="4" xfId="2" applyFont="1" applyFill="1" applyBorder="1" applyAlignment="1">
      <alignment horizontal="center" vertical="center"/>
    </xf>
    <xf numFmtId="0" fontId="10" fillId="4" borderId="27" xfId="2" applyFont="1" applyFill="1" applyBorder="1" applyAlignment="1">
      <alignment horizontal="center" vertical="center"/>
    </xf>
    <xf numFmtId="0" fontId="10" fillId="4" borderId="11" xfId="2" applyFont="1" applyFill="1" applyBorder="1" applyAlignment="1">
      <alignment horizontal="center" vertical="center"/>
    </xf>
    <xf numFmtId="0" fontId="10" fillId="4" borderId="7" xfId="2" applyFont="1" applyFill="1" applyBorder="1" applyAlignment="1">
      <alignment horizontal="center" vertical="center"/>
    </xf>
    <xf numFmtId="0" fontId="10" fillId="4" borderId="3" xfId="2" applyFont="1" applyFill="1" applyBorder="1" applyAlignment="1">
      <alignment horizontal="center" vertical="center"/>
    </xf>
    <xf numFmtId="0" fontId="10" fillId="4" borderId="9" xfId="2" applyFont="1" applyFill="1" applyBorder="1" applyAlignment="1">
      <alignment horizontal="center" vertical="center"/>
    </xf>
    <xf numFmtId="0" fontId="10" fillId="4" borderId="12" xfId="2" applyFont="1" applyFill="1" applyBorder="1" applyAlignment="1">
      <alignment horizontal="center" vertical="center"/>
    </xf>
    <xf numFmtId="0" fontId="28" fillId="2" borderId="0" xfId="1" applyFont="1" applyFill="1" applyAlignment="1">
      <alignment horizontal="right" vertical="center"/>
    </xf>
    <xf numFmtId="0" fontId="10" fillId="4" borderId="5" xfId="2" applyFont="1" applyFill="1" applyBorder="1" applyAlignment="1">
      <alignment horizontal="center" vertical="center"/>
    </xf>
    <xf numFmtId="0" fontId="10" fillId="4" borderId="8" xfId="2" applyFont="1" applyFill="1" applyBorder="1" applyAlignment="1">
      <alignment horizontal="center" vertical="center"/>
    </xf>
    <xf numFmtId="0" fontId="10" fillId="4" borderId="10" xfId="2" applyFont="1" applyFill="1" applyBorder="1" applyAlignment="1">
      <alignment horizontal="center" vertical="center"/>
    </xf>
    <xf numFmtId="0" fontId="29" fillId="4" borderId="9" xfId="2" applyFont="1" applyFill="1" applyBorder="1" applyAlignment="1">
      <alignment horizontal="center" vertical="center"/>
    </xf>
    <xf numFmtId="0" fontId="22" fillId="4" borderId="9" xfId="2" applyFont="1" applyFill="1" applyBorder="1" applyAlignment="1">
      <alignment horizontal="center" vertical="center"/>
    </xf>
    <xf numFmtId="0" fontId="21" fillId="4" borderId="29" xfId="2" applyFont="1" applyFill="1" applyBorder="1" applyAlignment="1">
      <alignment horizontal="center" vertical="center"/>
    </xf>
    <xf numFmtId="0" fontId="10" fillId="4" borderId="30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14" xfId="2" applyFont="1" applyFill="1" applyBorder="1" applyAlignment="1">
      <alignment horizontal="center" vertical="center"/>
    </xf>
    <xf numFmtId="0" fontId="10" fillId="4" borderId="29" xfId="2" applyFont="1" applyFill="1" applyBorder="1" applyAlignment="1">
      <alignment horizontal="center" vertical="center"/>
    </xf>
    <xf numFmtId="0" fontId="10" fillId="4" borderId="20" xfId="2" applyFont="1" applyFill="1" applyBorder="1" applyAlignment="1">
      <alignment horizontal="center" vertical="center"/>
    </xf>
    <xf numFmtId="0" fontId="10" fillId="4" borderId="26" xfId="2" applyFont="1" applyFill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31" fillId="2" borderId="0" xfId="1" applyFont="1" applyFill="1" applyAlignment="1">
      <alignment horizontal="left" vertical="center"/>
    </xf>
    <xf numFmtId="0" fontId="28" fillId="2" borderId="0" xfId="1" applyFont="1" applyFill="1">
      <alignment vertical="center"/>
    </xf>
    <xf numFmtId="0" fontId="14" fillId="2" borderId="0" xfId="2" applyFont="1" applyFill="1">
      <alignment vertical="center"/>
    </xf>
    <xf numFmtId="0" fontId="37" fillId="2" borderId="0" xfId="1" applyFont="1" applyFill="1">
      <alignment vertical="center"/>
    </xf>
    <xf numFmtId="0" fontId="12" fillId="2" borderId="0" xfId="2" applyFont="1" applyFill="1">
      <alignment vertical="center"/>
    </xf>
    <xf numFmtId="0" fontId="14" fillId="2" borderId="0" xfId="2" applyFont="1" applyFill="1" applyAlignment="1">
      <alignment vertical="center" wrapText="1"/>
    </xf>
    <xf numFmtId="0" fontId="6" fillId="2" borderId="0" xfId="2" applyFont="1" applyFill="1">
      <alignment vertical="center"/>
    </xf>
    <xf numFmtId="0" fontId="38" fillId="2" borderId="0" xfId="2" applyFont="1" applyFill="1" applyAlignment="1">
      <alignment horizontal="left" vertical="center"/>
    </xf>
    <xf numFmtId="0" fontId="39" fillId="2" borderId="0" xfId="2" applyFont="1" applyFill="1">
      <alignment vertical="center"/>
    </xf>
    <xf numFmtId="0" fontId="40" fillId="2" borderId="0" xfId="2" applyFont="1" applyFill="1" applyAlignment="1">
      <alignment horizontal="left" vertical="center"/>
    </xf>
    <xf numFmtId="0" fontId="40" fillId="2" borderId="0" xfId="2" applyFont="1" applyFill="1">
      <alignment vertical="center"/>
    </xf>
    <xf numFmtId="0" fontId="41" fillId="2" borderId="0" xfId="1" applyFont="1" applyFill="1" applyAlignment="1">
      <alignment horizontal="left" vertical="center"/>
    </xf>
    <xf numFmtId="0" fontId="7" fillId="2" borderId="32" xfId="2" applyFont="1" applyFill="1" applyBorder="1" applyAlignment="1">
      <alignment horizontal="center" vertical="center"/>
    </xf>
    <xf numFmtId="0" fontId="27" fillId="2" borderId="0" xfId="1" applyFont="1" applyFill="1">
      <alignment vertical="center"/>
    </xf>
    <xf numFmtId="0" fontId="7" fillId="2" borderId="32" xfId="6" applyFont="1" applyFill="1" applyBorder="1" applyAlignment="1">
      <alignment horizontal="center" vertical="center" wrapText="1"/>
    </xf>
    <xf numFmtId="0" fontId="7" fillId="2" borderId="33" xfId="2" applyFont="1" applyFill="1" applyBorder="1" applyAlignment="1">
      <alignment horizontal="center" vertical="center"/>
    </xf>
    <xf numFmtId="0" fontId="7" fillId="2" borderId="33" xfId="6" applyFont="1" applyFill="1" applyBorder="1" applyAlignment="1">
      <alignment horizontal="center" vertical="center" wrapText="1"/>
    </xf>
    <xf numFmtId="0" fontId="7" fillId="2" borderId="0" xfId="6" applyFont="1" applyFill="1" applyAlignment="1">
      <alignment horizontal="center" vertical="center" wrapText="1"/>
    </xf>
    <xf numFmtId="0" fontId="14" fillId="2" borderId="32" xfId="8" applyFont="1" applyFill="1" applyBorder="1" applyAlignment="1">
      <alignment horizontal="center" vertical="center"/>
    </xf>
    <xf numFmtId="0" fontId="14" fillId="2" borderId="32" xfId="7" applyFont="1" applyFill="1" applyBorder="1" applyAlignment="1">
      <alignment horizontal="center" vertical="center" wrapText="1"/>
    </xf>
    <xf numFmtId="0" fontId="14" fillId="2" borderId="32" xfId="7" applyFont="1" applyFill="1" applyBorder="1" applyAlignment="1" applyProtection="1">
      <alignment horizontal="center" vertical="center" wrapText="1"/>
      <protection locked="0"/>
    </xf>
    <xf numFmtId="0" fontId="2" fillId="0" borderId="0" xfId="11">
      <alignment vertical="center"/>
    </xf>
    <xf numFmtId="0" fontId="43" fillId="2" borderId="0" xfId="0" applyFont="1" applyFill="1" applyAlignment="1">
      <alignment vertical="center" shrinkToFit="1"/>
    </xf>
    <xf numFmtId="0" fontId="10" fillId="6" borderId="46" xfId="3" applyFont="1" applyFill="1" applyBorder="1" applyAlignment="1">
      <alignment horizontal="center" vertical="center" wrapText="1"/>
    </xf>
    <xf numFmtId="0" fontId="10" fillId="6" borderId="47" xfId="3" applyFont="1" applyFill="1" applyBorder="1" applyAlignment="1">
      <alignment horizontal="center" vertical="center" wrapText="1"/>
    </xf>
    <xf numFmtId="0" fontId="8" fillId="2" borderId="0" xfId="2" applyFont="1" applyFill="1">
      <alignment vertical="center"/>
    </xf>
    <xf numFmtId="0" fontId="10" fillId="2" borderId="0" xfId="2" applyFont="1" applyFill="1">
      <alignment vertical="center"/>
    </xf>
    <xf numFmtId="0" fontId="7" fillId="2" borderId="0" xfId="4" applyFont="1" applyFill="1">
      <alignment vertical="center"/>
    </xf>
    <xf numFmtId="0" fontId="7" fillId="2" borderId="0" xfId="2" applyFont="1" applyFill="1" applyAlignment="1">
      <alignment horizontal="center" vertical="center"/>
    </xf>
    <xf numFmtId="0" fontId="8" fillId="2" borderId="31" xfId="2" applyFont="1" applyFill="1" applyBorder="1">
      <alignment vertical="center"/>
    </xf>
    <xf numFmtId="0" fontId="12" fillId="0" borderId="31" xfId="4" applyFont="1" applyBorder="1">
      <alignment vertical="center"/>
    </xf>
    <xf numFmtId="0" fontId="7" fillId="2" borderId="31" xfId="2" applyFont="1" applyFill="1" applyBorder="1">
      <alignment vertical="center"/>
    </xf>
    <xf numFmtId="0" fontId="40" fillId="2" borderId="0" xfId="1" applyFont="1" applyFill="1" applyAlignment="1">
      <alignment horizontal="left" vertical="center"/>
    </xf>
    <xf numFmtId="0" fontId="13" fillId="6" borderId="53" xfId="1" applyFont="1" applyFill="1" applyBorder="1" applyAlignment="1">
      <alignment horizontal="center" vertical="center"/>
    </xf>
    <xf numFmtId="0" fontId="13" fillId="6" borderId="45" xfId="1" applyFont="1" applyFill="1" applyBorder="1" applyAlignment="1">
      <alignment horizontal="center" vertical="center"/>
    </xf>
    <xf numFmtId="0" fontId="13" fillId="6" borderId="46" xfId="1" applyFont="1" applyFill="1" applyBorder="1" applyAlignment="1">
      <alignment horizontal="center" vertical="center"/>
    </xf>
    <xf numFmtId="0" fontId="4" fillId="2" borderId="55" xfId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/>
    </xf>
    <xf numFmtId="0" fontId="20" fillId="0" borderId="58" xfId="1" applyFont="1" applyBorder="1" applyAlignment="1">
      <alignment horizontal="center" vertical="center" wrapText="1"/>
    </xf>
    <xf numFmtId="0" fontId="4" fillId="0" borderId="58" xfId="1" applyFont="1" applyBorder="1" applyAlignment="1">
      <alignment horizontal="center" vertical="center"/>
    </xf>
    <xf numFmtId="0" fontId="20" fillId="2" borderId="59" xfId="1" applyFont="1" applyFill="1" applyBorder="1" applyAlignment="1">
      <alignment horizontal="center" vertical="center" wrapText="1"/>
    </xf>
    <xf numFmtId="0" fontId="20" fillId="0" borderId="61" xfId="1" applyFont="1" applyBorder="1" applyAlignment="1">
      <alignment horizontal="center" vertical="center" wrapText="1"/>
    </xf>
    <xf numFmtId="0" fontId="4" fillId="0" borderId="61" xfId="1" applyFont="1" applyBorder="1" applyAlignment="1">
      <alignment horizontal="center" vertical="center"/>
    </xf>
    <xf numFmtId="0" fontId="20" fillId="2" borderId="62" xfId="1" applyFont="1" applyFill="1" applyBorder="1" applyAlignment="1">
      <alignment horizontal="center" vertical="center" wrapText="1"/>
    </xf>
    <xf numFmtId="0" fontId="26" fillId="2" borderId="58" xfId="3" applyFont="1" applyFill="1" applyBorder="1" applyAlignment="1">
      <alignment horizontal="center" vertical="center" wrapText="1"/>
    </xf>
    <xf numFmtId="0" fontId="26" fillId="2" borderId="61" xfId="3" applyFont="1" applyFill="1" applyBorder="1" applyAlignment="1">
      <alignment horizontal="center" vertical="center" wrapText="1"/>
    </xf>
    <xf numFmtId="0" fontId="26" fillId="2" borderId="62" xfId="3" applyFont="1" applyFill="1" applyBorder="1" applyAlignment="1">
      <alignment horizontal="center" vertical="center" wrapText="1"/>
    </xf>
    <xf numFmtId="0" fontId="7" fillId="2" borderId="58" xfId="2" applyFont="1" applyFill="1" applyBorder="1">
      <alignment vertical="center"/>
    </xf>
    <xf numFmtId="0" fontId="7" fillId="2" borderId="58" xfId="6" applyFont="1" applyFill="1" applyBorder="1" applyAlignment="1">
      <alignment horizontal="center" vertical="center" wrapText="1"/>
    </xf>
    <xf numFmtId="0" fontId="7" fillId="2" borderId="59" xfId="6" applyFont="1" applyFill="1" applyBorder="1" applyAlignment="1">
      <alignment horizontal="center" vertical="center" wrapText="1"/>
    </xf>
    <xf numFmtId="0" fontId="7" fillId="2" borderId="61" xfId="2" applyFont="1" applyFill="1" applyBorder="1">
      <alignment vertical="center"/>
    </xf>
    <xf numFmtId="0" fontId="7" fillId="2" borderId="61" xfId="6" applyFont="1" applyFill="1" applyBorder="1" applyAlignment="1">
      <alignment horizontal="center" vertical="center" wrapText="1"/>
    </xf>
    <xf numFmtId="0" fontId="7" fillId="2" borderId="62" xfId="6" applyFont="1" applyFill="1" applyBorder="1" applyAlignment="1">
      <alignment horizontal="center" vertical="center" wrapText="1"/>
    </xf>
    <xf numFmtId="0" fontId="7" fillId="7" borderId="68" xfId="2" applyFont="1" applyFill="1" applyBorder="1" applyAlignment="1">
      <alignment horizontal="center" vertical="center"/>
    </xf>
    <xf numFmtId="0" fontId="7" fillId="7" borderId="69" xfId="2" applyFont="1" applyFill="1" applyBorder="1" applyAlignment="1">
      <alignment horizontal="center" vertical="center"/>
    </xf>
    <xf numFmtId="0" fontId="7" fillId="2" borderId="59" xfId="6" applyFont="1" applyFill="1" applyBorder="1" applyAlignment="1">
      <alignment horizontal="left" vertical="center" wrapText="1"/>
    </xf>
    <xf numFmtId="0" fontId="7" fillId="2" borderId="62" xfId="6" applyFont="1" applyFill="1" applyBorder="1" applyAlignment="1">
      <alignment horizontal="left" vertical="center" wrapText="1"/>
    </xf>
    <xf numFmtId="0" fontId="7" fillId="2" borderId="73" xfId="6" applyFont="1" applyFill="1" applyBorder="1" applyAlignment="1">
      <alignment horizontal="center" vertical="center" wrapText="1"/>
    </xf>
    <xf numFmtId="0" fontId="7" fillId="2" borderId="74" xfId="6" applyFont="1" applyFill="1" applyBorder="1" applyAlignment="1">
      <alignment horizontal="center" vertical="center" wrapText="1"/>
    </xf>
    <xf numFmtId="0" fontId="13" fillId="6" borderId="54" xfId="3" applyFont="1" applyFill="1" applyBorder="1" applyAlignment="1" applyProtection="1">
      <alignment horizontal="center" vertical="center" wrapText="1"/>
      <protection locked="0"/>
    </xf>
    <xf numFmtId="0" fontId="13" fillId="6" borderId="55" xfId="3" applyFont="1" applyFill="1" applyBorder="1" applyAlignment="1" applyProtection="1">
      <alignment horizontal="center" vertical="center" wrapText="1"/>
      <protection locked="0"/>
    </xf>
    <xf numFmtId="0" fontId="40" fillId="2" borderId="0" xfId="1" applyFont="1" applyFill="1">
      <alignment vertical="center"/>
    </xf>
    <xf numFmtId="0" fontId="26" fillId="2" borderId="79" xfId="3" applyFont="1" applyFill="1" applyBorder="1" applyAlignment="1">
      <alignment horizontal="center" vertical="center" wrapText="1"/>
    </xf>
    <xf numFmtId="0" fontId="26" fillId="2" borderId="80" xfId="3" applyFont="1" applyFill="1" applyBorder="1" applyAlignment="1">
      <alignment horizontal="center" vertical="center" wrapText="1"/>
    </xf>
    <xf numFmtId="0" fontId="10" fillId="7" borderId="85" xfId="3" applyFont="1" applyFill="1" applyBorder="1" applyAlignment="1">
      <alignment horizontal="center" vertical="center" wrapText="1"/>
    </xf>
    <xf numFmtId="0" fontId="7" fillId="2" borderId="85" xfId="2" applyFont="1" applyFill="1" applyBorder="1" applyAlignment="1">
      <alignment horizontal="center" vertical="center"/>
    </xf>
    <xf numFmtId="0" fontId="7" fillId="2" borderId="85" xfId="6" applyFont="1" applyFill="1" applyBorder="1" applyAlignment="1">
      <alignment horizontal="center" vertical="center" wrapText="1"/>
    </xf>
    <xf numFmtId="0" fontId="7" fillId="2" borderId="86" xfId="6" applyFont="1" applyFill="1" applyBorder="1" applyAlignment="1">
      <alignment horizontal="center" vertical="center" wrapText="1"/>
    </xf>
    <xf numFmtId="0" fontId="7" fillId="2" borderId="90" xfId="6" applyFont="1" applyFill="1" applyBorder="1" applyAlignment="1">
      <alignment horizontal="center" vertical="center" wrapText="1"/>
    </xf>
    <xf numFmtId="0" fontId="7" fillId="2" borderId="91" xfId="6" applyFont="1" applyFill="1" applyBorder="1" applyAlignment="1">
      <alignment horizontal="center" vertical="center" wrapText="1"/>
    </xf>
    <xf numFmtId="0" fontId="7" fillId="2" borderId="92" xfId="6" applyFont="1" applyFill="1" applyBorder="1" applyAlignment="1">
      <alignment horizontal="center" vertical="center" wrapText="1"/>
    </xf>
    <xf numFmtId="0" fontId="14" fillId="2" borderId="33" xfId="8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0" fontId="13" fillId="6" borderId="47" xfId="2" applyFont="1" applyFill="1" applyBorder="1" applyAlignment="1">
      <alignment horizontal="center" vertical="center"/>
    </xf>
    <xf numFmtId="0" fontId="13" fillId="4" borderId="82" xfId="8" applyFont="1" applyFill="1" applyBorder="1" applyAlignment="1">
      <alignment horizontal="center" vertical="center"/>
    </xf>
    <xf numFmtId="0" fontId="13" fillId="6" borderId="46" xfId="3" applyFont="1" applyFill="1" applyBorder="1" applyAlignment="1" applyProtection="1">
      <alignment horizontal="center" vertical="center" wrapText="1"/>
      <protection locked="0"/>
    </xf>
    <xf numFmtId="0" fontId="13" fillId="6" borderId="47" xfId="3" applyFont="1" applyFill="1" applyBorder="1" applyAlignment="1" applyProtection="1">
      <alignment horizontal="center" vertical="center" wrapText="1"/>
      <protection locked="0"/>
    </xf>
    <xf numFmtId="0" fontId="13" fillId="4" borderId="75" xfId="7" applyFont="1" applyFill="1" applyBorder="1" applyAlignment="1">
      <alignment horizontal="center" vertical="center"/>
    </xf>
    <xf numFmtId="0" fontId="14" fillId="2" borderId="74" xfId="7" applyFont="1" applyFill="1" applyBorder="1" applyAlignment="1" applyProtection="1">
      <alignment horizontal="center" vertical="center" wrapText="1"/>
      <protection locked="0"/>
    </xf>
    <xf numFmtId="0" fontId="13" fillId="4" borderId="76" xfId="7" applyFont="1" applyFill="1" applyBorder="1" applyAlignment="1">
      <alignment horizontal="center" vertical="center"/>
    </xf>
    <xf numFmtId="0" fontId="51" fillId="2" borderId="0" xfId="2" applyFont="1" applyFill="1">
      <alignment vertical="center"/>
    </xf>
    <xf numFmtId="0" fontId="13" fillId="6" borderId="46" xfId="1" applyFont="1" applyFill="1" applyBorder="1" applyAlignment="1">
      <alignment horizontal="center" vertical="center" wrapText="1"/>
    </xf>
    <xf numFmtId="0" fontId="13" fillId="2" borderId="0" xfId="2" applyFont="1" applyFill="1">
      <alignment vertical="center"/>
    </xf>
    <xf numFmtId="0" fontId="14" fillId="2" borderId="31" xfId="2" applyFont="1" applyFill="1" applyBorder="1">
      <alignment vertical="center"/>
    </xf>
    <xf numFmtId="0" fontId="34" fillId="2" borderId="0" xfId="1" applyFont="1" applyFill="1">
      <alignment vertical="center"/>
    </xf>
    <xf numFmtId="0" fontId="30" fillId="2" borderId="0" xfId="1" applyFont="1" applyFill="1">
      <alignment vertical="center"/>
    </xf>
    <xf numFmtId="0" fontId="0" fillId="0" borderId="60" xfId="0" applyBorder="1" applyAlignment="1">
      <alignment horizontal="center" vertical="center"/>
    </xf>
    <xf numFmtId="0" fontId="44" fillId="6" borderId="63" xfId="0" applyFont="1" applyFill="1" applyBorder="1" applyAlignment="1">
      <alignment horizontal="center" vertical="center"/>
    </xf>
    <xf numFmtId="0" fontId="44" fillId="0" borderId="0" xfId="0" applyFont="1">
      <alignment vertical="center"/>
    </xf>
    <xf numFmtId="0" fontId="44" fillId="6" borderId="64" xfId="0" applyFont="1" applyFill="1" applyBorder="1" applyAlignment="1">
      <alignment horizontal="center" vertical="center"/>
    </xf>
    <xf numFmtId="0" fontId="44" fillId="6" borderId="65" xfId="0" applyFont="1" applyFill="1" applyBorder="1" applyAlignment="1">
      <alignment horizontal="center" vertical="center"/>
    </xf>
    <xf numFmtId="0" fontId="53" fillId="10" borderId="78" xfId="0" applyFont="1" applyFill="1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53" fillId="10" borderId="60" xfId="0" applyFon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53" fillId="10" borderId="64" xfId="0" applyFont="1" applyFill="1" applyBorder="1" applyAlignment="1">
      <alignment horizontal="center" vertical="center"/>
    </xf>
    <xf numFmtId="0" fontId="44" fillId="0" borderId="40" xfId="0" applyFont="1" applyBorder="1">
      <alignment vertical="center"/>
    </xf>
    <xf numFmtId="0" fontId="0" fillId="0" borderId="40" xfId="0" applyBorder="1">
      <alignment vertical="center"/>
    </xf>
    <xf numFmtId="0" fontId="44" fillId="0" borderId="107" xfId="0" applyFont="1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44" fillId="0" borderId="110" xfId="0" applyFont="1" applyBorder="1">
      <alignment vertical="center"/>
    </xf>
    <xf numFmtId="0" fontId="0" fillId="0" borderId="111" xfId="0" applyBorder="1">
      <alignment vertical="center"/>
    </xf>
    <xf numFmtId="0" fontId="44" fillId="0" borderId="112" xfId="0" applyFont="1" applyBorder="1">
      <alignment vertical="center"/>
    </xf>
    <xf numFmtId="0" fontId="0" fillId="0" borderId="113" xfId="0" applyBorder="1">
      <alignment vertical="center"/>
    </xf>
    <xf numFmtId="0" fontId="0" fillId="0" borderId="114" xfId="0" applyBorder="1">
      <alignment vertical="center"/>
    </xf>
    <xf numFmtId="0" fontId="44" fillId="0" borderId="108" xfId="0" applyFont="1" applyBorder="1">
      <alignment vertical="center"/>
    </xf>
    <xf numFmtId="0" fontId="44" fillId="0" borderId="113" xfId="0" applyFont="1" applyBorder="1">
      <alignment vertical="center"/>
    </xf>
    <xf numFmtId="0" fontId="55" fillId="0" borderId="112" xfId="0" applyFont="1" applyBorder="1">
      <alignment vertical="center"/>
    </xf>
    <xf numFmtId="0" fontId="55" fillId="0" borderId="0" xfId="0" applyFont="1">
      <alignment vertical="center"/>
    </xf>
    <xf numFmtId="0" fontId="32" fillId="0" borderId="0" xfId="0" applyFont="1">
      <alignment vertical="center"/>
    </xf>
    <xf numFmtId="0" fontId="55" fillId="0" borderId="110" xfId="0" applyFont="1" applyBorder="1">
      <alignment vertical="center"/>
    </xf>
    <xf numFmtId="0" fontId="0" fillId="0" borderId="110" xfId="0" applyBorder="1">
      <alignment vertical="center"/>
    </xf>
    <xf numFmtId="0" fontId="52" fillId="0" borderId="107" xfId="0" applyFont="1" applyBorder="1">
      <alignment vertical="center"/>
    </xf>
    <xf numFmtId="0" fontId="53" fillId="10" borderId="61" xfId="0" applyFont="1" applyFill="1" applyBorder="1" applyAlignment="1">
      <alignment horizontal="center" vertical="center"/>
    </xf>
    <xf numFmtId="0" fontId="53" fillId="10" borderId="62" xfId="0" applyFont="1" applyFill="1" applyBorder="1" applyAlignment="1">
      <alignment horizontal="center" vertical="center"/>
    </xf>
    <xf numFmtId="0" fontId="50" fillId="0" borderId="64" xfId="0" applyFont="1" applyBorder="1" applyAlignment="1">
      <alignment horizontal="center" vertical="center"/>
    </xf>
    <xf numFmtId="0" fontId="7" fillId="4" borderId="57" xfId="2" applyFont="1" applyFill="1" applyBorder="1" applyAlignment="1">
      <alignment vertical="center" wrapText="1"/>
    </xf>
    <xf numFmtId="0" fontId="7" fillId="4" borderId="60" xfId="2" applyFont="1" applyFill="1" applyBorder="1" applyAlignment="1">
      <alignment vertical="center" wrapText="1"/>
    </xf>
    <xf numFmtId="0" fontId="0" fillId="0" borderId="115" xfId="0" applyBorder="1" applyAlignment="1">
      <alignment horizontal="center" vertical="center"/>
    </xf>
    <xf numFmtId="0" fontId="10" fillId="4" borderId="21" xfId="2" applyFont="1" applyFill="1" applyBorder="1">
      <alignment vertical="center"/>
    </xf>
    <xf numFmtId="0" fontId="10" fillId="4" borderId="23" xfId="2" applyFont="1" applyFill="1" applyBorder="1">
      <alignment vertical="center"/>
    </xf>
    <xf numFmtId="0" fontId="10" fillId="4" borderId="27" xfId="2" applyFont="1" applyFill="1" applyBorder="1">
      <alignment vertical="center"/>
    </xf>
    <xf numFmtId="0" fontId="4" fillId="0" borderId="121" xfId="1" applyFont="1" applyBorder="1" applyAlignment="1">
      <alignment horizontal="center" vertical="center"/>
    </xf>
    <xf numFmtId="0" fontId="50" fillId="2" borderId="0" xfId="4" applyFont="1" applyFill="1" applyAlignment="1">
      <alignment vertical="center" wrapText="1"/>
    </xf>
    <xf numFmtId="0" fontId="47" fillId="2" borderId="0" xfId="4" applyFont="1" applyFill="1">
      <alignment vertical="center"/>
    </xf>
    <xf numFmtId="0" fontId="50" fillId="2" borderId="0" xfId="4" applyFont="1" applyFill="1">
      <alignment vertical="center"/>
    </xf>
    <xf numFmtId="0" fontId="57" fillId="2" borderId="0" xfId="4" applyFont="1" applyFill="1">
      <alignment vertical="center"/>
    </xf>
    <xf numFmtId="0" fontId="0" fillId="0" borderId="59" xfId="0" applyBorder="1" applyAlignment="1">
      <alignment horizontal="center" vertical="center"/>
    </xf>
    <xf numFmtId="0" fontId="53" fillId="10" borderId="65" xfId="0" applyFont="1" applyFill="1" applyBorder="1" applyAlignment="1">
      <alignment horizontal="center" vertical="center"/>
    </xf>
    <xf numFmtId="0" fontId="58" fillId="2" borderId="0" xfId="5" applyFont="1" applyFill="1" applyAlignment="1" applyProtection="1">
      <alignment horizontal="right" vertical="center"/>
    </xf>
    <xf numFmtId="0" fontId="10" fillId="2" borderId="0" xfId="2" applyFont="1" applyFill="1" applyAlignment="1">
      <alignment horizontal="right" vertical="center"/>
    </xf>
    <xf numFmtId="0" fontId="35" fillId="0" borderId="0" xfId="9" applyFont="1">
      <alignment vertical="center"/>
    </xf>
    <xf numFmtId="0" fontId="14" fillId="4" borderId="32" xfId="7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shrinkToFit="1"/>
    </xf>
    <xf numFmtId="0" fontId="10" fillId="6" borderId="55" xfId="3" applyFont="1" applyFill="1" applyBorder="1" applyAlignment="1">
      <alignment horizontal="center" vertical="center" wrapText="1"/>
    </xf>
    <xf numFmtId="0" fontId="26" fillId="2" borderId="104" xfId="3" applyFont="1" applyFill="1" applyBorder="1" applyAlignment="1">
      <alignment horizontal="center" vertical="center" wrapText="1"/>
    </xf>
    <xf numFmtId="176" fontId="26" fillId="2" borderId="104" xfId="3" applyNumberFormat="1" applyFont="1" applyFill="1" applyBorder="1" applyAlignment="1">
      <alignment horizontal="center" vertical="center" wrapText="1"/>
    </xf>
    <xf numFmtId="0" fontId="25" fillId="2" borderId="98" xfId="3" applyFont="1" applyFill="1" applyBorder="1" applyAlignment="1">
      <alignment horizontal="center" vertical="center" wrapText="1"/>
    </xf>
    <xf numFmtId="176" fontId="25" fillId="7" borderId="87" xfId="3" applyNumberFormat="1" applyFont="1" applyFill="1" applyBorder="1" applyAlignment="1">
      <alignment horizontal="center" vertical="center" wrapText="1"/>
    </xf>
    <xf numFmtId="176" fontId="25" fillId="7" borderId="89" xfId="3" applyNumberFormat="1" applyFont="1" applyFill="1" applyBorder="1" applyAlignment="1">
      <alignment horizontal="center" vertical="center" wrapText="1"/>
    </xf>
    <xf numFmtId="176" fontId="25" fillId="7" borderId="88" xfId="3" applyNumberFormat="1" applyFont="1" applyFill="1" applyBorder="1" applyAlignment="1">
      <alignment horizontal="center" vertical="center" wrapText="1"/>
    </xf>
    <xf numFmtId="176" fontId="14" fillId="2" borderId="73" xfId="8" applyNumberFormat="1" applyFont="1" applyFill="1" applyBorder="1" applyAlignment="1">
      <alignment horizontal="center" vertical="center"/>
    </xf>
    <xf numFmtId="176" fontId="14" fillId="2" borderId="74" xfId="8" applyNumberFormat="1" applyFont="1" applyFill="1" applyBorder="1" applyAlignment="1">
      <alignment horizontal="center" vertical="center"/>
    </xf>
    <xf numFmtId="176" fontId="13" fillId="4" borderId="83" xfId="8" applyNumberFormat="1" applyFont="1" applyFill="1" applyBorder="1" applyAlignment="1">
      <alignment horizontal="center" vertical="center"/>
    </xf>
    <xf numFmtId="0" fontId="61" fillId="9" borderId="0" xfId="1" applyFont="1" applyFill="1" applyAlignment="1">
      <alignment vertical="center" wrapText="1"/>
    </xf>
    <xf numFmtId="0" fontId="37" fillId="9" borderId="0" xfId="1" applyFont="1" applyFill="1" applyAlignment="1">
      <alignment vertical="center" wrapText="1"/>
    </xf>
    <xf numFmtId="0" fontId="46" fillId="4" borderId="32" xfId="2" applyFont="1" applyFill="1" applyBorder="1" applyAlignment="1">
      <alignment horizontal="center" vertical="center"/>
    </xf>
    <xf numFmtId="0" fontId="13" fillId="6" borderId="42" xfId="3" applyFont="1" applyFill="1" applyBorder="1" applyAlignment="1" applyProtection="1">
      <alignment horizontal="center" vertical="center" wrapText="1"/>
      <protection locked="0"/>
    </xf>
    <xf numFmtId="0" fontId="13" fillId="6" borderId="129" xfId="3" applyFont="1" applyFill="1" applyBorder="1" applyAlignment="1" applyProtection="1">
      <alignment horizontal="center" vertical="center" wrapText="1"/>
      <protection locked="0"/>
    </xf>
    <xf numFmtId="0" fontId="13" fillId="6" borderId="130" xfId="3" applyFont="1" applyFill="1" applyBorder="1" applyAlignment="1" applyProtection="1">
      <alignment horizontal="center" vertical="center" wrapText="1"/>
      <protection locked="0"/>
    </xf>
    <xf numFmtId="0" fontId="14" fillId="2" borderId="127" xfId="7" applyFont="1" applyFill="1" applyBorder="1" applyAlignment="1">
      <alignment horizontal="center" vertical="center" wrapText="1"/>
    </xf>
    <xf numFmtId="0" fontId="13" fillId="8" borderId="127" xfId="7" applyFont="1" applyFill="1" applyBorder="1" applyAlignment="1">
      <alignment horizontal="center" vertical="center" wrapText="1"/>
    </xf>
    <xf numFmtId="0" fontId="10" fillId="4" borderId="127" xfId="2" applyFont="1" applyFill="1" applyBorder="1" applyAlignment="1">
      <alignment horizontal="center" vertical="center"/>
    </xf>
    <xf numFmtId="0" fontId="10" fillId="4" borderId="127" xfId="2" applyFont="1" applyFill="1" applyBorder="1">
      <alignment vertical="center"/>
    </xf>
    <xf numFmtId="0" fontId="10" fillId="8" borderId="127" xfId="2" applyFont="1" applyFill="1" applyBorder="1" applyAlignment="1">
      <alignment horizontal="center" vertical="center"/>
    </xf>
    <xf numFmtId="0" fontId="14" fillId="2" borderId="127" xfId="7" applyFont="1" applyFill="1" applyBorder="1" applyAlignment="1" applyProtection="1">
      <alignment horizontal="center" vertical="center" wrapText="1"/>
      <protection locked="0"/>
    </xf>
    <xf numFmtId="0" fontId="7" fillId="2" borderId="127" xfId="2" applyFont="1" applyFill="1" applyBorder="1" applyAlignment="1">
      <alignment vertical="center" wrapText="1"/>
    </xf>
    <xf numFmtId="0" fontId="7" fillId="2" borderId="127" xfId="2" applyFont="1" applyFill="1" applyBorder="1" applyAlignment="1">
      <alignment horizontal="center" vertical="center" wrapText="1"/>
    </xf>
    <xf numFmtId="0" fontId="65" fillId="7" borderId="71" xfId="1" applyFont="1" applyFill="1" applyBorder="1" applyAlignment="1">
      <alignment horizontal="left" vertical="center" wrapText="1"/>
    </xf>
    <xf numFmtId="0" fontId="65" fillId="2" borderId="33" xfId="1" applyFont="1" applyFill="1" applyBorder="1" applyAlignment="1">
      <alignment vertical="center" wrapText="1"/>
    </xf>
    <xf numFmtId="0" fontId="65" fillId="2" borderId="33" xfId="1" applyFont="1" applyFill="1" applyBorder="1" applyAlignment="1">
      <alignment horizontal="center" vertical="center" wrapText="1"/>
    </xf>
    <xf numFmtId="0" fontId="65" fillId="7" borderId="72" xfId="1" applyFont="1" applyFill="1" applyBorder="1" applyAlignment="1">
      <alignment horizontal="left" vertical="center" wrapText="1"/>
    </xf>
    <xf numFmtId="0" fontId="65" fillId="2" borderId="32" xfId="1" applyFont="1" applyFill="1" applyBorder="1" applyAlignment="1">
      <alignment vertical="center" wrapText="1"/>
    </xf>
    <xf numFmtId="0" fontId="65" fillId="2" borderId="32" xfId="1" applyFont="1" applyFill="1" applyBorder="1" applyAlignment="1">
      <alignment horizontal="center" vertical="center" wrapText="1"/>
    </xf>
    <xf numFmtId="0" fontId="65" fillId="2" borderId="32" xfId="1" applyFont="1" applyFill="1" applyBorder="1" applyAlignment="1">
      <alignment horizontal="justify" vertical="center" wrapText="1"/>
    </xf>
    <xf numFmtId="0" fontId="66" fillId="2" borderId="0" xfId="2" applyFont="1" applyFill="1">
      <alignment vertical="center"/>
    </xf>
    <xf numFmtId="0" fontId="67" fillId="2" borderId="0" xfId="1" applyFont="1" applyFill="1">
      <alignment vertical="center"/>
    </xf>
    <xf numFmtId="0" fontId="68" fillId="2" borderId="0" xfId="2" applyFont="1" applyFill="1">
      <alignment vertical="center"/>
    </xf>
    <xf numFmtId="0" fontId="69" fillId="2" borderId="0" xfId="2" applyFont="1" applyFill="1">
      <alignment vertical="center"/>
    </xf>
    <xf numFmtId="0" fontId="70" fillId="2" borderId="0" xfId="2" applyFont="1" applyFill="1">
      <alignment vertical="center"/>
    </xf>
    <xf numFmtId="0" fontId="13" fillId="4" borderId="131" xfId="7" applyFont="1" applyFill="1" applyBorder="1" applyAlignment="1">
      <alignment horizontal="center" vertical="center"/>
    </xf>
    <xf numFmtId="0" fontId="14" fillId="4" borderId="70" xfId="7" applyFont="1" applyFill="1" applyBorder="1" applyAlignment="1">
      <alignment horizontal="center" vertical="center" wrapText="1"/>
    </xf>
    <xf numFmtId="0" fontId="14" fillId="2" borderId="70" xfId="7" applyFont="1" applyFill="1" applyBorder="1" applyAlignment="1">
      <alignment horizontal="center" vertical="center" wrapText="1"/>
    </xf>
    <xf numFmtId="0" fontId="14" fillId="2" borderId="70" xfId="7" applyFont="1" applyFill="1" applyBorder="1" applyAlignment="1" applyProtection="1">
      <alignment horizontal="center" vertical="center" wrapText="1"/>
      <protection locked="0"/>
    </xf>
    <xf numFmtId="0" fontId="14" fillId="2" borderId="132" xfId="7" applyFont="1" applyFill="1" applyBorder="1" applyAlignment="1" applyProtection="1">
      <alignment horizontal="center" vertical="center" wrapText="1"/>
      <protection locked="0"/>
    </xf>
    <xf numFmtId="0" fontId="7" fillId="2" borderId="133" xfId="2" applyFont="1" applyFill="1" applyBorder="1" applyAlignment="1">
      <alignment vertical="center" wrapText="1"/>
    </xf>
    <xf numFmtId="0" fontId="7" fillId="2" borderId="134" xfId="2" applyFont="1" applyFill="1" applyBorder="1" applyAlignment="1">
      <alignment vertical="center" wrapText="1"/>
    </xf>
    <xf numFmtId="0" fontId="10" fillId="2" borderId="58" xfId="7" applyFont="1" applyFill="1" applyBorder="1" applyAlignment="1">
      <alignment horizontal="center" vertical="center"/>
    </xf>
    <xf numFmtId="0" fontId="7" fillId="2" borderId="58" xfId="7" applyFont="1" applyFill="1" applyBorder="1" applyAlignment="1" applyProtection="1">
      <alignment horizontal="center" vertical="center" wrapText="1"/>
      <protection locked="0"/>
    </xf>
    <xf numFmtId="0" fontId="10" fillId="2" borderId="61" xfId="7" applyFont="1" applyFill="1" applyBorder="1" applyAlignment="1">
      <alignment horizontal="center" vertical="center"/>
    </xf>
    <xf numFmtId="0" fontId="7" fillId="2" borderId="61" xfId="7" applyFont="1" applyFill="1" applyBorder="1" applyAlignment="1" applyProtection="1">
      <alignment horizontal="center" vertical="center" wrapText="1"/>
      <protection locked="0"/>
    </xf>
    <xf numFmtId="0" fontId="14" fillId="4" borderId="70" xfId="2" applyFont="1" applyFill="1" applyBorder="1" applyAlignment="1">
      <alignment vertical="center" wrapText="1"/>
    </xf>
    <xf numFmtId="0" fontId="13" fillId="4" borderId="70" xfId="2" applyFont="1" applyFill="1" applyBorder="1" applyAlignment="1">
      <alignment horizontal="center" vertical="center"/>
    </xf>
    <xf numFmtId="0" fontId="14" fillId="4" borderId="32" xfId="2" applyFont="1" applyFill="1" applyBorder="1" applyAlignment="1">
      <alignment vertical="center" wrapText="1"/>
    </xf>
    <xf numFmtId="0" fontId="13" fillId="4" borderId="32" xfId="2" applyFont="1" applyFill="1" applyBorder="1" applyAlignment="1">
      <alignment horizontal="center" vertical="center"/>
    </xf>
    <xf numFmtId="0" fontId="14" fillId="4" borderId="60" xfId="5" applyFont="1" applyFill="1" applyBorder="1" applyAlignment="1" applyProtection="1">
      <alignment horizontal="center" vertical="center"/>
    </xf>
    <xf numFmtId="0" fontId="14" fillId="4" borderId="57" xfId="5" applyFont="1" applyFill="1" applyBorder="1" applyAlignment="1" applyProtection="1">
      <alignment horizontal="center" vertical="center"/>
    </xf>
    <xf numFmtId="0" fontId="14" fillId="4" borderId="63" xfId="5" applyFont="1" applyFill="1" applyBorder="1" applyAlignment="1" applyProtection="1">
      <alignment horizontal="center" vertical="center"/>
    </xf>
    <xf numFmtId="0" fontId="4" fillId="0" borderId="64" xfId="1" applyFont="1" applyBorder="1" applyAlignment="1">
      <alignment horizontal="center" vertical="center"/>
    </xf>
    <xf numFmtId="0" fontId="20" fillId="0" borderId="64" xfId="1" applyFont="1" applyBorder="1" applyAlignment="1">
      <alignment horizontal="center" vertical="center" wrapText="1"/>
    </xf>
    <xf numFmtId="0" fontId="20" fillId="2" borderId="65" xfId="1" applyFont="1" applyFill="1" applyBorder="1" applyAlignment="1">
      <alignment horizontal="center" vertical="center" wrapText="1"/>
    </xf>
    <xf numFmtId="0" fontId="20" fillId="0" borderId="79" xfId="1" applyFont="1" applyBorder="1" applyAlignment="1">
      <alignment horizontal="center" vertical="center" wrapText="1"/>
    </xf>
    <xf numFmtId="0" fontId="72" fillId="0" borderId="0" xfId="13" applyAlignment="1">
      <alignment vertical="center"/>
    </xf>
    <xf numFmtId="0" fontId="73" fillId="11" borderId="0" xfId="13" applyFont="1" applyFill="1" applyAlignment="1">
      <alignment vertical="center" wrapText="1"/>
    </xf>
    <xf numFmtId="0" fontId="74" fillId="0" borderId="0" xfId="13" applyFont="1" applyAlignment="1">
      <alignment vertical="center"/>
    </xf>
    <xf numFmtId="0" fontId="57" fillId="12" borderId="135" xfId="13" applyFont="1" applyFill="1" applyBorder="1" applyAlignment="1">
      <alignment horizontal="center" vertical="center"/>
    </xf>
    <xf numFmtId="0" fontId="57" fillId="12" borderId="136" xfId="13" applyFont="1" applyFill="1" applyBorder="1" applyAlignment="1">
      <alignment horizontal="center" vertical="center" wrapText="1"/>
    </xf>
    <xf numFmtId="0" fontId="57" fillId="12" borderId="136" xfId="13" applyFont="1" applyFill="1" applyBorder="1" applyAlignment="1">
      <alignment horizontal="center" vertical="center"/>
    </xf>
    <xf numFmtId="0" fontId="57" fillId="12" borderId="137" xfId="13" applyFont="1" applyFill="1" applyBorder="1" applyAlignment="1">
      <alignment horizontal="center" vertical="center" wrapText="1"/>
    </xf>
    <xf numFmtId="0" fontId="76" fillId="0" borderId="0" xfId="13" applyFont="1" applyAlignment="1">
      <alignment vertical="center"/>
    </xf>
    <xf numFmtId="0" fontId="77" fillId="13" borderId="138" xfId="14" applyFont="1" applyFill="1" applyBorder="1" applyAlignment="1">
      <alignment vertical="center" wrapText="1"/>
    </xf>
    <xf numFmtId="0" fontId="4" fillId="13" borderId="138" xfId="14" applyFont="1" applyFill="1" applyBorder="1" applyAlignment="1">
      <alignment horizontal="center" vertical="center" wrapText="1"/>
    </xf>
    <xf numFmtId="0" fontId="4" fillId="13" borderId="138" xfId="14" applyFont="1" applyFill="1" applyBorder="1" applyAlignment="1">
      <alignment vertical="center" wrapText="1"/>
    </xf>
    <xf numFmtId="0" fontId="14" fillId="13" borderId="138" xfId="14" quotePrefix="1" applyFont="1" applyFill="1" applyBorder="1" applyAlignment="1">
      <alignment horizontal="left" vertical="center" wrapText="1"/>
    </xf>
    <xf numFmtId="0" fontId="0" fillId="14" borderId="138" xfId="0" applyFill="1" applyBorder="1" applyAlignment="1">
      <alignment horizontal="center" vertical="center"/>
    </xf>
    <xf numFmtId="0" fontId="13" fillId="14" borderId="138" xfId="13" applyFont="1" applyFill="1" applyBorder="1" applyAlignment="1">
      <alignment horizontal="center" vertical="center" wrapText="1"/>
    </xf>
    <xf numFmtId="0" fontId="76" fillId="14" borderId="138" xfId="13" applyFont="1" applyFill="1" applyBorder="1" applyAlignment="1">
      <alignment horizontal="center" vertical="center" wrapText="1"/>
    </xf>
    <xf numFmtId="0" fontId="77" fillId="13" borderId="4" xfId="14" applyFont="1" applyFill="1" applyBorder="1" applyAlignment="1">
      <alignment vertical="center" wrapText="1"/>
    </xf>
    <xf numFmtId="0" fontId="4" fillId="13" borderId="4" xfId="14" applyFont="1" applyFill="1" applyBorder="1" applyAlignment="1">
      <alignment horizontal="center" vertical="center" wrapText="1"/>
    </xf>
    <xf numFmtId="0" fontId="4" fillId="13" borderId="4" xfId="14" applyFont="1" applyFill="1" applyBorder="1" applyAlignment="1">
      <alignment vertical="center" wrapText="1"/>
    </xf>
    <xf numFmtId="0" fontId="14" fillId="13" borderId="4" xfId="14" quotePrefix="1" applyFont="1" applyFill="1" applyBorder="1" applyAlignment="1">
      <alignment horizontal="left" vertical="center" wrapText="1"/>
    </xf>
    <xf numFmtId="0" fontId="0" fillId="14" borderId="4" xfId="0" applyFill="1" applyBorder="1" applyAlignment="1">
      <alignment horizontal="center" vertical="center"/>
    </xf>
    <xf numFmtId="0" fontId="13" fillId="14" borderId="4" xfId="13" applyFont="1" applyFill="1" applyBorder="1" applyAlignment="1">
      <alignment horizontal="center" vertical="center" wrapText="1"/>
    </xf>
    <xf numFmtId="0" fontId="77" fillId="13" borderId="4" xfId="14" quotePrefix="1" applyFont="1" applyFill="1" applyBorder="1" applyAlignment="1">
      <alignment horizontal="left" vertical="center" wrapText="1"/>
    </xf>
    <xf numFmtId="0" fontId="79" fillId="13" borderId="4" xfId="14" applyFont="1" applyFill="1" applyBorder="1" applyAlignment="1">
      <alignment vertical="center" wrapText="1"/>
    </xf>
    <xf numFmtId="0" fontId="80" fillId="13" borderId="4" xfId="14" applyFont="1" applyFill="1" applyBorder="1" applyAlignment="1">
      <alignment vertical="center" wrapText="1"/>
    </xf>
    <xf numFmtId="0" fontId="81" fillId="13" borderId="4" xfId="14" applyFont="1" applyFill="1" applyBorder="1" applyAlignment="1">
      <alignment horizontal="center" vertical="center" wrapText="1"/>
    </xf>
    <xf numFmtId="0" fontId="81" fillId="13" borderId="4" xfId="14" applyFont="1" applyFill="1" applyBorder="1" applyAlignment="1">
      <alignment vertical="center" wrapText="1"/>
    </xf>
    <xf numFmtId="0" fontId="82" fillId="14" borderId="4" xfId="0" applyFont="1" applyFill="1" applyBorder="1" applyAlignment="1">
      <alignment horizontal="center" vertical="center"/>
    </xf>
    <xf numFmtId="0" fontId="83" fillId="14" borderId="4" xfId="13" applyFont="1" applyFill="1" applyBorder="1" applyAlignment="1">
      <alignment horizontal="center" vertical="center" wrapText="1"/>
    </xf>
    <xf numFmtId="0" fontId="77" fillId="15" borderId="4" xfId="14" applyFont="1" applyFill="1" applyBorder="1" applyAlignment="1">
      <alignment vertical="center" wrapText="1"/>
    </xf>
    <xf numFmtId="0" fontId="4" fillId="15" borderId="4" xfId="14" applyFont="1" applyFill="1" applyBorder="1" applyAlignment="1">
      <alignment horizontal="center" vertical="center" wrapText="1"/>
    </xf>
    <xf numFmtId="0" fontId="4" fillId="15" borderId="4" xfId="14" applyFont="1" applyFill="1" applyBorder="1" applyAlignment="1">
      <alignment vertical="center" wrapText="1"/>
    </xf>
    <xf numFmtId="0" fontId="14" fillId="15" borderId="4" xfId="14" quotePrefix="1" applyFont="1" applyFill="1" applyBorder="1" applyAlignment="1">
      <alignment horizontal="left" vertical="center" wrapText="1"/>
    </xf>
    <xf numFmtId="0" fontId="0" fillId="16" borderId="4" xfId="0" applyFill="1" applyBorder="1" applyAlignment="1">
      <alignment horizontal="center" vertical="center"/>
    </xf>
    <xf numFmtId="0" fontId="13" fillId="16" borderId="4" xfId="13" applyFont="1" applyFill="1" applyBorder="1" applyAlignment="1">
      <alignment horizontal="center" vertical="center" wrapText="1"/>
    </xf>
    <xf numFmtId="0" fontId="76" fillId="16" borderId="4" xfId="13" applyFont="1" applyFill="1" applyBorder="1" applyAlignment="1">
      <alignment horizontal="center" vertical="center" wrapText="1"/>
    </xf>
    <xf numFmtId="0" fontId="77" fillId="17" borderId="4" xfId="14" applyFont="1" applyFill="1" applyBorder="1" applyAlignment="1">
      <alignment vertical="center" wrapText="1"/>
    </xf>
    <xf numFmtId="0" fontId="4" fillId="17" borderId="4" xfId="14" applyFont="1" applyFill="1" applyBorder="1" applyAlignment="1">
      <alignment horizontal="center" vertical="center" wrapText="1"/>
    </xf>
    <xf numFmtId="0" fontId="4" fillId="17" borderId="4" xfId="14" applyFont="1" applyFill="1" applyBorder="1" applyAlignment="1">
      <alignment vertical="center" wrapText="1"/>
    </xf>
    <xf numFmtId="0" fontId="14" fillId="17" borderId="4" xfId="14" quotePrefix="1" applyFont="1" applyFill="1" applyBorder="1" applyAlignment="1">
      <alignment horizontal="left" vertical="center" wrapText="1"/>
    </xf>
    <xf numFmtId="0" fontId="0" fillId="18" borderId="4" xfId="0" applyFill="1" applyBorder="1" applyAlignment="1">
      <alignment horizontal="center" vertical="center"/>
    </xf>
    <xf numFmtId="0" fontId="13" fillId="18" borderId="4" xfId="13" applyFont="1" applyFill="1" applyBorder="1" applyAlignment="1">
      <alignment horizontal="center" vertical="center" wrapText="1"/>
    </xf>
    <xf numFmtId="0" fontId="76" fillId="18" borderId="4" xfId="13" applyFont="1" applyFill="1" applyBorder="1" applyAlignment="1">
      <alignment horizontal="center" vertical="center" wrapText="1"/>
    </xf>
    <xf numFmtId="0" fontId="77" fillId="19" borderId="4" xfId="14" applyFont="1" applyFill="1" applyBorder="1" applyAlignment="1">
      <alignment vertical="center" wrapText="1"/>
    </xf>
    <xf numFmtId="0" fontId="4" fillId="19" borderId="4" xfId="14" applyFont="1" applyFill="1" applyBorder="1" applyAlignment="1">
      <alignment horizontal="center" vertical="center" wrapText="1"/>
    </xf>
    <xf numFmtId="0" fontId="4" fillId="19" borderId="4" xfId="14" applyFont="1" applyFill="1" applyBorder="1" applyAlignment="1">
      <alignment vertical="center" wrapText="1"/>
    </xf>
    <xf numFmtId="0" fontId="14" fillId="19" borderId="4" xfId="14" quotePrefix="1" applyFont="1" applyFill="1" applyBorder="1" applyAlignment="1">
      <alignment horizontal="left" vertical="center" wrapText="1"/>
    </xf>
    <xf numFmtId="0" fontId="0" fillId="20" borderId="4" xfId="0" applyFill="1" applyBorder="1" applyAlignment="1">
      <alignment horizontal="center" vertical="center"/>
    </xf>
    <xf numFmtId="0" fontId="13" fillId="20" borderId="4" xfId="13" applyFont="1" applyFill="1" applyBorder="1" applyAlignment="1">
      <alignment horizontal="center" vertical="center" wrapText="1"/>
    </xf>
    <xf numFmtId="0" fontId="76" fillId="20" borderId="4" xfId="13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vertical="center" wrapText="1"/>
    </xf>
    <xf numFmtId="0" fontId="14" fillId="19" borderId="4" xfId="0" quotePrefix="1" applyFont="1" applyFill="1" applyBorder="1" applyAlignment="1">
      <alignment horizontal="left" vertical="center" wrapText="1"/>
    </xf>
    <xf numFmtId="0" fontId="4" fillId="19" borderId="4" xfId="14" applyFont="1" applyFill="1" applyBorder="1" applyAlignment="1">
      <alignment horizontal="left" vertical="center" wrapText="1"/>
    </xf>
    <xf numFmtId="0" fontId="77" fillId="21" borderId="4" xfId="14" applyFont="1" applyFill="1" applyBorder="1" applyAlignment="1">
      <alignment vertical="center" wrapText="1"/>
    </xf>
    <xf numFmtId="0" fontId="4" fillId="21" borderId="4" xfId="14" applyFont="1" applyFill="1" applyBorder="1" applyAlignment="1">
      <alignment horizontal="center" vertical="center" wrapText="1"/>
    </xf>
    <xf numFmtId="0" fontId="4" fillId="21" borderId="4" xfId="14" applyFont="1" applyFill="1" applyBorder="1" applyAlignment="1">
      <alignment vertical="center" wrapText="1"/>
    </xf>
    <xf numFmtId="0" fontId="14" fillId="21" borderId="4" xfId="14" quotePrefix="1" applyFont="1" applyFill="1" applyBorder="1" applyAlignment="1">
      <alignment horizontal="left" vertical="center" wrapText="1"/>
    </xf>
    <xf numFmtId="0" fontId="0" fillId="22" borderId="4" xfId="0" applyFill="1" applyBorder="1" applyAlignment="1">
      <alignment horizontal="center" vertical="center"/>
    </xf>
    <xf numFmtId="0" fontId="13" fillId="22" borderId="4" xfId="13" applyFont="1" applyFill="1" applyBorder="1" applyAlignment="1">
      <alignment horizontal="center" vertical="center" wrapText="1"/>
    </xf>
    <xf numFmtId="0" fontId="76" fillId="22" borderId="4" xfId="13" applyFont="1" applyFill="1" applyBorder="1" applyAlignment="1">
      <alignment horizontal="center" vertical="center" wrapText="1"/>
    </xf>
    <xf numFmtId="0" fontId="84" fillId="23" borderId="4" xfId="15" applyFont="1" applyFill="1" applyBorder="1" applyAlignment="1">
      <alignment vertical="center" wrapText="1"/>
    </xf>
    <xf numFmtId="0" fontId="85" fillId="23" borderId="4" xfId="15" applyFont="1" applyFill="1" applyBorder="1" applyAlignment="1">
      <alignment horizontal="center" vertical="center" wrapText="1"/>
    </xf>
    <xf numFmtId="0" fontId="85" fillId="23" borderId="4" xfId="15" applyFont="1" applyFill="1" applyBorder="1" applyAlignment="1">
      <alignment horizontal="left" vertical="center" wrapText="1"/>
    </xf>
    <xf numFmtId="0" fontId="74" fillId="23" borderId="4" xfId="15" quotePrefix="1" applyFont="1" applyFill="1" applyBorder="1" applyAlignment="1">
      <alignment horizontal="left" vertical="center" wrapText="1"/>
    </xf>
    <xf numFmtId="0" fontId="0" fillId="23" borderId="4" xfId="0" applyFill="1" applyBorder="1" applyAlignment="1">
      <alignment horizontal="center" vertical="center"/>
    </xf>
    <xf numFmtId="0" fontId="13" fillId="23" borderId="4" xfId="13" applyFont="1" applyFill="1" applyBorder="1" applyAlignment="1">
      <alignment horizontal="center" vertical="center" wrapText="1"/>
    </xf>
    <xf numFmtId="0" fontId="76" fillId="23" borderId="4" xfId="13" applyFont="1" applyFill="1" applyBorder="1" applyAlignment="1">
      <alignment horizontal="center" vertical="center" wrapText="1"/>
    </xf>
    <xf numFmtId="0" fontId="74" fillId="0" borderId="0" xfId="13" applyFont="1" applyAlignment="1">
      <alignment horizontal="center" vertical="center"/>
    </xf>
    <xf numFmtId="0" fontId="65" fillId="24" borderId="33" xfId="1" applyFont="1" applyFill="1" applyBorder="1" applyAlignment="1">
      <alignment horizontal="center" vertical="center" wrapText="1"/>
    </xf>
    <xf numFmtId="0" fontId="65" fillId="24" borderId="33" xfId="2" quotePrefix="1" applyFont="1" applyFill="1" applyBorder="1" applyAlignment="1">
      <alignment vertical="center" wrapText="1"/>
    </xf>
    <xf numFmtId="0" fontId="65" fillId="24" borderId="33" xfId="2" quotePrefix="1" applyFont="1" applyFill="1" applyBorder="1" applyAlignment="1">
      <alignment horizontal="center" vertical="center" wrapText="1"/>
    </xf>
    <xf numFmtId="0" fontId="65" fillId="24" borderId="32" xfId="2" quotePrefix="1" applyFont="1" applyFill="1" applyBorder="1" applyAlignment="1">
      <alignment vertical="center" wrapText="1"/>
    </xf>
    <xf numFmtId="0" fontId="65" fillId="24" borderId="32" xfId="2" quotePrefix="1" applyFont="1" applyFill="1" applyBorder="1" applyAlignment="1">
      <alignment horizontal="center" vertical="center" wrapText="1"/>
    </xf>
    <xf numFmtId="0" fontId="0" fillId="0" borderId="9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44" fillId="6" borderId="61" xfId="0" applyFont="1" applyFill="1" applyBorder="1" applyAlignment="1">
      <alignment horizontal="center" vertical="center"/>
    </xf>
    <xf numFmtId="0" fontId="44" fillId="6" borderId="62" xfId="0" applyFont="1" applyFill="1" applyBorder="1" applyAlignment="1">
      <alignment horizontal="center" vertical="center"/>
    </xf>
    <xf numFmtId="0" fontId="44" fillId="6" borderId="58" xfId="0" applyFont="1" applyFill="1" applyBorder="1" applyAlignment="1">
      <alignment horizontal="center" vertical="center"/>
    </xf>
    <xf numFmtId="0" fontId="44" fillId="6" borderId="59" xfId="0" applyFont="1" applyFill="1" applyBorder="1" applyAlignment="1">
      <alignment horizontal="center" vertical="center"/>
    </xf>
    <xf numFmtId="0" fontId="44" fillId="6" borderId="40" xfId="0" applyFont="1" applyFill="1" applyBorder="1" applyAlignment="1">
      <alignment horizontal="center" vertical="center"/>
    </xf>
    <xf numFmtId="0" fontId="44" fillId="6" borderId="105" xfId="0" applyFont="1" applyFill="1" applyBorder="1" applyAlignment="1">
      <alignment horizontal="center" vertical="center"/>
    </xf>
    <xf numFmtId="0" fontId="44" fillId="6" borderId="106" xfId="0" applyFont="1" applyFill="1" applyBorder="1" applyAlignment="1">
      <alignment horizontal="center" vertical="center"/>
    </xf>
    <xf numFmtId="0" fontId="44" fillId="6" borderId="78" xfId="0" applyFont="1" applyFill="1" applyBorder="1" applyAlignment="1">
      <alignment horizontal="center" vertical="center"/>
    </xf>
    <xf numFmtId="0" fontId="44" fillId="6" borderId="95" xfId="0" applyFont="1" applyFill="1" applyBorder="1" applyAlignment="1">
      <alignment horizontal="center" vertical="center"/>
    </xf>
    <xf numFmtId="0" fontId="44" fillId="6" borderId="63" xfId="0" applyFont="1" applyFill="1" applyBorder="1" applyAlignment="1">
      <alignment horizontal="center" vertical="center"/>
    </xf>
    <xf numFmtId="0" fontId="0" fillId="0" borderId="93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13" fillId="6" borderId="44" xfId="1" applyFont="1" applyFill="1" applyBorder="1" applyAlignment="1">
      <alignment horizontal="center" vertical="center"/>
    </xf>
    <xf numFmtId="0" fontId="13" fillId="6" borderId="48" xfId="1" applyFont="1" applyFill="1" applyBorder="1" applyAlignment="1">
      <alignment horizontal="center" vertical="center"/>
    </xf>
    <xf numFmtId="0" fontId="13" fillId="6" borderId="42" xfId="1" applyFont="1" applyFill="1" applyBorder="1" applyAlignment="1">
      <alignment horizontal="center" vertical="center"/>
    </xf>
    <xf numFmtId="0" fontId="13" fillId="6" borderId="49" xfId="1" applyFont="1" applyFill="1" applyBorder="1" applyAlignment="1">
      <alignment horizontal="center" vertical="center"/>
    </xf>
    <xf numFmtId="0" fontId="13" fillId="6" borderId="50" xfId="1" applyFont="1" applyFill="1" applyBorder="1" applyAlignment="1">
      <alignment horizontal="center" vertical="center"/>
    </xf>
    <xf numFmtId="0" fontId="73" fillId="11" borderId="0" xfId="13" applyFont="1" applyFill="1" applyAlignment="1">
      <alignment horizontal="left" vertical="center" wrapText="1"/>
    </xf>
    <xf numFmtId="0" fontId="49" fillId="0" borderId="0" xfId="13" applyFont="1" applyAlignment="1">
      <alignment vertical="center"/>
    </xf>
    <xf numFmtId="0" fontId="63" fillId="2" borderId="0" xfId="2" applyFont="1" applyFill="1" applyAlignment="1">
      <alignment horizontal="center" vertical="center"/>
    </xf>
    <xf numFmtId="0" fontId="64" fillId="2" borderId="0" xfId="2" applyFont="1" applyFill="1" applyAlignment="1">
      <alignment horizontal="center" vertical="center"/>
    </xf>
    <xf numFmtId="0" fontId="42" fillId="5" borderId="124" xfId="2" applyFont="1" applyFill="1" applyBorder="1" applyAlignment="1">
      <alignment horizontal="left" vertical="center" wrapText="1"/>
    </xf>
    <xf numFmtId="0" fontId="42" fillId="5" borderId="124" xfId="2" applyFont="1" applyFill="1" applyBorder="1" applyAlignment="1">
      <alignment horizontal="left" vertical="center"/>
    </xf>
    <xf numFmtId="0" fontId="42" fillId="5" borderId="125" xfId="2" applyFont="1" applyFill="1" applyBorder="1" applyAlignment="1">
      <alignment horizontal="left" vertical="center"/>
    </xf>
    <xf numFmtId="0" fontId="42" fillId="5" borderId="0" xfId="2" applyFont="1" applyFill="1" applyAlignment="1">
      <alignment horizontal="left" vertical="center"/>
    </xf>
    <xf numFmtId="0" fontId="42" fillId="5" borderId="126" xfId="2" applyFont="1" applyFill="1" applyBorder="1" applyAlignment="1">
      <alignment horizontal="left" vertical="center"/>
    </xf>
    <xf numFmtId="0" fontId="61" fillId="9" borderId="0" xfId="1" applyFont="1" applyFill="1" applyAlignment="1">
      <alignment horizontal="center" vertical="center" wrapText="1"/>
    </xf>
    <xf numFmtId="0" fontId="6" fillId="2" borderId="60" xfId="1" applyFont="1" applyFill="1" applyBorder="1" applyAlignment="1">
      <alignment horizontal="center" vertical="center" wrapText="1"/>
    </xf>
    <xf numFmtId="0" fontId="6" fillId="2" borderId="61" xfId="1" applyFont="1" applyFill="1" applyBorder="1" applyAlignment="1">
      <alignment horizontal="center" vertical="center" wrapText="1"/>
    </xf>
    <xf numFmtId="14" fontId="7" fillId="2" borderId="61" xfId="2" applyNumberFormat="1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 wrapText="1"/>
    </xf>
    <xf numFmtId="0" fontId="7" fillId="2" borderId="62" xfId="2" applyFont="1" applyFill="1" applyBorder="1" applyAlignment="1">
      <alignment horizontal="center" vertical="center" wrapText="1"/>
    </xf>
    <xf numFmtId="0" fontId="6" fillId="2" borderId="63" xfId="1" applyFont="1" applyFill="1" applyBorder="1" applyAlignment="1">
      <alignment horizontal="center" vertical="center" wrapText="1"/>
    </xf>
    <xf numFmtId="0" fontId="6" fillId="2" borderId="64" xfId="1" applyFont="1" applyFill="1" applyBorder="1" applyAlignment="1">
      <alignment horizontal="center" vertical="center" wrapText="1"/>
    </xf>
    <xf numFmtId="14" fontId="7" fillId="2" borderId="64" xfId="2" applyNumberFormat="1" applyFont="1" applyFill="1" applyBorder="1" applyAlignment="1">
      <alignment horizontal="center" vertical="center"/>
    </xf>
    <xf numFmtId="0" fontId="7" fillId="2" borderId="64" xfId="2" applyFont="1" applyFill="1" applyBorder="1" applyAlignment="1">
      <alignment horizontal="center" vertical="center"/>
    </xf>
    <xf numFmtId="0" fontId="7" fillId="2" borderId="64" xfId="2" applyFont="1" applyFill="1" applyBorder="1" applyAlignment="1">
      <alignment horizontal="center" vertical="center" wrapText="1"/>
    </xf>
    <xf numFmtId="0" fontId="7" fillId="2" borderId="65" xfId="2" applyFont="1" applyFill="1" applyBorder="1" applyAlignment="1">
      <alignment horizontal="center" vertical="center" wrapText="1"/>
    </xf>
    <xf numFmtId="0" fontId="6" fillId="2" borderId="57" xfId="1" applyFont="1" applyFill="1" applyBorder="1" applyAlignment="1">
      <alignment horizontal="center" vertical="center" wrapText="1"/>
    </xf>
    <xf numFmtId="0" fontId="6" fillId="2" borderId="58" xfId="1" applyFont="1" applyFill="1" applyBorder="1" applyAlignment="1">
      <alignment horizontal="center" vertical="center" wrapText="1"/>
    </xf>
    <xf numFmtId="14" fontId="7" fillId="2" borderId="58" xfId="2" applyNumberFormat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/>
    </xf>
    <xf numFmtId="0" fontId="13" fillId="6" borderId="55" xfId="1" applyFont="1" applyFill="1" applyBorder="1" applyAlignment="1">
      <alignment horizontal="center" vertical="center"/>
    </xf>
    <xf numFmtId="0" fontId="13" fillId="6" borderId="39" xfId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 wrapText="1"/>
    </xf>
    <xf numFmtId="0" fontId="7" fillId="2" borderId="59" xfId="2" applyFont="1" applyFill="1" applyBorder="1" applyAlignment="1">
      <alignment horizontal="center" vertical="center" wrapText="1"/>
    </xf>
    <xf numFmtId="0" fontId="13" fillId="6" borderId="53" xfId="1" applyFont="1" applyFill="1" applyBorder="1" applyAlignment="1">
      <alignment horizontal="center" vertical="center"/>
    </xf>
    <xf numFmtId="0" fontId="9" fillId="2" borderId="96" xfId="2" applyFont="1" applyFill="1" applyBorder="1" applyAlignment="1">
      <alignment vertical="center" wrapText="1"/>
    </xf>
    <xf numFmtId="0" fontId="9" fillId="2" borderId="0" xfId="2" applyFont="1" applyFill="1" applyAlignment="1">
      <alignment vertical="center" wrapText="1"/>
    </xf>
    <xf numFmtId="0" fontId="51" fillId="6" borderId="40" xfId="4" applyFont="1" applyFill="1" applyBorder="1" applyAlignment="1">
      <alignment horizontal="center" vertical="center"/>
    </xf>
    <xf numFmtId="0" fontId="51" fillId="6" borderId="0" xfId="4" applyFont="1" applyFill="1" applyAlignment="1">
      <alignment horizontal="center" vertical="center"/>
    </xf>
    <xf numFmtId="0" fontId="51" fillId="6" borderId="41" xfId="4" applyFont="1" applyFill="1" applyBorder="1" applyAlignment="1">
      <alignment horizontal="center" vertical="center"/>
    </xf>
    <xf numFmtId="0" fontId="9" fillId="2" borderId="40" xfId="4" applyFont="1" applyFill="1" applyBorder="1" applyAlignment="1">
      <alignment vertical="center" wrapText="1"/>
    </xf>
    <xf numFmtId="0" fontId="9" fillId="2" borderId="0" xfId="4" applyFont="1" applyFill="1" applyAlignment="1">
      <alignment vertical="center" wrapText="1"/>
    </xf>
    <xf numFmtId="0" fontId="9" fillId="2" borderId="41" xfId="4" applyFont="1" applyFill="1" applyBorder="1" applyAlignment="1">
      <alignment vertical="center" wrapText="1"/>
    </xf>
    <xf numFmtId="0" fontId="10" fillId="6" borderId="40" xfId="3" applyFont="1" applyFill="1" applyBorder="1" applyAlignment="1">
      <alignment horizontal="center" vertical="center"/>
    </xf>
    <xf numFmtId="0" fontId="10" fillId="6" borderId="49" xfId="3" applyFont="1" applyFill="1" applyBorder="1" applyAlignment="1">
      <alignment horizontal="center" vertical="center"/>
    </xf>
    <xf numFmtId="0" fontId="10" fillId="6" borderId="41" xfId="3" applyFont="1" applyFill="1" applyBorder="1" applyAlignment="1">
      <alignment horizontal="center" vertical="center"/>
    </xf>
    <xf numFmtId="0" fontId="10" fillId="6" borderId="50" xfId="3" applyFont="1" applyFill="1" applyBorder="1" applyAlignment="1">
      <alignment horizontal="center" vertical="center"/>
    </xf>
    <xf numFmtId="0" fontId="10" fillId="6" borderId="44" xfId="3" applyFont="1" applyFill="1" applyBorder="1" applyAlignment="1">
      <alignment horizontal="center" vertical="center"/>
    </xf>
    <xf numFmtId="0" fontId="10" fillId="6" borderId="48" xfId="3" applyFont="1" applyFill="1" applyBorder="1" applyAlignment="1">
      <alignment horizontal="center" vertical="center"/>
    </xf>
    <xf numFmtId="0" fontId="10" fillId="6" borderId="46" xfId="3" applyFont="1" applyFill="1" applyBorder="1" applyAlignment="1">
      <alignment horizontal="center" vertical="center"/>
    </xf>
    <xf numFmtId="0" fontId="10" fillId="6" borderId="47" xfId="3" applyFont="1" applyFill="1" applyBorder="1" applyAlignment="1">
      <alignment horizontal="center" vertical="center"/>
    </xf>
    <xf numFmtId="0" fontId="10" fillId="6" borderId="45" xfId="3" applyFont="1" applyFill="1" applyBorder="1" applyAlignment="1">
      <alignment horizontal="center" vertical="center"/>
    </xf>
    <xf numFmtId="0" fontId="7" fillId="0" borderId="40" xfId="4" applyFont="1" applyBorder="1" applyAlignment="1">
      <alignment horizontal="center" vertical="center" wrapText="1"/>
    </xf>
    <xf numFmtId="0" fontId="7" fillId="0" borderId="105" xfId="4" applyFont="1" applyBorder="1" applyAlignment="1">
      <alignment horizontal="center" vertical="center" wrapText="1"/>
    </xf>
    <xf numFmtId="0" fontId="7" fillId="0" borderId="106" xfId="4" applyFont="1" applyBorder="1" applyAlignment="1">
      <alignment horizontal="center" vertical="center" wrapText="1"/>
    </xf>
    <xf numFmtId="0" fontId="7" fillId="0" borderId="78" xfId="4" applyFont="1" applyBorder="1" applyAlignment="1">
      <alignment horizontal="center" vertical="center" wrapText="1"/>
    </xf>
    <xf numFmtId="0" fontId="7" fillId="0" borderId="58" xfId="4" applyFont="1" applyBorder="1" applyAlignment="1">
      <alignment horizontal="center" vertical="center"/>
    </xf>
    <xf numFmtId="0" fontId="7" fillId="0" borderId="61" xfId="4" applyFont="1" applyBorder="1" applyAlignment="1">
      <alignment horizontal="center" vertical="center"/>
    </xf>
    <xf numFmtId="0" fontId="7" fillId="0" borderId="59" xfId="4" applyFont="1" applyBorder="1" applyAlignment="1">
      <alignment horizontal="center" vertical="center"/>
    </xf>
    <xf numFmtId="0" fontId="7" fillId="0" borderId="62" xfId="4" applyFont="1" applyBorder="1" applyAlignment="1">
      <alignment horizontal="center" vertical="center"/>
    </xf>
    <xf numFmtId="0" fontId="7" fillId="0" borderId="101" xfId="4" applyFont="1" applyBorder="1" applyAlignment="1">
      <alignment horizontal="center" vertical="center" wrapText="1"/>
    </xf>
    <xf numFmtId="0" fontId="7" fillId="0" borderId="67" xfId="4" applyFont="1" applyBorder="1" applyAlignment="1">
      <alignment horizontal="center" vertical="center" wrapText="1"/>
    </xf>
    <xf numFmtId="0" fontId="7" fillId="0" borderId="66" xfId="4" applyFont="1" applyBorder="1" applyAlignment="1">
      <alignment horizontal="center" vertical="center"/>
    </xf>
    <xf numFmtId="0" fontId="7" fillId="0" borderId="67" xfId="4" applyFont="1" applyBorder="1" applyAlignment="1">
      <alignment horizontal="center" vertical="center"/>
    </xf>
    <xf numFmtId="0" fontId="7" fillId="0" borderId="80" xfId="4" applyFont="1" applyBorder="1" applyAlignment="1">
      <alignment horizontal="center" vertical="center"/>
    </xf>
    <xf numFmtId="0" fontId="7" fillId="0" borderId="78" xfId="4" applyFont="1" applyBorder="1" applyAlignment="1">
      <alignment horizontal="center" vertical="center"/>
    </xf>
    <xf numFmtId="0" fontId="7" fillId="0" borderId="101" xfId="4" applyFont="1" applyBorder="1" applyAlignment="1">
      <alignment horizontal="center" vertical="center"/>
    </xf>
    <xf numFmtId="0" fontId="7" fillId="0" borderId="106" xfId="4" applyFont="1" applyBorder="1" applyAlignment="1">
      <alignment horizontal="center" vertical="center"/>
    </xf>
    <xf numFmtId="0" fontId="7" fillId="0" borderId="102" xfId="4" applyFont="1" applyBorder="1" applyAlignment="1">
      <alignment horizontal="center" vertical="center"/>
    </xf>
    <xf numFmtId="0" fontId="7" fillId="0" borderId="41" xfId="4" applyFont="1" applyBorder="1" applyAlignment="1">
      <alignment horizontal="center" vertical="center"/>
    </xf>
    <xf numFmtId="0" fontId="10" fillId="6" borderId="42" xfId="3" applyFont="1" applyFill="1" applyBorder="1" applyAlignment="1">
      <alignment horizontal="center" vertical="center"/>
    </xf>
    <xf numFmtId="0" fontId="10" fillId="6" borderId="43" xfId="3" applyFont="1" applyFill="1" applyBorder="1" applyAlignment="1">
      <alignment horizontal="center" vertical="center"/>
    </xf>
    <xf numFmtId="0" fontId="10" fillId="6" borderId="56" xfId="3" applyFont="1" applyFill="1" applyBorder="1" applyAlignment="1">
      <alignment horizontal="center" vertical="center"/>
    </xf>
    <xf numFmtId="0" fontId="10" fillId="6" borderId="77" xfId="3" applyFont="1" applyFill="1" applyBorder="1" applyAlignment="1">
      <alignment horizontal="center" vertical="center"/>
    </xf>
    <xf numFmtId="0" fontId="7" fillId="0" borderId="79" xfId="4" applyFont="1" applyBorder="1" applyAlignment="1">
      <alignment horizontal="center" vertical="center" wrapText="1"/>
    </xf>
    <xf numFmtId="0" fontId="7" fillId="0" borderId="60" xfId="4" applyFont="1" applyBorder="1" applyAlignment="1">
      <alignment horizontal="center" vertical="center" wrapText="1"/>
    </xf>
    <xf numFmtId="0" fontId="7" fillId="0" borderId="61" xfId="4" applyFont="1" applyBorder="1" applyAlignment="1">
      <alignment horizontal="center" vertical="center" wrapText="1"/>
    </xf>
    <xf numFmtId="0" fontId="7" fillId="0" borderId="122" xfId="4" applyFont="1" applyBorder="1" applyAlignment="1">
      <alignment horizontal="center" vertical="center"/>
    </xf>
    <xf numFmtId="0" fontId="7" fillId="0" borderId="40" xfId="4" applyFont="1" applyBorder="1" applyAlignment="1">
      <alignment horizontal="center" vertical="center"/>
    </xf>
    <xf numFmtId="0" fontId="7" fillId="0" borderId="105" xfId="4" applyFont="1" applyBorder="1" applyAlignment="1">
      <alignment horizontal="center" vertical="center"/>
    </xf>
    <xf numFmtId="0" fontId="7" fillId="0" borderId="99" xfId="4" applyFont="1" applyBorder="1" applyAlignment="1">
      <alignment horizontal="center" vertical="center"/>
    </xf>
    <xf numFmtId="0" fontId="7" fillId="0" borderId="0" xfId="4" applyFont="1" applyAlignment="1">
      <alignment horizontal="center" vertical="center"/>
    </xf>
    <xf numFmtId="0" fontId="7" fillId="0" borderId="100" xfId="4" applyFont="1" applyBorder="1" applyAlignment="1">
      <alignment horizontal="center" vertical="center"/>
    </xf>
    <xf numFmtId="0" fontId="7" fillId="0" borderId="122" xfId="4" applyFont="1" applyBorder="1" applyAlignment="1">
      <alignment horizontal="left" vertical="center" wrapText="1"/>
    </xf>
    <xf numFmtId="0" fontId="7" fillId="0" borderId="40" xfId="4" applyFont="1" applyBorder="1" applyAlignment="1">
      <alignment horizontal="left" vertical="center" wrapText="1"/>
    </xf>
    <xf numFmtId="0" fontId="7" fillId="0" borderId="99" xfId="4" applyFont="1" applyBorder="1" applyAlignment="1">
      <alignment horizontal="left" vertical="center" wrapText="1"/>
    </xf>
    <xf numFmtId="0" fontId="7" fillId="0" borderId="0" xfId="4" applyFont="1" applyAlignment="1">
      <alignment horizontal="left" vertical="center" wrapText="1"/>
    </xf>
    <xf numFmtId="0" fontId="7" fillId="0" borderId="80" xfId="4" applyFont="1" applyBorder="1" applyAlignment="1">
      <alignment horizontal="left" vertical="center" wrapText="1"/>
    </xf>
    <xf numFmtId="0" fontId="7" fillId="0" borderId="106" xfId="4" applyFont="1" applyBorder="1" applyAlignment="1">
      <alignment horizontal="left" vertical="center" wrapText="1"/>
    </xf>
    <xf numFmtId="0" fontId="7" fillId="0" borderId="41" xfId="4" applyFont="1" applyBorder="1" applyAlignment="1">
      <alignment horizontal="center" vertical="center" wrapText="1"/>
    </xf>
    <xf numFmtId="0" fontId="7" fillId="0" borderId="103" xfId="4" applyFont="1" applyBorder="1" applyAlignment="1">
      <alignment horizontal="center" vertical="center" wrapText="1"/>
    </xf>
    <xf numFmtId="0" fontId="7" fillId="0" borderId="103" xfId="4" applyFont="1" applyBorder="1" applyAlignment="1">
      <alignment horizontal="center" vertical="center"/>
    </xf>
    <xf numFmtId="0" fontId="7" fillId="0" borderId="66" xfId="4" applyFont="1" applyBorder="1" applyAlignment="1">
      <alignment horizontal="left" vertical="center" wrapText="1"/>
    </xf>
    <xf numFmtId="0" fontId="7" fillId="0" borderId="101" xfId="4" applyFont="1" applyBorder="1" applyAlignment="1">
      <alignment horizontal="left" vertical="center" wrapText="1"/>
    </xf>
    <xf numFmtId="0" fontId="7" fillId="0" borderId="123" xfId="4" applyFont="1" applyBorder="1" applyAlignment="1">
      <alignment horizontal="center" vertical="center" wrapText="1"/>
    </xf>
    <xf numFmtId="0" fontId="7" fillId="0" borderId="63" xfId="4" applyFont="1" applyBorder="1" applyAlignment="1">
      <alignment horizontal="center" vertical="center" wrapText="1"/>
    </xf>
    <xf numFmtId="0" fontId="7" fillId="0" borderId="64" xfId="4" applyFont="1" applyBorder="1" applyAlignment="1">
      <alignment horizontal="center" vertical="center" wrapText="1"/>
    </xf>
    <xf numFmtId="0" fontId="7" fillId="0" borderId="123" xfId="4" applyFont="1" applyBorder="1" applyAlignment="1">
      <alignment horizontal="center" vertical="center"/>
    </xf>
    <xf numFmtId="0" fontId="7" fillId="0" borderId="64" xfId="4" applyFont="1" applyBorder="1" applyAlignment="1">
      <alignment horizontal="center" vertical="center"/>
    </xf>
    <xf numFmtId="0" fontId="7" fillId="0" borderId="102" xfId="4" applyFont="1" applyBorder="1" applyAlignment="1">
      <alignment horizontal="left" vertical="center" wrapText="1"/>
    </xf>
    <xf numFmtId="0" fontId="7" fillId="0" borderId="41" xfId="4" applyFont="1" applyBorder="1" applyAlignment="1">
      <alignment horizontal="left" vertical="center" wrapText="1"/>
    </xf>
    <xf numFmtId="0" fontId="40" fillId="2" borderId="0" xfId="1" applyFont="1" applyFill="1" applyAlignment="1">
      <alignment horizontal="left" vertical="center"/>
    </xf>
    <xf numFmtId="0" fontId="13" fillId="6" borderId="45" xfId="1" applyFont="1" applyFill="1" applyBorder="1" applyAlignment="1">
      <alignment horizontal="center" vertical="center"/>
    </xf>
    <xf numFmtId="0" fontId="13" fillId="6" borderId="43" xfId="1" applyFont="1" applyFill="1" applyBorder="1" applyAlignment="1">
      <alignment horizontal="center" vertical="center"/>
    </xf>
    <xf numFmtId="0" fontId="13" fillId="6" borderId="51" xfId="1" applyFont="1" applyFill="1" applyBorder="1" applyAlignment="1">
      <alignment horizontal="center" vertical="center"/>
    </xf>
    <xf numFmtId="0" fontId="13" fillId="6" borderId="52" xfId="1" applyFont="1" applyFill="1" applyBorder="1" applyAlignment="1">
      <alignment horizontal="center" vertical="center"/>
    </xf>
    <xf numFmtId="0" fontId="13" fillId="6" borderId="47" xfId="1" applyFont="1" applyFill="1" applyBorder="1" applyAlignment="1">
      <alignment horizontal="center" vertical="center"/>
    </xf>
    <xf numFmtId="0" fontId="10" fillId="7" borderId="84" xfId="3" applyFont="1" applyFill="1" applyBorder="1" applyAlignment="1">
      <alignment horizontal="center" vertical="center" wrapText="1"/>
    </xf>
    <xf numFmtId="0" fontId="10" fillId="7" borderId="85" xfId="3" applyFont="1" applyFill="1" applyBorder="1" applyAlignment="1">
      <alignment horizontal="center" vertical="center" wrapText="1"/>
    </xf>
    <xf numFmtId="0" fontId="8" fillId="0" borderId="0" xfId="1" applyFont="1" applyAlignment="1">
      <alignment horizontal="left" vertical="center"/>
    </xf>
    <xf numFmtId="0" fontId="23" fillId="2" borderId="0" xfId="1" applyFont="1" applyFill="1" applyAlignment="1">
      <alignment horizontal="left" vertical="center"/>
    </xf>
    <xf numFmtId="0" fontId="6" fillId="2" borderId="0" xfId="1" applyFont="1" applyFill="1" applyAlignment="1">
      <alignment horizontal="center" vertical="center"/>
    </xf>
    <xf numFmtId="0" fontId="10" fillId="6" borderId="42" xfId="3" applyFont="1" applyFill="1" applyBorder="1" applyAlignment="1">
      <alignment horizontal="center" vertical="center" wrapText="1"/>
    </xf>
    <xf numFmtId="0" fontId="10" fillId="6" borderId="43" xfId="3" applyFont="1" applyFill="1" applyBorder="1" applyAlignment="1">
      <alignment horizontal="center" vertical="center" wrapText="1"/>
    </xf>
    <xf numFmtId="0" fontId="10" fillId="6" borderId="45" xfId="3" applyFont="1" applyFill="1" applyBorder="1" applyAlignment="1">
      <alignment horizontal="center" vertical="center" wrapText="1"/>
    </xf>
    <xf numFmtId="0" fontId="10" fillId="6" borderId="46" xfId="3" applyFont="1" applyFill="1" applyBorder="1" applyAlignment="1">
      <alignment horizontal="center" vertical="center" wrapText="1"/>
    </xf>
    <xf numFmtId="0" fontId="10" fillId="6" borderId="44" xfId="3" applyFont="1" applyFill="1" applyBorder="1" applyAlignment="1">
      <alignment horizontal="center" vertical="center" wrapText="1"/>
    </xf>
    <xf numFmtId="0" fontId="27" fillId="4" borderId="93" xfId="1" applyFont="1" applyFill="1" applyBorder="1" applyAlignment="1">
      <alignment horizontal="center" vertical="center"/>
    </xf>
    <xf numFmtId="0" fontId="27" fillId="4" borderId="57" xfId="1" applyFont="1" applyFill="1" applyBorder="1" applyAlignment="1">
      <alignment horizontal="center" vertical="center"/>
    </xf>
    <xf numFmtId="0" fontId="27" fillId="4" borderId="94" xfId="1" applyFont="1" applyFill="1" applyBorder="1" applyAlignment="1">
      <alignment horizontal="center" vertical="center"/>
    </xf>
    <xf numFmtId="0" fontId="27" fillId="4" borderId="60" xfId="1" applyFont="1" applyFill="1" applyBorder="1" applyAlignment="1">
      <alignment horizontal="center" vertical="center"/>
    </xf>
    <xf numFmtId="0" fontId="27" fillId="4" borderId="116" xfId="1" applyFont="1" applyFill="1" applyBorder="1" applyAlignment="1">
      <alignment horizontal="center" vertical="center"/>
    </xf>
    <xf numFmtId="0" fontId="27" fillId="4" borderId="117" xfId="1" applyFont="1" applyFill="1" applyBorder="1" applyAlignment="1">
      <alignment horizontal="center" vertical="center"/>
    </xf>
    <xf numFmtId="0" fontId="24" fillId="2" borderId="0" xfId="1" applyFont="1" applyFill="1" applyAlignment="1">
      <alignment horizontal="left" vertical="center"/>
    </xf>
    <xf numFmtId="0" fontId="10" fillId="6" borderId="53" xfId="3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wrapText="1"/>
    </xf>
    <xf numFmtId="0" fontId="10" fillId="4" borderId="97" xfId="3" applyFont="1" applyFill="1" applyBorder="1" applyAlignment="1">
      <alignment horizontal="center" vertical="center" wrapText="1"/>
    </xf>
    <xf numFmtId="0" fontId="10" fillId="4" borderId="104" xfId="3" applyFont="1" applyFill="1" applyBorder="1" applyAlignment="1">
      <alignment horizontal="center" vertical="center" wrapText="1"/>
    </xf>
    <xf numFmtId="0" fontId="10" fillId="4" borderId="57" xfId="3" applyFont="1" applyFill="1" applyBorder="1" applyAlignment="1">
      <alignment horizontal="center" vertical="center" wrapText="1"/>
    </xf>
    <xf numFmtId="0" fontId="10" fillId="4" borderId="58" xfId="3" applyFont="1" applyFill="1" applyBorder="1" applyAlignment="1">
      <alignment horizontal="center" vertical="center" wrapText="1"/>
    </xf>
    <xf numFmtId="0" fontId="10" fillId="4" borderId="60" xfId="3" applyFont="1" applyFill="1" applyBorder="1" applyAlignment="1">
      <alignment horizontal="center" vertical="center" wrapText="1"/>
    </xf>
    <xf numFmtId="0" fontId="10" fillId="4" borderId="61" xfId="3" applyFont="1" applyFill="1" applyBorder="1" applyAlignment="1">
      <alignment horizontal="center" vertical="center" wrapText="1"/>
    </xf>
    <xf numFmtId="0" fontId="10" fillId="4" borderId="17" xfId="2" applyFont="1" applyFill="1" applyBorder="1" applyAlignment="1">
      <alignment horizontal="center" vertical="center"/>
    </xf>
    <xf numFmtId="0" fontId="10" fillId="4" borderId="18" xfId="2" applyFont="1" applyFill="1" applyBorder="1" applyAlignment="1">
      <alignment horizontal="center" vertical="center"/>
    </xf>
    <xf numFmtId="0" fontId="10" fillId="4" borderId="19" xfId="2" applyFont="1" applyFill="1" applyBorder="1" applyAlignment="1">
      <alignment horizontal="center" vertical="center"/>
    </xf>
    <xf numFmtId="0" fontId="10" fillId="4" borderId="20" xfId="2" applyFont="1" applyFill="1" applyBorder="1" applyAlignment="1">
      <alignment horizontal="center" vertical="center"/>
    </xf>
    <xf numFmtId="0" fontId="21" fillId="4" borderId="22" xfId="2" applyFont="1" applyFill="1" applyBorder="1" applyAlignment="1">
      <alignment horizontal="center" vertical="center"/>
    </xf>
    <xf numFmtId="0" fontId="21" fillId="4" borderId="2" xfId="2" applyFont="1" applyFill="1" applyBorder="1" applyAlignment="1">
      <alignment horizontal="center" vertical="center"/>
    </xf>
    <xf numFmtId="0" fontId="21" fillId="4" borderId="3" xfId="2" applyFont="1" applyFill="1" applyBorder="1" applyAlignment="1">
      <alignment horizontal="center" vertical="center"/>
    </xf>
    <xf numFmtId="0" fontId="10" fillId="4" borderId="24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4" borderId="26" xfId="2" applyFont="1" applyFill="1" applyBorder="1" applyAlignment="1">
      <alignment horizontal="center" vertical="center"/>
    </xf>
    <xf numFmtId="0" fontId="10" fillId="4" borderId="118" xfId="2" applyFont="1" applyFill="1" applyBorder="1" applyAlignment="1">
      <alignment horizontal="center" vertical="center"/>
    </xf>
    <xf numFmtId="0" fontId="10" fillId="4" borderId="119" xfId="2" applyFont="1" applyFill="1" applyBorder="1" applyAlignment="1">
      <alignment horizontal="center" vertical="center"/>
    </xf>
    <xf numFmtId="0" fontId="10" fillId="4" borderId="120" xfId="2" applyFont="1" applyFill="1" applyBorder="1" applyAlignment="1">
      <alignment horizontal="center" vertical="center"/>
    </xf>
    <xf numFmtId="0" fontId="7" fillId="7" borderId="84" xfId="2" applyFont="1" applyFill="1" applyBorder="1" applyAlignment="1">
      <alignment horizontal="center" vertical="center"/>
    </xf>
    <xf numFmtId="0" fontId="7" fillId="7" borderId="85" xfId="2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 vertical="center"/>
    </xf>
    <xf numFmtId="0" fontId="10" fillId="6" borderId="44" xfId="10" applyFont="1" applyFill="1" applyBorder="1">
      <alignment horizontal="center" vertical="center" wrapText="1"/>
    </xf>
    <xf numFmtId="0" fontId="10" fillId="6" borderId="47" xfId="10" applyFont="1" applyFill="1" applyBorder="1">
      <alignment horizontal="center" vertical="center" wrapText="1"/>
    </xf>
    <xf numFmtId="0" fontId="10" fillId="6" borderId="43" xfId="10" applyFont="1" applyFill="1" applyBorder="1">
      <alignment horizontal="center" vertical="center" wrapText="1"/>
    </xf>
    <xf numFmtId="0" fontId="10" fillId="6" borderId="46" xfId="10" applyFont="1" applyFill="1" applyBorder="1">
      <alignment horizontal="center" vertical="center" wrapText="1"/>
    </xf>
    <xf numFmtId="0" fontId="13" fillId="6" borderId="46" xfId="1" applyFont="1" applyFill="1" applyBorder="1" applyAlignment="1">
      <alignment horizontal="center" vertical="center"/>
    </xf>
    <xf numFmtId="0" fontId="13" fillId="6" borderId="44" xfId="1" applyFont="1" applyFill="1" applyBorder="1" applyAlignment="1">
      <alignment horizontal="center" vertical="center" wrapText="1"/>
    </xf>
    <xf numFmtId="0" fontId="13" fillId="6" borderId="47" xfId="1" applyFont="1" applyFill="1" applyBorder="1" applyAlignment="1">
      <alignment horizontal="center" vertical="center" wrapText="1"/>
    </xf>
    <xf numFmtId="0" fontId="13" fillId="6" borderId="43" xfId="1" applyFont="1" applyFill="1" applyBorder="1" applyAlignment="1">
      <alignment horizontal="center" vertical="center" wrapText="1"/>
    </xf>
    <xf numFmtId="0" fontId="13" fillId="6" borderId="46" xfId="1" applyFont="1" applyFill="1" applyBorder="1" applyAlignment="1">
      <alignment horizontal="center" vertical="center" wrapText="1"/>
    </xf>
    <xf numFmtId="0" fontId="10" fillId="4" borderId="15" xfId="2" applyFont="1" applyFill="1" applyBorder="1" applyAlignment="1">
      <alignment horizontal="center" vertical="center"/>
    </xf>
    <xf numFmtId="0" fontId="10" fillId="4" borderId="28" xfId="2" applyFont="1" applyFill="1" applyBorder="1" applyAlignment="1">
      <alignment horizontal="center" vertical="center"/>
    </xf>
    <xf numFmtId="0" fontId="10" fillId="4" borderId="16" xfId="2" applyFont="1" applyFill="1" applyBorder="1" applyAlignment="1">
      <alignment horizontal="center" vertical="center"/>
    </xf>
    <xf numFmtId="0" fontId="13" fillId="6" borderId="42" xfId="3" applyFont="1" applyFill="1" applyBorder="1" applyAlignment="1" applyProtection="1">
      <alignment horizontal="center" vertical="center" wrapText="1"/>
      <protection locked="0"/>
    </xf>
    <xf numFmtId="0" fontId="13" fillId="6" borderId="45" xfId="3" applyFont="1" applyFill="1" applyBorder="1" applyAlignment="1" applyProtection="1">
      <alignment horizontal="center" vertical="center" wrapText="1"/>
      <protection locked="0"/>
    </xf>
    <xf numFmtId="0" fontId="44" fillId="0" borderId="36" xfId="11" applyFont="1" applyBorder="1">
      <alignment vertical="center"/>
    </xf>
    <xf numFmtId="0" fontId="44" fillId="0" borderId="37" xfId="11" applyFont="1" applyBorder="1">
      <alignment vertical="center"/>
    </xf>
    <xf numFmtId="0" fontId="44" fillId="0" borderId="38" xfId="11" applyFont="1" applyBorder="1">
      <alignment vertical="center"/>
    </xf>
    <xf numFmtId="0" fontId="44" fillId="0" borderId="34" xfId="11" applyFont="1" applyBorder="1">
      <alignment vertical="center"/>
    </xf>
    <xf numFmtId="0" fontId="44" fillId="0" borderId="0" xfId="11" applyFont="1">
      <alignment vertical="center"/>
    </xf>
    <xf numFmtId="0" fontId="44" fillId="0" borderId="35" xfId="11" applyFont="1" applyBorder="1">
      <alignment vertical="center"/>
    </xf>
    <xf numFmtId="0" fontId="13" fillId="6" borderId="43" xfId="3" applyFont="1" applyFill="1" applyBorder="1" applyAlignment="1" applyProtection="1">
      <alignment horizontal="center" vertical="center" wrapText="1"/>
      <protection locked="0"/>
    </xf>
    <xf numFmtId="0" fontId="13" fillId="6" borderId="44" xfId="3" applyFont="1" applyFill="1" applyBorder="1" applyAlignment="1" applyProtection="1">
      <alignment horizontal="center" vertical="center" wrapText="1"/>
      <protection locked="0"/>
    </xf>
    <xf numFmtId="0" fontId="13" fillId="6" borderId="56" xfId="3" applyFont="1" applyFill="1" applyBorder="1" applyAlignment="1" applyProtection="1">
      <alignment horizontal="center" vertical="center" wrapText="1"/>
      <protection locked="0"/>
    </xf>
    <xf numFmtId="0" fontId="13" fillId="6" borderId="130" xfId="3" applyFont="1" applyFill="1" applyBorder="1" applyAlignment="1" applyProtection="1">
      <alignment horizontal="center" vertical="center" wrapText="1"/>
      <protection locked="0"/>
    </xf>
    <xf numFmtId="0" fontId="13" fillId="6" borderId="49" xfId="3" applyFont="1" applyFill="1" applyBorder="1" applyAlignment="1" applyProtection="1">
      <alignment horizontal="center" vertical="center" wrapText="1"/>
      <protection locked="0"/>
    </xf>
    <xf numFmtId="0" fontId="13" fillId="6" borderId="128" xfId="3" applyFont="1" applyFill="1" applyBorder="1" applyAlignment="1" applyProtection="1">
      <alignment horizontal="center" vertical="center" wrapText="1"/>
      <protection locked="0"/>
    </xf>
    <xf numFmtId="0" fontId="13" fillId="6" borderId="40" xfId="3" applyFont="1" applyFill="1" applyBorder="1" applyAlignment="1" applyProtection="1">
      <alignment horizontal="center" vertical="center" wrapText="1"/>
      <protection locked="0"/>
    </xf>
    <xf numFmtId="0" fontId="13" fillId="6" borderId="48" xfId="3" applyFont="1" applyFill="1" applyBorder="1" applyAlignment="1" applyProtection="1">
      <alignment horizontal="center" vertical="center" wrapText="1"/>
      <protection locked="0"/>
    </xf>
    <xf numFmtId="0" fontId="14" fillId="4" borderId="74" xfId="2" applyFont="1" applyFill="1" applyBorder="1" applyAlignment="1">
      <alignment horizontal="center" vertical="center" wrapText="1"/>
    </xf>
    <xf numFmtId="0" fontId="14" fillId="4" borderId="142" xfId="2" applyFont="1" applyFill="1" applyBorder="1" applyAlignment="1">
      <alignment horizontal="center" vertical="center" wrapText="1"/>
    </xf>
    <xf numFmtId="0" fontId="13" fillId="4" borderId="141" xfId="2" applyFont="1" applyFill="1" applyBorder="1" applyAlignment="1">
      <alignment horizontal="center" vertical="center"/>
    </xf>
    <xf numFmtId="0" fontId="13" fillId="4" borderId="142" xfId="2" applyFont="1" applyFill="1" applyBorder="1" applyAlignment="1">
      <alignment horizontal="center" vertical="center"/>
    </xf>
    <xf numFmtId="0" fontId="7" fillId="2" borderId="61" xfId="7" applyFont="1" applyFill="1" applyBorder="1" applyAlignment="1">
      <alignment horizontal="left" vertical="center" wrapText="1"/>
    </xf>
    <xf numFmtId="0" fontId="14" fillId="2" borderId="75" xfId="8" applyFont="1" applyFill="1" applyBorder="1" applyAlignment="1">
      <alignment horizontal="center" vertical="center"/>
    </xf>
    <xf numFmtId="0" fontId="14" fillId="2" borderId="32" xfId="8" applyFont="1" applyFill="1" applyBorder="1" applyAlignment="1">
      <alignment horizontal="center" vertical="center"/>
    </xf>
    <xf numFmtId="0" fontId="13" fillId="6" borderId="42" xfId="2" applyFont="1" applyFill="1" applyBorder="1" applyAlignment="1">
      <alignment horizontal="center" vertical="center"/>
    </xf>
    <xf numFmtId="0" fontId="13" fillId="6" borderId="43" xfId="2" applyFont="1" applyFill="1" applyBorder="1" applyAlignment="1">
      <alignment horizontal="center" vertical="center"/>
    </xf>
    <xf numFmtId="0" fontId="13" fillId="6" borderId="45" xfId="2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0" fontId="14" fillId="4" borderId="132" xfId="2" applyFont="1" applyFill="1" applyBorder="1" applyAlignment="1">
      <alignment horizontal="center" vertical="center" wrapText="1"/>
    </xf>
    <xf numFmtId="0" fontId="14" fillId="4" borderId="140" xfId="2" applyFont="1" applyFill="1" applyBorder="1" applyAlignment="1">
      <alignment horizontal="center" vertical="center" wrapText="1"/>
    </xf>
    <xf numFmtId="0" fontId="7" fillId="2" borderId="58" xfId="7" applyFont="1" applyFill="1" applyBorder="1" applyAlignment="1">
      <alignment horizontal="left" vertical="center" wrapText="1"/>
    </xf>
    <xf numFmtId="0" fontId="14" fillId="2" borderId="76" xfId="8" applyFont="1" applyFill="1" applyBorder="1" applyAlignment="1">
      <alignment horizontal="center" vertical="center"/>
    </xf>
    <xf numFmtId="0" fontId="14" fillId="2" borderId="33" xfId="8" applyFont="1" applyFill="1" applyBorder="1" applyAlignment="1">
      <alignment horizontal="center" vertical="center"/>
    </xf>
    <xf numFmtId="0" fontId="13" fillId="6" borderId="55" xfId="2" applyFont="1" applyFill="1" applyBorder="1" applyAlignment="1">
      <alignment horizontal="center" vertical="center"/>
    </xf>
    <xf numFmtId="0" fontId="13" fillId="6" borderId="39" xfId="2" applyFont="1" applyFill="1" applyBorder="1" applyAlignment="1">
      <alignment horizontal="center" vertical="center"/>
    </xf>
    <xf numFmtId="0" fontId="13" fillId="6" borderId="53" xfId="2" applyFont="1" applyFill="1" applyBorder="1" applyAlignment="1">
      <alignment horizontal="center" vertical="center"/>
    </xf>
    <xf numFmtId="9" fontId="7" fillId="2" borderId="98" xfId="2" applyNumberFormat="1" applyFont="1" applyFill="1" applyBorder="1" applyAlignment="1">
      <alignment horizontal="center" vertical="center"/>
    </xf>
    <xf numFmtId="9" fontId="7" fillId="2" borderId="39" xfId="2" applyNumberFormat="1" applyFont="1" applyFill="1" applyBorder="1" applyAlignment="1">
      <alignment horizontal="center" vertical="center"/>
    </xf>
    <xf numFmtId="9" fontId="7" fillId="2" borderId="97" xfId="2" applyNumberFormat="1" applyFont="1" applyFill="1" applyBorder="1" applyAlignment="1">
      <alignment horizontal="center" vertical="center"/>
    </xf>
    <xf numFmtId="0" fontId="13" fillId="6" borderId="44" xfId="2" applyFont="1" applyFill="1" applyBorder="1" applyAlignment="1">
      <alignment horizontal="center" vertical="center"/>
    </xf>
    <xf numFmtId="0" fontId="13" fillId="6" borderId="54" xfId="2" applyFont="1" applyFill="1" applyBorder="1" applyAlignment="1">
      <alignment horizontal="center" vertical="center"/>
    </xf>
    <xf numFmtId="0" fontId="7" fillId="2" borderId="104" xfId="2" applyFont="1" applyFill="1" applyBorder="1" applyAlignment="1">
      <alignment horizontal="center" vertical="center"/>
    </xf>
    <xf numFmtId="0" fontId="7" fillId="2" borderId="97" xfId="2" applyFont="1" applyFill="1" applyBorder="1" applyAlignment="1">
      <alignment horizontal="center" vertical="center"/>
    </xf>
    <xf numFmtId="0" fontId="13" fillId="4" borderId="81" xfId="8" applyFont="1" applyFill="1" applyBorder="1" applyAlignment="1">
      <alignment horizontal="center" vertical="center"/>
    </xf>
    <xf numFmtId="0" fontId="13" fillId="4" borderId="82" xfId="8" applyFont="1" applyFill="1" applyBorder="1" applyAlignment="1">
      <alignment horizontal="center" vertical="center"/>
    </xf>
    <xf numFmtId="0" fontId="13" fillId="4" borderId="139" xfId="2" applyFont="1" applyFill="1" applyBorder="1" applyAlignment="1">
      <alignment horizontal="center" vertical="center"/>
    </xf>
    <xf numFmtId="0" fontId="13" fillId="4" borderId="140" xfId="2" applyFont="1" applyFill="1" applyBorder="1" applyAlignment="1">
      <alignment horizontal="center" vertical="center"/>
    </xf>
    <xf numFmtId="0" fontId="13" fillId="6" borderId="53" xfId="3" applyFont="1" applyFill="1" applyBorder="1" applyAlignment="1" applyProtection="1">
      <alignment horizontal="center" vertical="center" wrapText="1"/>
      <protection locked="0"/>
    </xf>
    <xf numFmtId="0" fontId="13" fillId="6" borderId="54" xfId="3" applyFont="1" applyFill="1" applyBorder="1" applyAlignment="1" applyProtection="1">
      <alignment horizontal="center" vertical="center" wrapText="1"/>
      <protection locked="0"/>
    </xf>
    <xf numFmtId="0" fontId="13" fillId="6" borderId="55" xfId="3" applyFont="1" applyFill="1" applyBorder="1" applyAlignment="1" applyProtection="1">
      <alignment horizontal="center" vertical="center" wrapText="1"/>
      <protection locked="0"/>
    </xf>
    <xf numFmtId="0" fontId="13" fillId="6" borderId="39" xfId="3" applyFont="1" applyFill="1" applyBorder="1" applyAlignment="1" applyProtection="1">
      <alignment horizontal="center" vertical="center" wrapText="1"/>
      <protection locked="0"/>
    </xf>
    <xf numFmtId="176" fontId="10" fillId="2" borderId="98" xfId="2" applyNumberFormat="1" applyFont="1" applyFill="1" applyBorder="1" applyAlignment="1">
      <alignment horizontal="center" vertical="center"/>
    </xf>
    <xf numFmtId="176" fontId="10" fillId="2" borderId="97" xfId="2" applyNumberFormat="1" applyFont="1" applyFill="1" applyBorder="1" applyAlignment="1">
      <alignment horizontal="center" vertical="center"/>
    </xf>
    <xf numFmtId="0" fontId="7" fillId="2" borderId="98" xfId="2" applyFont="1" applyFill="1" applyBorder="1" applyAlignment="1">
      <alignment horizontal="center" vertical="center"/>
    </xf>
    <xf numFmtId="0" fontId="7" fillId="2" borderId="93" xfId="2" applyFont="1" applyFill="1" applyBorder="1" applyAlignment="1">
      <alignment horizontal="center" vertical="center" wrapText="1"/>
    </xf>
    <xf numFmtId="0" fontId="7" fillId="2" borderId="57" xfId="2" applyFont="1" applyFill="1" applyBorder="1" applyAlignment="1">
      <alignment horizontal="center" vertical="center" wrapText="1"/>
    </xf>
    <xf numFmtId="0" fontId="35" fillId="0" borderId="0" xfId="9" applyFont="1" applyAlignment="1">
      <alignment horizontal="center" vertical="center"/>
    </xf>
  </cellXfs>
  <cellStyles count="16">
    <cellStyle name="스타일 1" xfId="10" xr:uid="{00000000-0005-0000-0000-000000000000}"/>
    <cellStyle name="표준" xfId="0" builtinId="0"/>
    <cellStyle name="표준 13" xfId="1" xr:uid="{00000000-0005-0000-0000-000002000000}"/>
    <cellStyle name="표준 14" xfId="9" xr:uid="{00000000-0005-0000-0000-000003000000}"/>
    <cellStyle name="표준 2" xfId="2" xr:uid="{00000000-0005-0000-0000-000004000000}"/>
    <cellStyle name="표준 2 10" xfId="3" xr:uid="{00000000-0005-0000-0000-000005000000}"/>
    <cellStyle name="표준 2 2" xfId="11" xr:uid="{00000000-0005-0000-0000-000006000000}"/>
    <cellStyle name="표준 2 2 2" xfId="14" xr:uid="{00000000-0005-0000-0000-000007000000}"/>
    <cellStyle name="표준 2 3" xfId="15" xr:uid="{00000000-0005-0000-0000-000008000000}"/>
    <cellStyle name="표준 3" xfId="12" xr:uid="{00000000-0005-0000-0000-000009000000}"/>
    <cellStyle name="표준 3 4" xfId="13" xr:uid="{00000000-0005-0000-0000-00000A000000}"/>
    <cellStyle name="표준 40" xfId="7" xr:uid="{00000000-0005-0000-0000-00000B000000}"/>
    <cellStyle name="표준 9" xfId="8" xr:uid="{00000000-0005-0000-0000-00000C000000}"/>
    <cellStyle name="표준_서버 취약점 진단 요약보고서_기간계업무_계정계서버_1" xfId="4" xr:uid="{00000000-0005-0000-0000-00000D000000}"/>
    <cellStyle name="표준_정보통신부_취약점진단결과_우체국금융_서버_0708_v0.7" xfId="6" xr:uid="{00000000-0005-0000-0000-00000E000000}"/>
    <cellStyle name="하이퍼링크" xfId="5" builtinId="8"/>
  </cellStyles>
  <dxfs count="35"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  <color auto="1"/>
        <name val="맑은 고딕"/>
        <scheme val="none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</dxfs>
  <tableStyles count="0" defaultTableStyle="TableStyleMedium2" defaultPivotStyle="PivotStyleLight16"/>
  <colors>
    <mruColors>
      <color rgb="FF188B95"/>
      <color rgb="FFB5ECF1"/>
      <color rgb="FF7FD5DD"/>
      <color rgb="FFFFFFFF"/>
      <color rgb="FF54BCC5"/>
      <color rgb="FF188A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41914222745599"/>
          <c:y val="0.2336273319160391"/>
          <c:w val="0.51103850454870392"/>
          <c:h val="0.63269946812905775"/>
        </c:manualLayout>
      </c:layout>
      <c:radarChart>
        <c:radarStyle val="marker"/>
        <c:varyColors val="0"/>
        <c:ser>
          <c:idx val="0"/>
          <c:order val="0"/>
          <c:dLbls>
            <c:dLbl>
              <c:idx val="0"/>
              <c:layout>
                <c:manualLayout>
                  <c:x val="2.6452937871738282E-3"/>
                  <c:y val="-0.11152032075383829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E9-44C7-BF0D-E45A5B02DC3D}"/>
                </c:ext>
              </c:extLst>
            </c:dLbl>
            <c:dLbl>
              <c:idx val="3"/>
              <c:layout>
                <c:manualLayout>
                  <c:x val="0.13264736831870147"/>
                  <c:y val="-0.11077960839434565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07-4C32-BB01-578D17E36098}"/>
                </c:ext>
              </c:extLst>
            </c:dLbl>
            <c:dLbl>
              <c:idx val="4"/>
              <c:layout>
                <c:manualLayout>
                  <c:x val="3.0183720746631417E-2"/>
                  <c:y val="-9.600000000000000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07-4C32-BB01-578D17E360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'보안수준 통계'!$A$11:$A$15</c:f>
              <c:strCache>
                <c:ptCount val="5"/>
                <c:pt idx="0">
                  <c:v>정보처리시스템 보호대책</c:v>
                </c:pt>
                <c:pt idx="1">
                  <c:v>취약점 분석·평가</c:v>
                </c:pt>
                <c:pt idx="2">
                  <c:v>업무 지속성 확보방안</c:v>
                </c:pt>
                <c:pt idx="3">
                  <c:v>단말기 보호대책</c:v>
                </c:pt>
                <c:pt idx="4">
                  <c:v>IP주소 관리</c:v>
                </c:pt>
              </c:strCache>
            </c:strRef>
          </c:cat>
          <c:val>
            <c:numRef>
              <c:f>'보안수준 통계'!$B$11:$B$15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C0E9-44C7-BF0D-E45A5B02D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83296"/>
        <c:axId val="186589184"/>
      </c:radarChart>
      <c:catAx>
        <c:axId val="18658329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50" b="0"/>
            </a:pPr>
            <a:endParaRPr lang="ko-KR"/>
          </a:p>
        </c:txPr>
        <c:crossAx val="186589184"/>
        <c:crosses val="autoZero"/>
        <c:auto val="0"/>
        <c:lblAlgn val="ctr"/>
        <c:lblOffset val="100"/>
        <c:noMultiLvlLbl val="0"/>
      </c:catAx>
      <c:valAx>
        <c:axId val="186589184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0"/>
        <c:majorTickMark val="none"/>
        <c:minorTickMark val="none"/>
        <c:tickLblPos val="nextTo"/>
        <c:crossAx val="186583296"/>
        <c:crosses val="autoZero"/>
        <c:crossBetween val="between"/>
        <c:majorUnit val="0.2"/>
        <c:minorUnit val="0.2"/>
      </c:valAx>
    </c:plotArea>
    <c:plotVisOnly val="1"/>
    <c:dispBlanksAs val="gap"/>
    <c:showDLblsOverMax val="0"/>
  </c:chart>
  <c:spPr>
    <a:ln w="19050">
      <a:solidFill>
        <a:srgbClr val="54BCC5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5666196684556E-2"/>
          <c:y val="0.10988790280813561"/>
          <c:w val="0.87586895767583706"/>
          <c:h val="0.77648066212133127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'보안수준 통계'!$A$11:$A$15</c:f>
              <c:strCache>
                <c:ptCount val="5"/>
                <c:pt idx="0">
                  <c:v>정보처리시스템 보호대책</c:v>
                </c:pt>
                <c:pt idx="1">
                  <c:v>취약점 분석·평가</c:v>
                </c:pt>
                <c:pt idx="2">
                  <c:v>업무 지속성 확보방안</c:v>
                </c:pt>
                <c:pt idx="3">
                  <c:v>단말기 보호대책</c:v>
                </c:pt>
                <c:pt idx="4">
                  <c:v>IP주소 관리</c:v>
                </c:pt>
              </c:strCache>
            </c:strRef>
          </c:cat>
          <c:val>
            <c:numRef>
              <c:f>'보안수준 통계'!$B$11:$B$15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522E-492F-8C6E-B068E5054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86618240"/>
        <c:axId val="186619776"/>
      </c:barChart>
      <c:catAx>
        <c:axId val="18661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 b="0"/>
            </a:pPr>
            <a:endParaRPr lang="ko-KR"/>
          </a:p>
        </c:txPr>
        <c:crossAx val="186619776"/>
        <c:crosses val="autoZero"/>
        <c:auto val="0"/>
        <c:lblAlgn val="ctr"/>
        <c:lblOffset val="100"/>
        <c:noMultiLvlLbl val="0"/>
      </c:catAx>
      <c:valAx>
        <c:axId val="1866197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b="0"/>
            </a:pPr>
            <a:endParaRPr lang="ko-KR"/>
          </a:p>
        </c:txPr>
        <c:crossAx val="186618240"/>
        <c:crosses val="autoZero"/>
        <c:crossBetween val="between"/>
        <c:majorUnit val="0.2"/>
        <c:minorUnit val="0.1"/>
      </c:valAx>
    </c:plotArea>
    <c:plotVisOnly val="1"/>
    <c:dispBlanksAs val="gap"/>
    <c:showDLblsOverMax val="0"/>
  </c:chart>
  <c:spPr>
    <a:ln w="19050">
      <a:solidFill>
        <a:srgbClr val="54BCC5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18</xdr:row>
      <xdr:rowOff>66675</xdr:rowOff>
    </xdr:from>
    <xdr:to>
      <xdr:col>5</xdr:col>
      <xdr:colOff>638642</xdr:colOff>
      <xdr:row>24</xdr:row>
      <xdr:rowOff>91618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086100"/>
          <a:ext cx="4953691" cy="127652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634832</xdr:colOff>
      <xdr:row>24</xdr:row>
      <xdr:rowOff>95428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55596" cy="133748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598637</xdr:colOff>
      <xdr:row>24</xdr:row>
      <xdr:rowOff>95428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36546" cy="133748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206749</xdr:colOff>
      <xdr:row>39</xdr:row>
      <xdr:rowOff>72838</xdr:rowOff>
    </xdr:from>
    <xdr:to>
      <xdr:col>10</xdr:col>
      <xdr:colOff>71602</xdr:colOff>
      <xdr:row>41</xdr:row>
      <xdr:rowOff>19406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8469" y="7106098"/>
          <a:ext cx="1397818" cy="281848"/>
        </a:xfrm>
        <a:prstGeom prst="rect">
          <a:avLst/>
        </a:prstGeom>
      </xdr:spPr>
    </xdr:pic>
    <xdr:clientData/>
  </xdr:twoCellAnchor>
  <xdr:twoCellAnchor>
    <xdr:from>
      <xdr:col>1</xdr:col>
      <xdr:colOff>6350</xdr:colOff>
      <xdr:row>3</xdr:row>
      <xdr:rowOff>6350</xdr:rowOff>
    </xdr:from>
    <xdr:to>
      <xdr:col>5</xdr:col>
      <xdr:colOff>181610</xdr:colOff>
      <xdr:row>5</xdr:row>
      <xdr:rowOff>163830</xdr:rowOff>
    </xdr:to>
    <xdr:sp macro="" textlink="">
      <xdr:nvSpPr>
        <xdr:cNvPr id="14" name="모서리가 둥근 직사각형 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394970" y="600710"/>
          <a:ext cx="1729740" cy="553720"/>
        </a:xfrm>
        <a:prstGeom prst="roundRect">
          <a:avLst/>
        </a:prstGeom>
        <a:noFill/>
        <a:ln w="25400">
          <a:solidFill>
            <a:srgbClr val="FF0000"/>
          </a:solidFill>
          <a:headEnd type="none" w="med" len="med"/>
          <a:tailEnd type="none" w="med" len="me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ko-KR" altLang="en-US" sz="1800" b="1">
              <a:solidFill>
                <a:srgbClr val="FF0000"/>
              </a:solidFill>
              <a:latin typeface="+mj-ea"/>
              <a:ea typeface="+mj-ea"/>
            </a:rPr>
            <a:t>기관 </a:t>
          </a:r>
          <a:r>
            <a:rPr lang="en-US" altLang="ko-KR" sz="1800" b="1">
              <a:solidFill>
                <a:srgbClr val="FF0000"/>
              </a:solidFill>
              <a:latin typeface="+mj-ea"/>
              <a:ea typeface="+mj-ea"/>
            </a:rPr>
            <a:t>CI</a:t>
          </a:r>
          <a:endParaRPr lang="ko-KR" altLang="en-US" sz="1800" b="1">
            <a:solidFill>
              <a:srgbClr val="FF0000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629771</xdr:colOff>
      <xdr:row>34</xdr:row>
      <xdr:rowOff>80682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0011896" y="61385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8</xdr:col>
      <xdr:colOff>327210</xdr:colOff>
      <xdr:row>33</xdr:row>
      <xdr:rowOff>114300</xdr:rowOff>
    </xdr:from>
    <xdr:ext cx="266700" cy="345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3451410" y="5962650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</m:ctrlPr>
                      </m:fPr>
                      <m:num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𝑨</m:t>
                        </m:r>
                      </m:num>
                      <m:den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𝑩</m:t>
                        </m:r>
                      </m:den>
                    </m:f>
                  </m:oMath>
                </m:oMathPara>
              </a14:m>
              <a:endParaRPr lang="ko-KR" altLang="en-US" sz="1200" b="1">
                <a:latin typeface="+mj-ea"/>
                <a:ea typeface="+mj-ea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DB6C1A9-3136-4A6B-A067-3895949AAA69}"/>
                </a:ext>
              </a:extLst>
            </xdr:cNvPr>
            <xdr:cNvSpPr txBox="1"/>
          </xdr:nvSpPr>
          <xdr:spPr>
            <a:xfrm>
              <a:off x="3451410" y="5962650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 panose="02040503050406030204" pitchFamily="18" charset="0"/>
                  <a:ea typeface="+mj-ea"/>
                </a:rPr>
                <a:t>𝑨/𝑩</a:t>
              </a:r>
              <a:endParaRPr lang="ko-KR" altLang="en-US" sz="1200" b="1">
                <a:latin typeface="+mj-ea"/>
                <a:ea typeface="+mj-ea"/>
              </a:endParaRPr>
            </a:p>
          </xdr:txBody>
        </xdr:sp>
      </mc:Fallback>
    </mc:AlternateContent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0011896" y="23285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10011896" y="23285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0</xdr:row>
          <xdr:rowOff>0</xdr:rowOff>
        </xdr:from>
        <xdr:to>
          <xdr:col>11</xdr:col>
          <xdr:colOff>942975</xdr:colOff>
          <xdr:row>1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시트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19</xdr:row>
      <xdr:rowOff>0</xdr:rowOff>
    </xdr:from>
    <xdr:to>
      <xdr:col>4</xdr:col>
      <xdr:colOff>31937</xdr:colOff>
      <xdr:row>35</xdr:row>
      <xdr:rowOff>33617</xdr:rowOff>
    </xdr:to>
    <xdr:graphicFrame macro="">
      <xdr:nvGraphicFramePr>
        <xdr:cNvPr id="2" name="차트 5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22413</xdr:colOff>
      <xdr:row>19</xdr:row>
      <xdr:rowOff>0</xdr:rowOff>
    </xdr:from>
    <xdr:to>
      <xdr:col>9</xdr:col>
      <xdr:colOff>717176</xdr:colOff>
      <xdr:row>35</xdr:row>
      <xdr:rowOff>33617</xdr:rowOff>
    </xdr:to>
    <xdr:graphicFrame macro="">
      <xdr:nvGraphicFramePr>
        <xdr:cNvPr id="3" name="차트 5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14</xdr:col>
      <xdr:colOff>0</xdr:colOff>
      <xdr:row>25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989794" y="896471"/>
          <a:ext cx="2117912" cy="42582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800" b="1"/>
            <a:t>해당 시트는 작년 결과를 수동으로 입력하여 사용하여야 합니다</a:t>
          </a:r>
          <a:r>
            <a:rPr lang="en-US" altLang="ko-KR" sz="1800" b="1"/>
            <a:t>.</a:t>
          </a:r>
        </a:p>
        <a:p>
          <a:pPr algn="ctr"/>
          <a:endParaRPr lang="en-US" altLang="ko-KR" sz="1800" b="1"/>
        </a:p>
        <a:p>
          <a:pPr algn="ctr"/>
          <a:r>
            <a:rPr lang="ko-KR" altLang="en-US" sz="1800" b="1"/>
            <a:t>입력 결과값은 </a:t>
          </a:r>
          <a:r>
            <a:rPr lang="en-US" altLang="ko-KR" sz="1800" b="1"/>
            <a:t>'</a:t>
          </a:r>
          <a:r>
            <a:rPr lang="ko-KR" altLang="en-US" sz="1800" b="1"/>
            <a:t>결과 비교</a:t>
          </a:r>
          <a:r>
            <a:rPr lang="en-US" altLang="ko-KR" sz="1800" b="1"/>
            <a:t>'</a:t>
          </a:r>
          <a:r>
            <a:rPr lang="ko-KR" altLang="en-US" sz="1800" b="1"/>
            <a:t> 시트에서</a:t>
          </a:r>
          <a:r>
            <a:rPr lang="ko-KR" altLang="en-US" sz="1800" b="1" baseline="0"/>
            <a:t> 사용됩니다</a:t>
          </a:r>
          <a:r>
            <a:rPr lang="en-US" altLang="ko-KR" sz="1800" b="1" baseline="0"/>
            <a:t>.</a:t>
          </a:r>
          <a:endParaRPr lang="en-US" altLang="ko-KR" sz="18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</xdr:row>
          <xdr:rowOff>9525</xdr:rowOff>
        </xdr:from>
        <xdr:to>
          <xdr:col>3</xdr:col>
          <xdr:colOff>257175</xdr:colOff>
          <xdr:row>2</xdr:row>
          <xdr:rowOff>161925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결과 가져오기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.&#54028;&#51060;&#50724;&#47553;&#53356;/01.&#51088;&#47308;/2019_&#51204;&#51088;&#44552;&#50997;&#44592;&#48152;&#49884;&#49444;_&#44288;&#47532;&#51201;_&#50641;&#49472;&#48372;&#44256;&#49436;/&#48324;&#52392;01.%202019%20&#51204;&#51088;&#44552;&#50997;%20&#50948;&#54744;&#48516;&#49437;%20&#48143;%20&#54217;&#44032;&#54364;_&#51221;&#48372;&#48372;&#54840;&#44288;&#47532;&#52404;&#44228;(&#44552;&#50997;)_V1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개정이력"/>
      <sheetName val="개요"/>
      <sheetName val="위험분석 통계"/>
      <sheetName val="정보보호관리체계 위험분석"/>
      <sheetName val="#위협항목"/>
      <sheetName val="#정보보호점검항목"/>
      <sheetName val="END"/>
    </sheetNames>
    <sheetDataSet>
      <sheetData sheetId="0"/>
      <sheetData sheetId="1"/>
      <sheetData sheetId="2"/>
      <sheetData sheetId="3">
        <row r="12">
          <cell r="E12">
            <v>10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테마">
  <a:themeElements>
    <a:clrScheme name="사용자 지정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B2:O102"/>
  <sheetViews>
    <sheetView showGridLines="0" tabSelected="1" view="pageBreakPreview" zoomScale="85" zoomScaleNormal="100" zoomScaleSheetLayoutView="85" workbookViewId="0"/>
  </sheetViews>
  <sheetFormatPr defaultRowHeight="16.5"/>
  <cols>
    <col min="1" max="2" width="5.125" customWidth="1"/>
    <col min="3" max="3" width="20.5" customWidth="1"/>
    <col min="4" max="4" width="20.75" customWidth="1"/>
    <col min="5" max="5" width="13.75" bestFit="1" customWidth="1"/>
    <col min="6" max="6" width="13.25" bestFit="1" customWidth="1"/>
    <col min="8" max="8" width="4" bestFit="1" customWidth="1"/>
    <col min="9" max="9" width="20.75" customWidth="1"/>
    <col min="10" max="10" width="4" bestFit="1" customWidth="1"/>
    <col min="11" max="11" width="20.75" customWidth="1"/>
    <col min="12" max="12" width="4" bestFit="1" customWidth="1"/>
    <col min="13" max="13" width="20.75" customWidth="1"/>
    <col min="14" max="14" width="4" bestFit="1" customWidth="1"/>
    <col min="15" max="15" width="20.75" customWidth="1"/>
    <col min="16" max="16" width="5.125" customWidth="1"/>
  </cols>
  <sheetData>
    <row r="2" spans="2:15" ht="17.25">
      <c r="B2" s="97" t="s">
        <v>0</v>
      </c>
      <c r="C2" s="97"/>
      <c r="D2" s="97"/>
      <c r="E2" s="97"/>
    </row>
    <row r="3" spans="2:15" ht="4.5" customHeight="1" thickBot="1">
      <c r="B3" s="97"/>
      <c r="C3" s="97"/>
      <c r="D3" s="97"/>
      <c r="E3" s="97"/>
    </row>
    <row r="4" spans="2:15">
      <c r="B4" s="134" t="s">
        <v>1</v>
      </c>
      <c r="C4" s="134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</row>
    <row r="5" spans="2:15">
      <c r="B5" s="124" t="s">
        <v>2</v>
      </c>
      <c r="C5" s="124"/>
    </row>
    <row r="6" spans="2:15" ht="4.5" customHeight="1">
      <c r="B6" s="124"/>
      <c r="C6" s="124"/>
    </row>
    <row r="7" spans="2:15" ht="4.5" customHeight="1">
      <c r="B7" s="124"/>
      <c r="C7" s="124"/>
    </row>
    <row r="8" spans="2:15">
      <c r="B8" s="124" t="s">
        <v>3</v>
      </c>
      <c r="C8" s="124"/>
    </row>
    <row r="9" spans="2:15" ht="4.5" customHeight="1" thickBot="1">
      <c r="B9" s="124"/>
      <c r="C9" s="124"/>
    </row>
    <row r="10" spans="2:15">
      <c r="B10" s="136" t="s">
        <v>4</v>
      </c>
      <c r="C10" s="144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8"/>
    </row>
    <row r="11" spans="2:15">
      <c r="B11" s="139" t="s">
        <v>5</v>
      </c>
      <c r="C11" s="124"/>
      <c r="O11" s="140"/>
    </row>
    <row r="12" spans="2:15" ht="4.5" customHeight="1">
      <c r="B12" s="139"/>
      <c r="C12" s="124"/>
      <c r="O12" s="140"/>
    </row>
    <row r="13" spans="2:15">
      <c r="B13" s="139" t="s">
        <v>6</v>
      </c>
      <c r="C13" s="124"/>
      <c r="O13" s="140"/>
    </row>
    <row r="14" spans="2:15">
      <c r="B14" s="139" t="s">
        <v>7</v>
      </c>
      <c r="C14" s="124"/>
      <c r="O14" s="140"/>
    </row>
    <row r="15" spans="2:15">
      <c r="B15" s="139" t="s">
        <v>8</v>
      </c>
      <c r="C15" s="124"/>
      <c r="O15" s="140"/>
    </row>
    <row r="16" spans="2:15">
      <c r="B16" s="139" t="s">
        <v>9</v>
      </c>
      <c r="C16" s="124"/>
      <c r="O16" s="140"/>
    </row>
    <row r="17" spans="2:15">
      <c r="B17" s="139" t="s">
        <v>10</v>
      </c>
      <c r="C17" s="124"/>
      <c r="O17" s="140"/>
    </row>
    <row r="18" spans="2:15">
      <c r="B18" s="139" t="s">
        <v>11</v>
      </c>
      <c r="C18" s="124"/>
      <c r="O18" s="140"/>
    </row>
    <row r="19" spans="2:15">
      <c r="B19" s="139"/>
      <c r="C19" s="124"/>
      <c r="O19" s="140"/>
    </row>
    <row r="20" spans="2:15">
      <c r="B20" s="139"/>
      <c r="C20" s="124"/>
      <c r="O20" s="140"/>
    </row>
    <row r="21" spans="2:15">
      <c r="B21" s="139"/>
      <c r="C21" s="124"/>
      <c r="O21" s="140"/>
    </row>
    <row r="22" spans="2:15">
      <c r="B22" s="139"/>
      <c r="C22" s="124"/>
      <c r="O22" s="140"/>
    </row>
    <row r="23" spans="2:15">
      <c r="B23" s="139"/>
      <c r="C23" s="124"/>
      <c r="O23" s="140"/>
    </row>
    <row r="24" spans="2:15">
      <c r="B24" s="139"/>
      <c r="C24" s="124"/>
      <c r="O24" s="140"/>
    </row>
    <row r="25" spans="2:15" ht="17.25" thickBot="1">
      <c r="B25" s="141"/>
      <c r="C25" s="145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3"/>
    </row>
    <row r="26" spans="2:15" ht="4.5" customHeight="1"/>
    <row r="27" spans="2:15" ht="4.5" customHeight="1"/>
    <row r="28" spans="2:15">
      <c r="B28" s="124" t="s">
        <v>12</v>
      </c>
      <c r="C28" s="124"/>
    </row>
    <row r="29" spans="2:15" ht="4.5" customHeight="1" thickBot="1">
      <c r="B29" s="124"/>
      <c r="C29" s="124"/>
    </row>
    <row r="30" spans="2:15">
      <c r="B30" s="136" t="s">
        <v>13</v>
      </c>
      <c r="C30" s="144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8"/>
    </row>
    <row r="31" spans="2:15">
      <c r="B31" s="149" t="s">
        <v>14</v>
      </c>
      <c r="C31" s="147"/>
      <c r="O31" s="140"/>
    </row>
    <row r="32" spans="2:15">
      <c r="B32" s="139" t="s">
        <v>15</v>
      </c>
      <c r="C32" s="124"/>
      <c r="O32" s="140"/>
    </row>
    <row r="33" spans="2:15" ht="4.5" customHeight="1">
      <c r="B33" s="150"/>
      <c r="O33" s="140"/>
    </row>
    <row r="34" spans="2:15" ht="17.25" thickBot="1">
      <c r="B34" s="139"/>
      <c r="C34" s="124"/>
      <c r="D34" s="148" t="s">
        <v>16</v>
      </c>
      <c r="G34" s="142"/>
      <c r="H34" s="142"/>
      <c r="O34" s="140"/>
    </row>
    <row r="35" spans="2:15">
      <c r="B35" s="150"/>
      <c r="C35" s="136" t="s">
        <v>17</v>
      </c>
      <c r="I35" s="138"/>
      <c r="O35" s="140"/>
    </row>
    <row r="36" spans="2:15" ht="17.25" thickBot="1">
      <c r="B36" s="150"/>
      <c r="C36" s="146" t="s">
        <v>18</v>
      </c>
      <c r="D36" s="142"/>
      <c r="E36" s="142"/>
      <c r="F36" s="142"/>
      <c r="G36" s="142"/>
      <c r="H36" s="142"/>
      <c r="I36" s="143"/>
      <c r="O36" s="140"/>
    </row>
    <row r="37" spans="2:15" ht="4.5" customHeight="1">
      <c r="B37" s="150"/>
      <c r="O37" s="140"/>
    </row>
    <row r="38" spans="2:15">
      <c r="B38" s="139" t="s">
        <v>19</v>
      </c>
      <c r="C38" s="124"/>
      <c r="O38" s="140"/>
    </row>
    <row r="39" spans="2:15">
      <c r="B39" s="149" t="s">
        <v>20</v>
      </c>
      <c r="C39" s="147"/>
      <c r="O39" s="140"/>
    </row>
    <row r="40" spans="2:15">
      <c r="B40" s="139" t="s">
        <v>21</v>
      </c>
      <c r="C40" s="124"/>
      <c r="O40" s="140"/>
    </row>
    <row r="41" spans="2:15" ht="17.25" thickBot="1">
      <c r="B41" s="141" t="s">
        <v>22</v>
      </c>
      <c r="C41" s="145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3"/>
    </row>
    <row r="42" spans="2:15" ht="4.5" customHeight="1"/>
    <row r="43" spans="2:15" ht="4.5" customHeight="1"/>
    <row r="44" spans="2:15">
      <c r="B44" s="124" t="s">
        <v>23</v>
      </c>
      <c r="C44" s="124"/>
    </row>
    <row r="45" spans="2:15" ht="4.5" customHeight="1" thickBot="1">
      <c r="B45" s="124"/>
      <c r="C45" s="124"/>
    </row>
    <row r="46" spans="2:15">
      <c r="B46" s="151" t="s">
        <v>24</v>
      </c>
      <c r="C46" s="144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8"/>
    </row>
    <row r="47" spans="2:15">
      <c r="B47" s="139" t="s">
        <v>25</v>
      </c>
      <c r="C47" s="124"/>
      <c r="O47" s="140"/>
    </row>
    <row r="48" spans="2:15">
      <c r="B48" s="139" t="s">
        <v>26</v>
      </c>
      <c r="C48" s="124"/>
      <c r="O48" s="140"/>
    </row>
    <row r="49" spans="2:15">
      <c r="B49" s="139" t="s">
        <v>27</v>
      </c>
      <c r="C49" s="124"/>
      <c r="O49" s="140"/>
    </row>
    <row r="50" spans="2:15" ht="17.25" thickBot="1">
      <c r="B50" s="141" t="s">
        <v>28</v>
      </c>
      <c r="C50" s="145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3"/>
    </row>
    <row r="51" spans="2:15" ht="4.5" customHeight="1"/>
    <row r="52" spans="2:15" ht="4.5" customHeight="1"/>
    <row r="53" spans="2:15">
      <c r="B53" s="124" t="s">
        <v>29</v>
      </c>
      <c r="C53" s="124"/>
    </row>
    <row r="54" spans="2:15" ht="4.5" customHeight="1" thickBot="1">
      <c r="B54" s="124"/>
      <c r="C54" s="124"/>
    </row>
    <row r="55" spans="2:15">
      <c r="B55" s="151" t="s">
        <v>30</v>
      </c>
      <c r="C55" s="144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8"/>
    </row>
    <row r="56" spans="2:15">
      <c r="B56" s="139" t="s">
        <v>31</v>
      </c>
      <c r="C56" s="124"/>
      <c r="O56" s="140"/>
    </row>
    <row r="57" spans="2:15">
      <c r="B57" s="139" t="s">
        <v>32</v>
      </c>
      <c r="C57" s="124"/>
      <c r="O57" s="140"/>
    </row>
    <row r="58" spans="2:15">
      <c r="B58" s="139" t="s">
        <v>33</v>
      </c>
      <c r="C58" s="124"/>
      <c r="O58" s="140"/>
    </row>
    <row r="59" spans="2:15" ht="17.25" thickBot="1">
      <c r="B59" s="141" t="s">
        <v>28</v>
      </c>
      <c r="C59" s="145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3"/>
    </row>
    <row r="60" spans="2:15" ht="4.5" customHeight="1"/>
    <row r="61" spans="2:15" ht="4.5" customHeight="1"/>
    <row r="62" spans="2:15">
      <c r="B62" s="124" t="s">
        <v>34</v>
      </c>
      <c r="C62" s="124"/>
    </row>
    <row r="63" spans="2:15" ht="4.5" customHeight="1" thickBot="1"/>
    <row r="64" spans="2:15">
      <c r="B64" s="136" t="s">
        <v>25</v>
      </c>
      <c r="C64" s="144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8"/>
    </row>
    <row r="65" spans="2:15">
      <c r="B65" s="139" t="s">
        <v>26</v>
      </c>
      <c r="C65" s="124"/>
      <c r="O65" s="140"/>
    </row>
    <row r="66" spans="2:15" ht="4.5" customHeight="1">
      <c r="B66" s="150"/>
      <c r="O66" s="140"/>
    </row>
    <row r="67" spans="2:15" ht="17.25" thickBot="1">
      <c r="B67" s="139"/>
      <c r="C67" s="124"/>
      <c r="D67" s="148" t="s">
        <v>16</v>
      </c>
      <c r="G67" s="142"/>
      <c r="H67" s="142"/>
      <c r="O67" s="140"/>
    </row>
    <row r="68" spans="2:15">
      <c r="B68" s="150"/>
      <c r="C68" s="136" t="s">
        <v>17</v>
      </c>
      <c r="I68" s="138"/>
      <c r="O68" s="140"/>
    </row>
    <row r="69" spans="2:15" ht="17.25" thickBot="1">
      <c r="B69" s="150"/>
      <c r="C69" s="146" t="s">
        <v>18</v>
      </c>
      <c r="D69" s="142"/>
      <c r="E69" s="142"/>
      <c r="F69" s="142"/>
      <c r="G69" s="142"/>
      <c r="H69" s="142"/>
      <c r="I69" s="143"/>
      <c r="O69" s="140"/>
    </row>
    <row r="70" spans="2:15" ht="4.5" customHeight="1">
      <c r="B70" s="150"/>
      <c r="O70" s="140"/>
    </row>
    <row r="71" spans="2:15">
      <c r="B71" s="139" t="s">
        <v>35</v>
      </c>
      <c r="C71" s="124"/>
      <c r="O71" s="140"/>
    </row>
    <row r="72" spans="2:15">
      <c r="B72" s="149" t="s">
        <v>20</v>
      </c>
      <c r="C72" s="147"/>
      <c r="O72" s="140"/>
    </row>
    <row r="73" spans="2:15">
      <c r="B73" s="139" t="s">
        <v>36</v>
      </c>
      <c r="C73" s="124"/>
      <c r="O73" s="140"/>
    </row>
    <row r="74" spans="2:15">
      <c r="B74" s="139" t="s">
        <v>21</v>
      </c>
      <c r="C74" s="124"/>
      <c r="O74" s="140"/>
    </row>
    <row r="75" spans="2:15" ht="17.25" thickBot="1">
      <c r="B75" s="141" t="s">
        <v>37</v>
      </c>
      <c r="C75" s="145"/>
      <c r="D75" s="142"/>
      <c r="E75" s="142"/>
      <c r="F75" s="142"/>
      <c r="G75" s="142"/>
      <c r="H75" s="142"/>
      <c r="I75" s="142"/>
      <c r="J75" s="142"/>
      <c r="K75" s="142"/>
      <c r="L75" s="142"/>
      <c r="M75" s="142"/>
      <c r="N75" s="142"/>
      <c r="O75" s="143"/>
    </row>
    <row r="76" spans="2:15" ht="4.5" customHeight="1">
      <c r="B76" s="124"/>
      <c r="C76" s="124"/>
    </row>
    <row r="77" spans="2:15" ht="4.5" customHeight="1" thickBot="1">
      <c r="B77" s="124"/>
      <c r="C77" s="124"/>
    </row>
    <row r="78" spans="2:15" ht="17.25" customHeight="1">
      <c r="B78" s="313" t="s">
        <v>38</v>
      </c>
      <c r="C78" s="313"/>
      <c r="D78" s="313"/>
      <c r="E78" s="314"/>
      <c r="F78" s="311" t="s">
        <v>39</v>
      </c>
      <c r="G78" s="311"/>
      <c r="H78" s="311" t="s">
        <v>40</v>
      </c>
      <c r="I78" s="311"/>
      <c r="J78" s="311"/>
      <c r="K78" s="311"/>
      <c r="L78" s="311"/>
      <c r="M78" s="311"/>
      <c r="N78" s="311"/>
      <c r="O78" s="312"/>
    </row>
    <row r="79" spans="2:15">
      <c r="B79" s="315"/>
      <c r="C79" s="315"/>
      <c r="D79" s="315"/>
      <c r="E79" s="316"/>
      <c r="F79" s="309"/>
      <c r="G79" s="309"/>
      <c r="H79" s="309" t="s">
        <v>41</v>
      </c>
      <c r="I79" s="309"/>
      <c r="J79" s="309" t="s">
        <v>42</v>
      </c>
      <c r="K79" s="309"/>
      <c r="L79" s="309" t="s">
        <v>43</v>
      </c>
      <c r="M79" s="309"/>
      <c r="N79" s="309" t="s">
        <v>44</v>
      </c>
      <c r="O79" s="310"/>
    </row>
    <row r="80" spans="2:15" ht="17.25" thickBot="1">
      <c r="B80" s="317" t="s">
        <v>45</v>
      </c>
      <c r="C80" s="318"/>
      <c r="D80" s="123" t="s">
        <v>46</v>
      </c>
      <c r="E80" s="123" t="s">
        <v>47</v>
      </c>
      <c r="F80" s="125" t="s">
        <v>48</v>
      </c>
      <c r="G80" s="125" t="s">
        <v>49</v>
      </c>
      <c r="H80" s="125" t="s">
        <v>50</v>
      </c>
      <c r="I80" s="125" t="s">
        <v>51</v>
      </c>
      <c r="J80" s="125" t="s">
        <v>50</v>
      </c>
      <c r="K80" s="125" t="s">
        <v>52</v>
      </c>
      <c r="L80" s="125" t="s">
        <v>50</v>
      </c>
      <c r="M80" s="125" t="s">
        <v>53</v>
      </c>
      <c r="N80" s="125" t="s">
        <v>50</v>
      </c>
      <c r="O80" s="126" t="s">
        <v>54</v>
      </c>
    </row>
    <row r="81" spans="2:15">
      <c r="B81" s="319" t="s">
        <v>55</v>
      </c>
      <c r="C81" s="320"/>
      <c r="D81" s="122" t="s">
        <v>56</v>
      </c>
      <c r="E81" s="127" t="s">
        <v>57</v>
      </c>
      <c r="F81" s="128" t="s">
        <v>58</v>
      </c>
      <c r="G81" s="128" t="s">
        <v>58</v>
      </c>
      <c r="H81" s="128">
        <v>1</v>
      </c>
      <c r="I81" s="122" t="s">
        <v>56</v>
      </c>
      <c r="J81" s="128">
        <v>1</v>
      </c>
      <c r="K81" s="122" t="s">
        <v>56</v>
      </c>
      <c r="L81" s="128">
        <v>1</v>
      </c>
      <c r="M81" s="122" t="s">
        <v>56</v>
      </c>
      <c r="N81" s="128">
        <v>1</v>
      </c>
      <c r="O81" s="166" t="s">
        <v>56</v>
      </c>
    </row>
    <row r="82" spans="2:15">
      <c r="B82" s="307" t="s">
        <v>59</v>
      </c>
      <c r="C82" s="308"/>
      <c r="D82" s="122" t="s">
        <v>58</v>
      </c>
      <c r="E82" s="129" t="s">
        <v>57</v>
      </c>
      <c r="F82" s="130" t="s">
        <v>58</v>
      </c>
      <c r="G82" s="130" t="s">
        <v>58</v>
      </c>
      <c r="H82" s="130">
        <v>2</v>
      </c>
      <c r="I82" s="152" t="s">
        <v>59</v>
      </c>
      <c r="J82" s="130">
        <v>2</v>
      </c>
      <c r="K82" s="152" t="s">
        <v>59</v>
      </c>
      <c r="L82" s="130">
        <v>2</v>
      </c>
      <c r="M82" s="152" t="s">
        <v>59</v>
      </c>
      <c r="N82" s="130">
        <v>2</v>
      </c>
      <c r="O82" s="153" t="s">
        <v>59</v>
      </c>
    </row>
    <row r="83" spans="2:15">
      <c r="B83" s="307" t="s">
        <v>60</v>
      </c>
      <c r="C83" s="308"/>
      <c r="D83" s="122" t="s">
        <v>58</v>
      </c>
      <c r="E83" s="129" t="s">
        <v>57</v>
      </c>
      <c r="F83" s="130" t="s">
        <v>58</v>
      </c>
      <c r="G83" s="130" t="s">
        <v>58</v>
      </c>
      <c r="H83" s="130">
        <v>3</v>
      </c>
      <c r="I83" s="152" t="s">
        <v>60</v>
      </c>
      <c r="J83" s="130">
        <v>3</v>
      </c>
      <c r="K83" s="152" t="s">
        <v>60</v>
      </c>
      <c r="L83" s="130">
        <v>3</v>
      </c>
      <c r="M83" s="152" t="s">
        <v>60</v>
      </c>
      <c r="N83" s="130">
        <v>3</v>
      </c>
      <c r="O83" s="153" t="s">
        <v>60</v>
      </c>
    </row>
    <row r="84" spans="2:15">
      <c r="B84" s="307" t="s">
        <v>61</v>
      </c>
      <c r="C84" s="308"/>
      <c r="D84" s="122" t="s">
        <v>58</v>
      </c>
      <c r="E84" s="122" t="s">
        <v>62</v>
      </c>
      <c r="F84" s="130" t="s">
        <v>58</v>
      </c>
      <c r="G84" s="130" t="s">
        <v>58</v>
      </c>
      <c r="H84" s="130">
        <v>4</v>
      </c>
      <c r="I84" s="152" t="s">
        <v>61</v>
      </c>
      <c r="J84" s="130" t="s">
        <v>58</v>
      </c>
      <c r="K84" s="131" t="s">
        <v>58</v>
      </c>
      <c r="L84" s="130" t="s">
        <v>58</v>
      </c>
      <c r="M84" s="131" t="s">
        <v>58</v>
      </c>
      <c r="N84" s="130">
        <v>4</v>
      </c>
      <c r="O84" s="153" t="s">
        <v>61</v>
      </c>
    </row>
    <row r="85" spans="2:15">
      <c r="B85" s="307" t="s">
        <v>63</v>
      </c>
      <c r="C85" s="308"/>
      <c r="D85" s="122" t="s">
        <v>58</v>
      </c>
      <c r="E85" s="122" t="s">
        <v>62</v>
      </c>
      <c r="F85" s="130" t="s">
        <v>58</v>
      </c>
      <c r="G85" s="130" t="s">
        <v>58</v>
      </c>
      <c r="H85" s="130" t="s">
        <v>58</v>
      </c>
      <c r="I85" s="131" t="s">
        <v>58</v>
      </c>
      <c r="J85" s="130">
        <v>4</v>
      </c>
      <c r="K85" s="152" t="s">
        <v>63</v>
      </c>
      <c r="L85" s="130">
        <v>4</v>
      </c>
      <c r="M85" s="152" t="s">
        <v>63</v>
      </c>
      <c r="N85" s="130" t="s">
        <v>58</v>
      </c>
      <c r="O85" s="131" t="s">
        <v>58</v>
      </c>
    </row>
    <row r="86" spans="2:15">
      <c r="B86" s="307" t="s">
        <v>64</v>
      </c>
      <c r="C86" s="308"/>
      <c r="D86" s="122" t="s">
        <v>58</v>
      </c>
      <c r="E86" s="122" t="s">
        <v>62</v>
      </c>
      <c r="F86" s="130" t="s">
        <v>58</v>
      </c>
      <c r="G86" s="130" t="s">
        <v>58</v>
      </c>
      <c r="H86" s="130" t="s">
        <v>58</v>
      </c>
      <c r="I86" s="131" t="s">
        <v>58</v>
      </c>
      <c r="J86" s="130" t="s">
        <v>58</v>
      </c>
      <c r="K86" s="131" t="s">
        <v>58</v>
      </c>
      <c r="L86" s="130">
        <v>5</v>
      </c>
      <c r="M86" s="152" t="s">
        <v>64</v>
      </c>
      <c r="N86" s="130" t="s">
        <v>58</v>
      </c>
      <c r="O86" s="131" t="s">
        <v>58</v>
      </c>
    </row>
    <row r="87" spans="2:15">
      <c r="B87" s="307" t="s">
        <v>65</v>
      </c>
      <c r="C87" s="308"/>
      <c r="D87" s="122" t="s">
        <v>58</v>
      </c>
      <c r="E87" s="129" t="s">
        <v>57</v>
      </c>
      <c r="F87" s="130" t="s">
        <v>66</v>
      </c>
      <c r="G87" s="130" t="s">
        <v>67</v>
      </c>
      <c r="H87" s="130">
        <v>5</v>
      </c>
      <c r="I87" s="152" t="s">
        <v>65</v>
      </c>
      <c r="J87" s="130">
        <v>5</v>
      </c>
      <c r="K87" s="152" t="s">
        <v>65</v>
      </c>
      <c r="L87" s="130">
        <v>6</v>
      </c>
      <c r="M87" s="152" t="s">
        <v>65</v>
      </c>
      <c r="N87" s="130">
        <v>5</v>
      </c>
      <c r="O87" s="153" t="s">
        <v>65</v>
      </c>
    </row>
    <row r="88" spans="2:15">
      <c r="B88" s="307" t="s">
        <v>68</v>
      </c>
      <c r="C88" s="308"/>
      <c r="D88" s="122" t="s">
        <v>58</v>
      </c>
      <c r="E88" s="122" t="s">
        <v>62</v>
      </c>
      <c r="F88" s="130" t="s">
        <v>58</v>
      </c>
      <c r="G88" s="130" t="s">
        <v>58</v>
      </c>
      <c r="H88" s="130" t="s">
        <v>58</v>
      </c>
      <c r="I88" s="131" t="s">
        <v>58</v>
      </c>
      <c r="J88" s="130">
        <v>6</v>
      </c>
      <c r="K88" s="152" t="s">
        <v>68</v>
      </c>
      <c r="L88" s="130">
        <v>7</v>
      </c>
      <c r="M88" s="152" t="s">
        <v>68</v>
      </c>
      <c r="N88" s="130" t="s">
        <v>58</v>
      </c>
      <c r="O88" s="131" t="s">
        <v>58</v>
      </c>
    </row>
    <row r="89" spans="2:15">
      <c r="B89" s="307" t="s">
        <v>69</v>
      </c>
      <c r="C89" s="308"/>
      <c r="D89" s="122" t="s">
        <v>58</v>
      </c>
      <c r="E89" s="122" t="s">
        <v>62</v>
      </c>
      <c r="F89" s="130" t="s">
        <v>58</v>
      </c>
      <c r="G89" s="130" t="s">
        <v>58</v>
      </c>
      <c r="H89" s="130">
        <v>6</v>
      </c>
      <c r="I89" s="152" t="s">
        <v>69</v>
      </c>
      <c r="J89" s="130" t="s">
        <v>58</v>
      </c>
      <c r="K89" s="131" t="s">
        <v>58</v>
      </c>
      <c r="L89" s="130" t="s">
        <v>58</v>
      </c>
      <c r="M89" s="131" t="s">
        <v>58</v>
      </c>
      <c r="N89" s="130" t="s">
        <v>58</v>
      </c>
      <c r="O89" s="131" t="s">
        <v>58</v>
      </c>
    </row>
    <row r="90" spans="2:15">
      <c r="B90" s="307" t="s">
        <v>70</v>
      </c>
      <c r="C90" s="308"/>
      <c r="D90" s="122" t="s">
        <v>58</v>
      </c>
      <c r="E90" s="122" t="s">
        <v>62</v>
      </c>
      <c r="F90" s="130" t="s">
        <v>58</v>
      </c>
      <c r="G90" s="130" t="s">
        <v>58</v>
      </c>
      <c r="H90" s="130">
        <v>7</v>
      </c>
      <c r="I90" s="153" t="s">
        <v>70</v>
      </c>
      <c r="J90" s="130" t="s">
        <v>58</v>
      </c>
      <c r="K90" s="131" t="s">
        <v>58</v>
      </c>
      <c r="L90" s="130" t="s">
        <v>58</v>
      </c>
      <c r="M90" s="131" t="s">
        <v>58</v>
      </c>
      <c r="N90" s="130" t="s">
        <v>58</v>
      </c>
      <c r="O90" s="131" t="s">
        <v>58</v>
      </c>
    </row>
    <row r="91" spans="2:15">
      <c r="B91" s="307" t="s">
        <v>71</v>
      </c>
      <c r="C91" s="308"/>
      <c r="D91" s="122" t="s">
        <v>58</v>
      </c>
      <c r="E91" s="122" t="s">
        <v>62</v>
      </c>
      <c r="F91" s="130" t="s">
        <v>58</v>
      </c>
      <c r="G91" s="130" t="s">
        <v>58</v>
      </c>
      <c r="H91" s="130" t="s">
        <v>58</v>
      </c>
      <c r="I91" s="131" t="s">
        <v>58</v>
      </c>
      <c r="J91" s="130" t="s">
        <v>58</v>
      </c>
      <c r="K91" s="131" t="s">
        <v>58</v>
      </c>
      <c r="L91" s="130" t="s">
        <v>58</v>
      </c>
      <c r="M91" s="131" t="s">
        <v>58</v>
      </c>
      <c r="N91" s="130">
        <v>6</v>
      </c>
      <c r="O91" s="153" t="s">
        <v>71</v>
      </c>
    </row>
    <row r="92" spans="2:15">
      <c r="B92" s="307" t="s">
        <v>72</v>
      </c>
      <c r="C92" s="308"/>
      <c r="D92" s="122" t="s">
        <v>58</v>
      </c>
      <c r="E92" s="122" t="s">
        <v>62</v>
      </c>
      <c r="F92" s="130" t="s">
        <v>58</v>
      </c>
      <c r="G92" s="130" t="s">
        <v>58</v>
      </c>
      <c r="H92" s="130" t="s">
        <v>58</v>
      </c>
      <c r="I92" s="131" t="s">
        <v>58</v>
      </c>
      <c r="J92" s="130" t="s">
        <v>58</v>
      </c>
      <c r="K92" s="131" t="s">
        <v>58</v>
      </c>
      <c r="L92" s="130" t="s">
        <v>58</v>
      </c>
      <c r="M92" s="131" t="s">
        <v>58</v>
      </c>
      <c r="N92" s="130">
        <v>7</v>
      </c>
      <c r="O92" s="153" t="s">
        <v>72</v>
      </c>
    </row>
    <row r="93" spans="2:15">
      <c r="B93" s="307" t="s">
        <v>73</v>
      </c>
      <c r="C93" s="308"/>
      <c r="D93" s="122" t="s">
        <v>74</v>
      </c>
      <c r="E93" s="122" t="s">
        <v>62</v>
      </c>
      <c r="F93" s="130" t="s">
        <v>75</v>
      </c>
      <c r="G93" s="130" t="s">
        <v>76</v>
      </c>
      <c r="H93" s="130">
        <v>8</v>
      </c>
      <c r="I93" s="122" t="s">
        <v>74</v>
      </c>
      <c r="J93" s="130" t="s">
        <v>58</v>
      </c>
      <c r="K93" s="131" t="s">
        <v>58</v>
      </c>
      <c r="L93" s="130" t="s">
        <v>58</v>
      </c>
      <c r="M93" s="131" t="s">
        <v>58</v>
      </c>
      <c r="N93" s="130">
        <v>8</v>
      </c>
      <c r="O93" s="131" t="s">
        <v>74</v>
      </c>
    </row>
    <row r="94" spans="2:15">
      <c r="B94" s="307" t="s">
        <v>77</v>
      </c>
      <c r="C94" s="308"/>
      <c r="D94" s="122" t="s">
        <v>78</v>
      </c>
      <c r="E94" s="122" t="s">
        <v>62</v>
      </c>
      <c r="F94" s="130" t="s">
        <v>58</v>
      </c>
      <c r="G94" s="130" t="s">
        <v>58</v>
      </c>
      <c r="H94" s="130">
        <v>9</v>
      </c>
      <c r="I94" s="122" t="s">
        <v>78</v>
      </c>
      <c r="J94" s="130" t="s">
        <v>58</v>
      </c>
      <c r="K94" s="131" t="s">
        <v>58</v>
      </c>
      <c r="L94" s="130" t="s">
        <v>58</v>
      </c>
      <c r="M94" s="131" t="s">
        <v>58</v>
      </c>
      <c r="N94" s="130" t="s">
        <v>58</v>
      </c>
      <c r="O94" s="131" t="s">
        <v>58</v>
      </c>
    </row>
    <row r="95" spans="2:15">
      <c r="B95" s="307" t="s">
        <v>79</v>
      </c>
      <c r="C95" s="308"/>
      <c r="D95" s="122" t="s">
        <v>58</v>
      </c>
      <c r="E95" s="122" t="s">
        <v>62</v>
      </c>
      <c r="F95" s="130" t="s">
        <v>80</v>
      </c>
      <c r="G95" s="130" t="s">
        <v>76</v>
      </c>
      <c r="H95" s="130">
        <v>10</v>
      </c>
      <c r="I95" s="152" t="s">
        <v>79</v>
      </c>
      <c r="J95" s="130" t="s">
        <v>58</v>
      </c>
      <c r="K95" s="131" t="s">
        <v>58</v>
      </c>
      <c r="L95" s="130" t="s">
        <v>58</v>
      </c>
      <c r="M95" s="131" t="s">
        <v>58</v>
      </c>
      <c r="N95" s="130" t="s">
        <v>58</v>
      </c>
      <c r="O95" s="131" t="s">
        <v>58</v>
      </c>
    </row>
    <row r="96" spans="2:15">
      <c r="B96" s="307" t="s">
        <v>81</v>
      </c>
      <c r="C96" s="308"/>
      <c r="D96" s="122" t="s">
        <v>74</v>
      </c>
      <c r="E96" s="122" t="s">
        <v>62</v>
      </c>
      <c r="F96" s="130" t="s">
        <v>82</v>
      </c>
      <c r="G96" s="130" t="s">
        <v>67</v>
      </c>
      <c r="H96" s="130">
        <v>11</v>
      </c>
      <c r="I96" s="122" t="s">
        <v>74</v>
      </c>
      <c r="J96" s="130" t="s">
        <v>58</v>
      </c>
      <c r="K96" s="131" t="s">
        <v>58</v>
      </c>
      <c r="L96" s="130" t="s">
        <v>58</v>
      </c>
      <c r="M96" s="131" t="s">
        <v>58</v>
      </c>
      <c r="N96" s="130">
        <v>9</v>
      </c>
      <c r="O96" s="131" t="s">
        <v>74</v>
      </c>
    </row>
    <row r="97" spans="2:15">
      <c r="B97" s="307" t="s">
        <v>83</v>
      </c>
      <c r="C97" s="308"/>
      <c r="D97" s="122" t="s">
        <v>58</v>
      </c>
      <c r="E97" s="129" t="s">
        <v>57</v>
      </c>
      <c r="F97" s="130" t="s">
        <v>58</v>
      </c>
      <c r="G97" s="130" t="s">
        <v>58</v>
      </c>
      <c r="H97" s="130">
        <v>12</v>
      </c>
      <c r="I97" s="152" t="s">
        <v>83</v>
      </c>
      <c r="J97" s="130">
        <v>7</v>
      </c>
      <c r="K97" s="152" t="s">
        <v>84</v>
      </c>
      <c r="L97" s="130">
        <v>8</v>
      </c>
      <c r="M97" s="152" t="s">
        <v>43</v>
      </c>
      <c r="N97" s="130">
        <v>10</v>
      </c>
      <c r="O97" s="153" t="s">
        <v>85</v>
      </c>
    </row>
    <row r="98" spans="2:15">
      <c r="B98" s="307" t="s">
        <v>86</v>
      </c>
      <c r="C98" s="308"/>
      <c r="D98" s="122" t="s">
        <v>87</v>
      </c>
      <c r="E98" s="122" t="s">
        <v>62</v>
      </c>
      <c r="F98" s="130" t="s">
        <v>58</v>
      </c>
      <c r="G98" s="130" t="s">
        <v>58</v>
      </c>
      <c r="H98" s="130">
        <v>13</v>
      </c>
      <c r="I98" s="152" t="s">
        <v>86</v>
      </c>
      <c r="J98" s="130" t="s">
        <v>58</v>
      </c>
      <c r="K98" s="131" t="s">
        <v>58</v>
      </c>
      <c r="L98" s="130" t="s">
        <v>58</v>
      </c>
      <c r="M98" s="131" t="s">
        <v>58</v>
      </c>
      <c r="N98" s="130" t="s">
        <v>58</v>
      </c>
      <c r="O98" s="131" t="s">
        <v>58</v>
      </c>
    </row>
    <row r="99" spans="2:15">
      <c r="B99" s="307" t="s">
        <v>88</v>
      </c>
      <c r="C99" s="308"/>
      <c r="D99" s="122" t="s">
        <v>87</v>
      </c>
      <c r="E99" s="122" t="s">
        <v>62</v>
      </c>
      <c r="F99" s="130" t="s">
        <v>58</v>
      </c>
      <c r="G99" s="130" t="s">
        <v>58</v>
      </c>
      <c r="H99" s="130" t="s">
        <v>58</v>
      </c>
      <c r="I99" s="131" t="s">
        <v>58</v>
      </c>
      <c r="J99" s="130" t="s">
        <v>58</v>
      </c>
      <c r="K99" s="131" t="s">
        <v>58</v>
      </c>
      <c r="L99" s="130" t="s">
        <v>58</v>
      </c>
      <c r="M99" s="131" t="s">
        <v>58</v>
      </c>
      <c r="N99" s="130">
        <v>12</v>
      </c>
      <c r="O99" s="153" t="s">
        <v>88</v>
      </c>
    </row>
    <row r="100" spans="2:15" ht="17.25" thickBot="1">
      <c r="B100" s="305" t="s">
        <v>89</v>
      </c>
      <c r="C100" s="306"/>
      <c r="D100" s="132" t="s">
        <v>78</v>
      </c>
      <c r="E100" s="154" t="s">
        <v>62</v>
      </c>
      <c r="F100" s="132" t="s">
        <v>58</v>
      </c>
      <c r="G100" s="132" t="s">
        <v>58</v>
      </c>
      <c r="H100" s="132">
        <v>14</v>
      </c>
      <c r="I100" s="133" t="s">
        <v>89</v>
      </c>
      <c r="J100" s="132">
        <v>8</v>
      </c>
      <c r="K100" s="133" t="s">
        <v>89</v>
      </c>
      <c r="L100" s="132">
        <v>9</v>
      </c>
      <c r="M100" s="133" t="s">
        <v>89</v>
      </c>
      <c r="N100" s="132">
        <v>13</v>
      </c>
      <c r="O100" s="167" t="s">
        <v>89</v>
      </c>
    </row>
    <row r="101" spans="2:15" ht="4.5" customHeight="1">
      <c r="H101" s="157"/>
    </row>
    <row r="102" spans="2:15">
      <c r="B102" s="124"/>
      <c r="C102" s="124"/>
    </row>
  </sheetData>
  <mergeCells count="28">
    <mergeCell ref="B85:C85"/>
    <mergeCell ref="B87:C87"/>
    <mergeCell ref="L79:M79"/>
    <mergeCell ref="N79:O79"/>
    <mergeCell ref="H78:O78"/>
    <mergeCell ref="F78:G79"/>
    <mergeCell ref="B78:E79"/>
    <mergeCell ref="H79:I79"/>
    <mergeCell ref="J79:K79"/>
    <mergeCell ref="B80:C80"/>
    <mergeCell ref="B81:C81"/>
    <mergeCell ref="B82:C82"/>
    <mergeCell ref="B83:C83"/>
    <mergeCell ref="B84:C84"/>
    <mergeCell ref="B86:C86"/>
    <mergeCell ref="B100:C100"/>
    <mergeCell ref="B88:C88"/>
    <mergeCell ref="B89:C89"/>
    <mergeCell ref="B91:C91"/>
    <mergeCell ref="B92:C92"/>
    <mergeCell ref="B93:C93"/>
    <mergeCell ref="B94:C94"/>
    <mergeCell ref="B95:C95"/>
    <mergeCell ref="B96:C96"/>
    <mergeCell ref="B97:C97"/>
    <mergeCell ref="B98:C98"/>
    <mergeCell ref="B99:C99"/>
    <mergeCell ref="B90:C90"/>
  </mergeCells>
  <phoneticPr fontId="1" type="noConversion"/>
  <pageMargins left="0.7" right="0.7" top="0.75" bottom="0.75" header="0.3" footer="0.3"/>
  <pageSetup paperSize="9" scale="4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1"/>
    <pageSetUpPr fitToPage="1"/>
  </sheetPr>
  <dimension ref="A1:AA25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3.5"/>
  <cols>
    <col min="1" max="1" width="4.75" style="207" customWidth="1"/>
    <col min="2" max="3" width="9.625" style="207" customWidth="1"/>
    <col min="4" max="27" width="9.625" style="7" customWidth="1"/>
    <col min="28" max="264" width="9" style="7"/>
    <col min="265" max="265" width="2.625" style="7" customWidth="1"/>
    <col min="266" max="267" width="15.625" style="7" customWidth="1"/>
    <col min="268" max="268" width="36" style="7" customWidth="1"/>
    <col min="269" max="269" width="8.5" style="7" customWidth="1"/>
    <col min="270" max="270" width="0" style="7" hidden="1" customWidth="1"/>
    <col min="271" max="274" width="61.125" style="7" customWidth="1"/>
    <col min="275" max="275" width="2.625" style="7" customWidth="1"/>
    <col min="276" max="520" width="9" style="7"/>
    <col min="521" max="521" width="2.625" style="7" customWidth="1"/>
    <col min="522" max="523" width="15.625" style="7" customWidth="1"/>
    <col min="524" max="524" width="36" style="7" customWidth="1"/>
    <col min="525" max="525" width="8.5" style="7" customWidth="1"/>
    <col min="526" max="526" width="0" style="7" hidden="1" customWidth="1"/>
    <col min="527" max="530" width="61.125" style="7" customWidth="1"/>
    <col min="531" max="531" width="2.625" style="7" customWidth="1"/>
    <col min="532" max="776" width="9" style="7"/>
    <col min="777" max="777" width="2.625" style="7" customWidth="1"/>
    <col min="778" max="779" width="15.625" style="7" customWidth="1"/>
    <col min="780" max="780" width="36" style="7" customWidth="1"/>
    <col min="781" max="781" width="8.5" style="7" customWidth="1"/>
    <col min="782" max="782" width="0" style="7" hidden="1" customWidth="1"/>
    <col min="783" max="786" width="61.125" style="7" customWidth="1"/>
    <col min="787" max="787" width="2.625" style="7" customWidth="1"/>
    <col min="788" max="1032" width="9" style="7"/>
    <col min="1033" max="1033" width="2.625" style="7" customWidth="1"/>
    <col min="1034" max="1035" width="15.625" style="7" customWidth="1"/>
    <col min="1036" max="1036" width="36" style="7" customWidth="1"/>
    <col min="1037" max="1037" width="8.5" style="7" customWidth="1"/>
    <col min="1038" max="1038" width="0" style="7" hidden="1" customWidth="1"/>
    <col min="1039" max="1042" width="61.125" style="7" customWidth="1"/>
    <col min="1043" max="1043" width="2.625" style="7" customWidth="1"/>
    <col min="1044" max="1288" width="9" style="7"/>
    <col min="1289" max="1289" width="2.625" style="7" customWidth="1"/>
    <col min="1290" max="1291" width="15.625" style="7" customWidth="1"/>
    <col min="1292" max="1292" width="36" style="7" customWidth="1"/>
    <col min="1293" max="1293" width="8.5" style="7" customWidth="1"/>
    <col min="1294" max="1294" width="0" style="7" hidden="1" customWidth="1"/>
    <col min="1295" max="1298" width="61.125" style="7" customWidth="1"/>
    <col min="1299" max="1299" width="2.625" style="7" customWidth="1"/>
    <col min="1300" max="1544" width="9" style="7"/>
    <col min="1545" max="1545" width="2.625" style="7" customWidth="1"/>
    <col min="1546" max="1547" width="15.625" style="7" customWidth="1"/>
    <col min="1548" max="1548" width="36" style="7" customWidth="1"/>
    <col min="1549" max="1549" width="8.5" style="7" customWidth="1"/>
    <col min="1550" max="1550" width="0" style="7" hidden="1" customWidth="1"/>
    <col min="1551" max="1554" width="61.125" style="7" customWidth="1"/>
    <col min="1555" max="1555" width="2.625" style="7" customWidth="1"/>
    <col min="1556" max="1800" width="9" style="7"/>
    <col min="1801" max="1801" width="2.625" style="7" customWidth="1"/>
    <col min="1802" max="1803" width="15.625" style="7" customWidth="1"/>
    <col min="1804" max="1804" width="36" style="7" customWidth="1"/>
    <col min="1805" max="1805" width="8.5" style="7" customWidth="1"/>
    <col min="1806" max="1806" width="0" style="7" hidden="1" customWidth="1"/>
    <col min="1807" max="1810" width="61.125" style="7" customWidth="1"/>
    <col min="1811" max="1811" width="2.625" style="7" customWidth="1"/>
    <col min="1812" max="2056" width="9" style="7"/>
    <col min="2057" max="2057" width="2.625" style="7" customWidth="1"/>
    <col min="2058" max="2059" width="15.625" style="7" customWidth="1"/>
    <col min="2060" max="2060" width="36" style="7" customWidth="1"/>
    <col min="2061" max="2061" width="8.5" style="7" customWidth="1"/>
    <col min="2062" max="2062" width="0" style="7" hidden="1" customWidth="1"/>
    <col min="2063" max="2066" width="61.125" style="7" customWidth="1"/>
    <col min="2067" max="2067" width="2.625" style="7" customWidth="1"/>
    <col min="2068" max="2312" width="9" style="7"/>
    <col min="2313" max="2313" width="2.625" style="7" customWidth="1"/>
    <col min="2314" max="2315" width="15.625" style="7" customWidth="1"/>
    <col min="2316" max="2316" width="36" style="7" customWidth="1"/>
    <col min="2317" max="2317" width="8.5" style="7" customWidth="1"/>
    <col min="2318" max="2318" width="0" style="7" hidden="1" customWidth="1"/>
    <col min="2319" max="2322" width="61.125" style="7" customWidth="1"/>
    <col min="2323" max="2323" width="2.625" style="7" customWidth="1"/>
    <col min="2324" max="2568" width="9" style="7"/>
    <col min="2569" max="2569" width="2.625" style="7" customWidth="1"/>
    <col min="2570" max="2571" width="15.625" style="7" customWidth="1"/>
    <col min="2572" max="2572" width="36" style="7" customWidth="1"/>
    <col min="2573" max="2573" width="8.5" style="7" customWidth="1"/>
    <col min="2574" max="2574" width="0" style="7" hidden="1" customWidth="1"/>
    <col min="2575" max="2578" width="61.125" style="7" customWidth="1"/>
    <col min="2579" max="2579" width="2.625" style="7" customWidth="1"/>
    <col min="2580" max="2824" width="9" style="7"/>
    <col min="2825" max="2825" width="2.625" style="7" customWidth="1"/>
    <col min="2826" max="2827" width="15.625" style="7" customWidth="1"/>
    <col min="2828" max="2828" width="36" style="7" customWidth="1"/>
    <col min="2829" max="2829" width="8.5" style="7" customWidth="1"/>
    <col min="2830" max="2830" width="0" style="7" hidden="1" customWidth="1"/>
    <col min="2831" max="2834" width="61.125" style="7" customWidth="1"/>
    <col min="2835" max="2835" width="2.625" style="7" customWidth="1"/>
    <col min="2836" max="3080" width="9" style="7"/>
    <col min="3081" max="3081" width="2.625" style="7" customWidth="1"/>
    <col min="3082" max="3083" width="15.625" style="7" customWidth="1"/>
    <col min="3084" max="3084" width="36" style="7" customWidth="1"/>
    <col min="3085" max="3085" width="8.5" style="7" customWidth="1"/>
    <col min="3086" max="3086" width="0" style="7" hidden="1" customWidth="1"/>
    <col min="3087" max="3090" width="61.125" style="7" customWidth="1"/>
    <col min="3091" max="3091" width="2.625" style="7" customWidth="1"/>
    <col min="3092" max="3336" width="9" style="7"/>
    <col min="3337" max="3337" width="2.625" style="7" customWidth="1"/>
    <col min="3338" max="3339" width="15.625" style="7" customWidth="1"/>
    <col min="3340" max="3340" width="36" style="7" customWidth="1"/>
    <col min="3341" max="3341" width="8.5" style="7" customWidth="1"/>
    <col min="3342" max="3342" width="0" style="7" hidden="1" customWidth="1"/>
    <col min="3343" max="3346" width="61.125" style="7" customWidth="1"/>
    <col min="3347" max="3347" width="2.625" style="7" customWidth="1"/>
    <col min="3348" max="3592" width="9" style="7"/>
    <col min="3593" max="3593" width="2.625" style="7" customWidth="1"/>
    <col min="3594" max="3595" width="15.625" style="7" customWidth="1"/>
    <col min="3596" max="3596" width="36" style="7" customWidth="1"/>
    <col min="3597" max="3597" width="8.5" style="7" customWidth="1"/>
    <col min="3598" max="3598" width="0" style="7" hidden="1" customWidth="1"/>
    <col min="3599" max="3602" width="61.125" style="7" customWidth="1"/>
    <col min="3603" max="3603" width="2.625" style="7" customWidth="1"/>
    <col min="3604" max="3848" width="9" style="7"/>
    <col min="3849" max="3849" width="2.625" style="7" customWidth="1"/>
    <col min="3850" max="3851" width="15.625" style="7" customWidth="1"/>
    <col min="3852" max="3852" width="36" style="7" customWidth="1"/>
    <col min="3853" max="3853" width="8.5" style="7" customWidth="1"/>
    <col min="3854" max="3854" width="0" style="7" hidden="1" customWidth="1"/>
    <col min="3855" max="3858" width="61.125" style="7" customWidth="1"/>
    <col min="3859" max="3859" width="2.625" style="7" customWidth="1"/>
    <col min="3860" max="4104" width="9" style="7"/>
    <col min="4105" max="4105" width="2.625" style="7" customWidth="1"/>
    <col min="4106" max="4107" width="15.625" style="7" customWidth="1"/>
    <col min="4108" max="4108" width="36" style="7" customWidth="1"/>
    <col min="4109" max="4109" width="8.5" style="7" customWidth="1"/>
    <col min="4110" max="4110" width="0" style="7" hidden="1" customWidth="1"/>
    <col min="4111" max="4114" width="61.125" style="7" customWidth="1"/>
    <col min="4115" max="4115" width="2.625" style="7" customWidth="1"/>
    <col min="4116" max="4360" width="9" style="7"/>
    <col min="4361" max="4361" width="2.625" style="7" customWidth="1"/>
    <col min="4362" max="4363" width="15.625" style="7" customWidth="1"/>
    <col min="4364" max="4364" width="36" style="7" customWidth="1"/>
    <col min="4365" max="4365" width="8.5" style="7" customWidth="1"/>
    <col min="4366" max="4366" width="0" style="7" hidden="1" customWidth="1"/>
    <col min="4367" max="4370" width="61.125" style="7" customWidth="1"/>
    <col min="4371" max="4371" width="2.625" style="7" customWidth="1"/>
    <col min="4372" max="4616" width="9" style="7"/>
    <col min="4617" max="4617" width="2.625" style="7" customWidth="1"/>
    <col min="4618" max="4619" width="15.625" style="7" customWidth="1"/>
    <col min="4620" max="4620" width="36" style="7" customWidth="1"/>
    <col min="4621" max="4621" width="8.5" style="7" customWidth="1"/>
    <col min="4622" max="4622" width="0" style="7" hidden="1" customWidth="1"/>
    <col min="4623" max="4626" width="61.125" style="7" customWidth="1"/>
    <col min="4627" max="4627" width="2.625" style="7" customWidth="1"/>
    <col min="4628" max="4872" width="9" style="7"/>
    <col min="4873" max="4873" width="2.625" style="7" customWidth="1"/>
    <col min="4874" max="4875" width="15.625" style="7" customWidth="1"/>
    <col min="4876" max="4876" width="36" style="7" customWidth="1"/>
    <col min="4877" max="4877" width="8.5" style="7" customWidth="1"/>
    <col min="4878" max="4878" width="0" style="7" hidden="1" customWidth="1"/>
    <col min="4879" max="4882" width="61.125" style="7" customWidth="1"/>
    <col min="4883" max="4883" width="2.625" style="7" customWidth="1"/>
    <col min="4884" max="5128" width="9" style="7"/>
    <col min="5129" max="5129" width="2.625" style="7" customWidth="1"/>
    <col min="5130" max="5131" width="15.625" style="7" customWidth="1"/>
    <col min="5132" max="5132" width="36" style="7" customWidth="1"/>
    <col min="5133" max="5133" width="8.5" style="7" customWidth="1"/>
    <col min="5134" max="5134" width="0" style="7" hidden="1" customWidth="1"/>
    <col min="5135" max="5138" width="61.125" style="7" customWidth="1"/>
    <col min="5139" max="5139" width="2.625" style="7" customWidth="1"/>
    <col min="5140" max="5384" width="9" style="7"/>
    <col min="5385" max="5385" width="2.625" style="7" customWidth="1"/>
    <col min="5386" max="5387" width="15.625" style="7" customWidth="1"/>
    <col min="5388" max="5388" width="36" style="7" customWidth="1"/>
    <col min="5389" max="5389" width="8.5" style="7" customWidth="1"/>
    <col min="5390" max="5390" width="0" style="7" hidden="1" customWidth="1"/>
    <col min="5391" max="5394" width="61.125" style="7" customWidth="1"/>
    <col min="5395" max="5395" width="2.625" style="7" customWidth="1"/>
    <col min="5396" max="5640" width="9" style="7"/>
    <col min="5641" max="5641" width="2.625" style="7" customWidth="1"/>
    <col min="5642" max="5643" width="15.625" style="7" customWidth="1"/>
    <col min="5644" max="5644" width="36" style="7" customWidth="1"/>
    <col min="5645" max="5645" width="8.5" style="7" customWidth="1"/>
    <col min="5646" max="5646" width="0" style="7" hidden="1" customWidth="1"/>
    <col min="5647" max="5650" width="61.125" style="7" customWidth="1"/>
    <col min="5651" max="5651" width="2.625" style="7" customWidth="1"/>
    <col min="5652" max="5896" width="9" style="7"/>
    <col min="5897" max="5897" width="2.625" style="7" customWidth="1"/>
    <col min="5898" max="5899" width="15.625" style="7" customWidth="1"/>
    <col min="5900" max="5900" width="36" style="7" customWidth="1"/>
    <col min="5901" max="5901" width="8.5" style="7" customWidth="1"/>
    <col min="5902" max="5902" width="0" style="7" hidden="1" customWidth="1"/>
    <col min="5903" max="5906" width="61.125" style="7" customWidth="1"/>
    <col min="5907" max="5907" width="2.625" style="7" customWidth="1"/>
    <col min="5908" max="6152" width="9" style="7"/>
    <col min="6153" max="6153" width="2.625" style="7" customWidth="1"/>
    <col min="6154" max="6155" width="15.625" style="7" customWidth="1"/>
    <col min="6156" max="6156" width="36" style="7" customWidth="1"/>
    <col min="6157" max="6157" width="8.5" style="7" customWidth="1"/>
    <col min="6158" max="6158" width="0" style="7" hidden="1" customWidth="1"/>
    <col min="6159" max="6162" width="61.125" style="7" customWidth="1"/>
    <col min="6163" max="6163" width="2.625" style="7" customWidth="1"/>
    <col min="6164" max="6408" width="9" style="7"/>
    <col min="6409" max="6409" width="2.625" style="7" customWidth="1"/>
    <col min="6410" max="6411" width="15.625" style="7" customWidth="1"/>
    <col min="6412" max="6412" width="36" style="7" customWidth="1"/>
    <col min="6413" max="6413" width="8.5" style="7" customWidth="1"/>
    <col min="6414" max="6414" width="0" style="7" hidden="1" customWidth="1"/>
    <col min="6415" max="6418" width="61.125" style="7" customWidth="1"/>
    <col min="6419" max="6419" width="2.625" style="7" customWidth="1"/>
    <col min="6420" max="6664" width="9" style="7"/>
    <col min="6665" max="6665" width="2.625" style="7" customWidth="1"/>
    <col min="6666" max="6667" width="15.625" style="7" customWidth="1"/>
    <col min="6668" max="6668" width="36" style="7" customWidth="1"/>
    <col min="6669" max="6669" width="8.5" style="7" customWidth="1"/>
    <col min="6670" max="6670" width="0" style="7" hidden="1" customWidth="1"/>
    <col min="6671" max="6674" width="61.125" style="7" customWidth="1"/>
    <col min="6675" max="6675" width="2.625" style="7" customWidth="1"/>
    <col min="6676" max="6920" width="9" style="7"/>
    <col min="6921" max="6921" width="2.625" style="7" customWidth="1"/>
    <col min="6922" max="6923" width="15.625" style="7" customWidth="1"/>
    <col min="6924" max="6924" width="36" style="7" customWidth="1"/>
    <col min="6925" max="6925" width="8.5" style="7" customWidth="1"/>
    <col min="6926" max="6926" width="0" style="7" hidden="1" customWidth="1"/>
    <col min="6927" max="6930" width="61.125" style="7" customWidth="1"/>
    <col min="6931" max="6931" width="2.625" style="7" customWidth="1"/>
    <col min="6932" max="7176" width="9" style="7"/>
    <col min="7177" max="7177" width="2.625" style="7" customWidth="1"/>
    <col min="7178" max="7179" width="15.625" style="7" customWidth="1"/>
    <col min="7180" max="7180" width="36" style="7" customWidth="1"/>
    <col min="7181" max="7181" width="8.5" style="7" customWidth="1"/>
    <col min="7182" max="7182" width="0" style="7" hidden="1" customWidth="1"/>
    <col min="7183" max="7186" width="61.125" style="7" customWidth="1"/>
    <col min="7187" max="7187" width="2.625" style="7" customWidth="1"/>
    <col min="7188" max="7432" width="9" style="7"/>
    <col min="7433" max="7433" width="2.625" style="7" customWidth="1"/>
    <col min="7434" max="7435" width="15.625" style="7" customWidth="1"/>
    <col min="7436" max="7436" width="36" style="7" customWidth="1"/>
    <col min="7437" max="7437" width="8.5" style="7" customWidth="1"/>
    <col min="7438" max="7438" width="0" style="7" hidden="1" customWidth="1"/>
    <col min="7439" max="7442" width="61.125" style="7" customWidth="1"/>
    <col min="7443" max="7443" width="2.625" style="7" customWidth="1"/>
    <col min="7444" max="7688" width="9" style="7"/>
    <col min="7689" max="7689" width="2.625" style="7" customWidth="1"/>
    <col min="7690" max="7691" width="15.625" style="7" customWidth="1"/>
    <col min="7692" max="7692" width="36" style="7" customWidth="1"/>
    <col min="7693" max="7693" width="8.5" style="7" customWidth="1"/>
    <col min="7694" max="7694" width="0" style="7" hidden="1" customWidth="1"/>
    <col min="7695" max="7698" width="61.125" style="7" customWidth="1"/>
    <col min="7699" max="7699" width="2.625" style="7" customWidth="1"/>
    <col min="7700" max="7944" width="9" style="7"/>
    <col min="7945" max="7945" width="2.625" style="7" customWidth="1"/>
    <col min="7946" max="7947" width="15.625" style="7" customWidth="1"/>
    <col min="7948" max="7948" width="36" style="7" customWidth="1"/>
    <col min="7949" max="7949" width="8.5" style="7" customWidth="1"/>
    <col min="7950" max="7950" width="0" style="7" hidden="1" customWidth="1"/>
    <col min="7951" max="7954" width="61.125" style="7" customWidth="1"/>
    <col min="7955" max="7955" width="2.625" style="7" customWidth="1"/>
    <col min="7956" max="8200" width="9" style="7"/>
    <col min="8201" max="8201" width="2.625" style="7" customWidth="1"/>
    <col min="8202" max="8203" width="15.625" style="7" customWidth="1"/>
    <col min="8204" max="8204" width="36" style="7" customWidth="1"/>
    <col min="8205" max="8205" width="8.5" style="7" customWidth="1"/>
    <col min="8206" max="8206" width="0" style="7" hidden="1" customWidth="1"/>
    <col min="8207" max="8210" width="61.125" style="7" customWidth="1"/>
    <col min="8211" max="8211" width="2.625" style="7" customWidth="1"/>
    <col min="8212" max="8456" width="9" style="7"/>
    <col min="8457" max="8457" width="2.625" style="7" customWidth="1"/>
    <col min="8458" max="8459" width="15.625" style="7" customWidth="1"/>
    <col min="8460" max="8460" width="36" style="7" customWidth="1"/>
    <col min="8461" max="8461" width="8.5" style="7" customWidth="1"/>
    <col min="8462" max="8462" width="0" style="7" hidden="1" customWidth="1"/>
    <col min="8463" max="8466" width="61.125" style="7" customWidth="1"/>
    <col min="8467" max="8467" width="2.625" style="7" customWidth="1"/>
    <col min="8468" max="8712" width="9" style="7"/>
    <col min="8713" max="8713" width="2.625" style="7" customWidth="1"/>
    <col min="8714" max="8715" width="15.625" style="7" customWidth="1"/>
    <col min="8716" max="8716" width="36" style="7" customWidth="1"/>
    <col min="8717" max="8717" width="8.5" style="7" customWidth="1"/>
    <col min="8718" max="8718" width="0" style="7" hidden="1" customWidth="1"/>
    <col min="8719" max="8722" width="61.125" style="7" customWidth="1"/>
    <col min="8723" max="8723" width="2.625" style="7" customWidth="1"/>
    <col min="8724" max="8968" width="9" style="7"/>
    <col min="8969" max="8969" width="2.625" style="7" customWidth="1"/>
    <col min="8970" max="8971" width="15.625" style="7" customWidth="1"/>
    <col min="8972" max="8972" width="36" style="7" customWidth="1"/>
    <col min="8973" max="8973" width="8.5" style="7" customWidth="1"/>
    <col min="8974" max="8974" width="0" style="7" hidden="1" customWidth="1"/>
    <col min="8975" max="8978" width="61.125" style="7" customWidth="1"/>
    <col min="8979" max="8979" width="2.625" style="7" customWidth="1"/>
    <col min="8980" max="9224" width="9" style="7"/>
    <col min="9225" max="9225" width="2.625" style="7" customWidth="1"/>
    <col min="9226" max="9227" width="15.625" style="7" customWidth="1"/>
    <col min="9228" max="9228" width="36" style="7" customWidth="1"/>
    <col min="9229" max="9229" width="8.5" style="7" customWidth="1"/>
    <col min="9230" max="9230" width="0" style="7" hidden="1" customWidth="1"/>
    <col min="9231" max="9234" width="61.125" style="7" customWidth="1"/>
    <col min="9235" max="9235" width="2.625" style="7" customWidth="1"/>
    <col min="9236" max="9480" width="9" style="7"/>
    <col min="9481" max="9481" width="2.625" style="7" customWidth="1"/>
    <col min="9482" max="9483" width="15.625" style="7" customWidth="1"/>
    <col min="9484" max="9484" width="36" style="7" customWidth="1"/>
    <col min="9485" max="9485" width="8.5" style="7" customWidth="1"/>
    <col min="9486" max="9486" width="0" style="7" hidden="1" customWidth="1"/>
    <col min="9487" max="9490" width="61.125" style="7" customWidth="1"/>
    <col min="9491" max="9491" width="2.625" style="7" customWidth="1"/>
    <col min="9492" max="9736" width="9" style="7"/>
    <col min="9737" max="9737" width="2.625" style="7" customWidth="1"/>
    <col min="9738" max="9739" width="15.625" style="7" customWidth="1"/>
    <col min="9740" max="9740" width="36" style="7" customWidth="1"/>
    <col min="9741" max="9741" width="8.5" style="7" customWidth="1"/>
    <col min="9742" max="9742" width="0" style="7" hidden="1" customWidth="1"/>
    <col min="9743" max="9746" width="61.125" style="7" customWidth="1"/>
    <col min="9747" max="9747" width="2.625" style="7" customWidth="1"/>
    <col min="9748" max="9992" width="9" style="7"/>
    <col min="9993" max="9993" width="2.625" style="7" customWidth="1"/>
    <col min="9994" max="9995" width="15.625" style="7" customWidth="1"/>
    <col min="9996" max="9996" width="36" style="7" customWidth="1"/>
    <col min="9997" max="9997" width="8.5" style="7" customWidth="1"/>
    <col min="9998" max="9998" width="0" style="7" hidden="1" customWidth="1"/>
    <col min="9999" max="10002" width="61.125" style="7" customWidth="1"/>
    <col min="10003" max="10003" width="2.625" style="7" customWidth="1"/>
    <col min="10004" max="10248" width="9" style="7"/>
    <col min="10249" max="10249" width="2.625" style="7" customWidth="1"/>
    <col min="10250" max="10251" width="15.625" style="7" customWidth="1"/>
    <col min="10252" max="10252" width="36" style="7" customWidth="1"/>
    <col min="10253" max="10253" width="8.5" style="7" customWidth="1"/>
    <col min="10254" max="10254" width="0" style="7" hidden="1" customWidth="1"/>
    <col min="10255" max="10258" width="61.125" style="7" customWidth="1"/>
    <col min="10259" max="10259" width="2.625" style="7" customWidth="1"/>
    <col min="10260" max="10504" width="9" style="7"/>
    <col min="10505" max="10505" width="2.625" style="7" customWidth="1"/>
    <col min="10506" max="10507" width="15.625" style="7" customWidth="1"/>
    <col min="10508" max="10508" width="36" style="7" customWidth="1"/>
    <col min="10509" max="10509" width="8.5" style="7" customWidth="1"/>
    <col min="10510" max="10510" width="0" style="7" hidden="1" customWidth="1"/>
    <col min="10511" max="10514" width="61.125" style="7" customWidth="1"/>
    <col min="10515" max="10515" width="2.625" style="7" customWidth="1"/>
    <col min="10516" max="10760" width="9" style="7"/>
    <col min="10761" max="10761" width="2.625" style="7" customWidth="1"/>
    <col min="10762" max="10763" width="15.625" style="7" customWidth="1"/>
    <col min="10764" max="10764" width="36" style="7" customWidth="1"/>
    <col min="10765" max="10765" width="8.5" style="7" customWidth="1"/>
    <col min="10766" max="10766" width="0" style="7" hidden="1" customWidth="1"/>
    <col min="10767" max="10770" width="61.125" style="7" customWidth="1"/>
    <col min="10771" max="10771" width="2.625" style="7" customWidth="1"/>
    <col min="10772" max="11016" width="9" style="7"/>
    <col min="11017" max="11017" width="2.625" style="7" customWidth="1"/>
    <col min="11018" max="11019" width="15.625" style="7" customWidth="1"/>
    <col min="11020" max="11020" width="36" style="7" customWidth="1"/>
    <col min="11021" max="11021" width="8.5" style="7" customWidth="1"/>
    <col min="11022" max="11022" width="0" style="7" hidden="1" customWidth="1"/>
    <col min="11023" max="11026" width="61.125" style="7" customWidth="1"/>
    <col min="11027" max="11027" width="2.625" style="7" customWidth="1"/>
    <col min="11028" max="11272" width="9" style="7"/>
    <col min="11273" max="11273" width="2.625" style="7" customWidth="1"/>
    <col min="11274" max="11275" width="15.625" style="7" customWidth="1"/>
    <col min="11276" max="11276" width="36" style="7" customWidth="1"/>
    <col min="11277" max="11277" width="8.5" style="7" customWidth="1"/>
    <col min="11278" max="11278" width="0" style="7" hidden="1" customWidth="1"/>
    <col min="11279" max="11282" width="61.125" style="7" customWidth="1"/>
    <col min="11283" max="11283" width="2.625" style="7" customWidth="1"/>
    <col min="11284" max="11528" width="9" style="7"/>
    <col min="11529" max="11529" width="2.625" style="7" customWidth="1"/>
    <col min="11530" max="11531" width="15.625" style="7" customWidth="1"/>
    <col min="11532" max="11532" width="36" style="7" customWidth="1"/>
    <col min="11533" max="11533" width="8.5" style="7" customWidth="1"/>
    <col min="11534" max="11534" width="0" style="7" hidden="1" customWidth="1"/>
    <col min="11535" max="11538" width="61.125" style="7" customWidth="1"/>
    <col min="11539" max="11539" width="2.625" style="7" customWidth="1"/>
    <col min="11540" max="11784" width="9" style="7"/>
    <col min="11785" max="11785" width="2.625" style="7" customWidth="1"/>
    <col min="11786" max="11787" width="15.625" style="7" customWidth="1"/>
    <col min="11788" max="11788" width="36" style="7" customWidth="1"/>
    <col min="11789" max="11789" width="8.5" style="7" customWidth="1"/>
    <col min="11790" max="11790" width="0" style="7" hidden="1" customWidth="1"/>
    <col min="11791" max="11794" width="61.125" style="7" customWidth="1"/>
    <col min="11795" max="11795" width="2.625" style="7" customWidth="1"/>
    <col min="11796" max="12040" width="9" style="7"/>
    <col min="12041" max="12041" width="2.625" style="7" customWidth="1"/>
    <col min="12042" max="12043" width="15.625" style="7" customWidth="1"/>
    <col min="12044" max="12044" width="36" style="7" customWidth="1"/>
    <col min="12045" max="12045" width="8.5" style="7" customWidth="1"/>
    <col min="12046" max="12046" width="0" style="7" hidden="1" customWidth="1"/>
    <col min="12047" max="12050" width="61.125" style="7" customWidth="1"/>
    <col min="12051" max="12051" width="2.625" style="7" customWidth="1"/>
    <col min="12052" max="12296" width="9" style="7"/>
    <col min="12297" max="12297" width="2.625" style="7" customWidth="1"/>
    <col min="12298" max="12299" width="15.625" style="7" customWidth="1"/>
    <col min="12300" max="12300" width="36" style="7" customWidth="1"/>
    <col min="12301" max="12301" width="8.5" style="7" customWidth="1"/>
    <col min="12302" max="12302" width="0" style="7" hidden="1" customWidth="1"/>
    <col min="12303" max="12306" width="61.125" style="7" customWidth="1"/>
    <col min="12307" max="12307" width="2.625" style="7" customWidth="1"/>
    <col min="12308" max="12552" width="9" style="7"/>
    <col min="12553" max="12553" width="2.625" style="7" customWidth="1"/>
    <col min="12554" max="12555" width="15.625" style="7" customWidth="1"/>
    <col min="12556" max="12556" width="36" style="7" customWidth="1"/>
    <col min="12557" max="12557" width="8.5" style="7" customWidth="1"/>
    <col min="12558" max="12558" width="0" style="7" hidden="1" customWidth="1"/>
    <col min="12559" max="12562" width="61.125" style="7" customWidth="1"/>
    <col min="12563" max="12563" width="2.625" style="7" customWidth="1"/>
    <col min="12564" max="12808" width="9" style="7"/>
    <col min="12809" max="12809" width="2.625" style="7" customWidth="1"/>
    <col min="12810" max="12811" width="15.625" style="7" customWidth="1"/>
    <col min="12812" max="12812" width="36" style="7" customWidth="1"/>
    <col min="12813" max="12813" width="8.5" style="7" customWidth="1"/>
    <col min="12814" max="12814" width="0" style="7" hidden="1" customWidth="1"/>
    <col min="12815" max="12818" width="61.125" style="7" customWidth="1"/>
    <col min="12819" max="12819" width="2.625" style="7" customWidth="1"/>
    <col min="12820" max="13064" width="9" style="7"/>
    <col min="13065" max="13065" width="2.625" style="7" customWidth="1"/>
    <col min="13066" max="13067" width="15.625" style="7" customWidth="1"/>
    <col min="13068" max="13068" width="36" style="7" customWidth="1"/>
    <col min="13069" max="13069" width="8.5" style="7" customWidth="1"/>
    <col min="13070" max="13070" width="0" style="7" hidden="1" customWidth="1"/>
    <col min="13071" max="13074" width="61.125" style="7" customWidth="1"/>
    <col min="13075" max="13075" width="2.625" style="7" customWidth="1"/>
    <col min="13076" max="13320" width="9" style="7"/>
    <col min="13321" max="13321" width="2.625" style="7" customWidth="1"/>
    <col min="13322" max="13323" width="15.625" style="7" customWidth="1"/>
    <col min="13324" max="13324" width="36" style="7" customWidth="1"/>
    <col min="13325" max="13325" width="8.5" style="7" customWidth="1"/>
    <col min="13326" max="13326" width="0" style="7" hidden="1" customWidth="1"/>
    <col min="13327" max="13330" width="61.125" style="7" customWidth="1"/>
    <col min="13331" max="13331" width="2.625" style="7" customWidth="1"/>
    <col min="13332" max="13576" width="9" style="7"/>
    <col min="13577" max="13577" width="2.625" style="7" customWidth="1"/>
    <col min="13578" max="13579" width="15.625" style="7" customWidth="1"/>
    <col min="13580" max="13580" width="36" style="7" customWidth="1"/>
    <col min="13581" max="13581" width="8.5" style="7" customWidth="1"/>
    <col min="13582" max="13582" width="0" style="7" hidden="1" customWidth="1"/>
    <col min="13583" max="13586" width="61.125" style="7" customWidth="1"/>
    <col min="13587" max="13587" width="2.625" style="7" customWidth="1"/>
    <col min="13588" max="13832" width="9" style="7"/>
    <col min="13833" max="13833" width="2.625" style="7" customWidth="1"/>
    <col min="13834" max="13835" width="15.625" style="7" customWidth="1"/>
    <col min="13836" max="13836" width="36" style="7" customWidth="1"/>
    <col min="13837" max="13837" width="8.5" style="7" customWidth="1"/>
    <col min="13838" max="13838" width="0" style="7" hidden="1" customWidth="1"/>
    <col min="13839" max="13842" width="61.125" style="7" customWidth="1"/>
    <col min="13843" max="13843" width="2.625" style="7" customWidth="1"/>
    <col min="13844" max="14088" width="9" style="7"/>
    <col min="14089" max="14089" width="2.625" style="7" customWidth="1"/>
    <col min="14090" max="14091" width="15.625" style="7" customWidth="1"/>
    <col min="14092" max="14092" width="36" style="7" customWidth="1"/>
    <col min="14093" max="14093" width="8.5" style="7" customWidth="1"/>
    <col min="14094" max="14094" width="0" style="7" hidden="1" customWidth="1"/>
    <col min="14095" max="14098" width="61.125" style="7" customWidth="1"/>
    <col min="14099" max="14099" width="2.625" style="7" customWidth="1"/>
    <col min="14100" max="14344" width="9" style="7"/>
    <col min="14345" max="14345" width="2.625" style="7" customWidth="1"/>
    <col min="14346" max="14347" width="15.625" style="7" customWidth="1"/>
    <col min="14348" max="14348" width="36" style="7" customWidth="1"/>
    <col min="14349" max="14349" width="8.5" style="7" customWidth="1"/>
    <col min="14350" max="14350" width="0" style="7" hidden="1" customWidth="1"/>
    <col min="14351" max="14354" width="61.125" style="7" customWidth="1"/>
    <col min="14355" max="14355" width="2.625" style="7" customWidth="1"/>
    <col min="14356" max="14600" width="9" style="7"/>
    <col min="14601" max="14601" width="2.625" style="7" customWidth="1"/>
    <col min="14602" max="14603" width="15.625" style="7" customWidth="1"/>
    <col min="14604" max="14604" width="36" style="7" customWidth="1"/>
    <col min="14605" max="14605" width="8.5" style="7" customWidth="1"/>
    <col min="14606" max="14606" width="0" style="7" hidden="1" customWidth="1"/>
    <col min="14607" max="14610" width="61.125" style="7" customWidth="1"/>
    <col min="14611" max="14611" width="2.625" style="7" customWidth="1"/>
    <col min="14612" max="14856" width="9" style="7"/>
    <col min="14857" max="14857" width="2.625" style="7" customWidth="1"/>
    <col min="14858" max="14859" width="15.625" style="7" customWidth="1"/>
    <col min="14860" max="14860" width="36" style="7" customWidth="1"/>
    <col min="14861" max="14861" width="8.5" style="7" customWidth="1"/>
    <col min="14862" max="14862" width="0" style="7" hidden="1" customWidth="1"/>
    <col min="14863" max="14866" width="61.125" style="7" customWidth="1"/>
    <col min="14867" max="14867" width="2.625" style="7" customWidth="1"/>
    <col min="14868" max="15112" width="9" style="7"/>
    <col min="15113" max="15113" width="2.625" style="7" customWidth="1"/>
    <col min="15114" max="15115" width="15.625" style="7" customWidth="1"/>
    <col min="15116" max="15116" width="36" style="7" customWidth="1"/>
    <col min="15117" max="15117" width="8.5" style="7" customWidth="1"/>
    <col min="15118" max="15118" width="0" style="7" hidden="1" customWidth="1"/>
    <col min="15119" max="15122" width="61.125" style="7" customWidth="1"/>
    <col min="15123" max="15123" width="2.625" style="7" customWidth="1"/>
    <col min="15124" max="15368" width="9" style="7"/>
    <col min="15369" max="15369" width="2.625" style="7" customWidth="1"/>
    <col min="15370" max="15371" width="15.625" style="7" customWidth="1"/>
    <col min="15372" max="15372" width="36" style="7" customWidth="1"/>
    <col min="15373" max="15373" width="8.5" style="7" customWidth="1"/>
    <col min="15374" max="15374" width="0" style="7" hidden="1" customWidth="1"/>
    <col min="15375" max="15378" width="61.125" style="7" customWidth="1"/>
    <col min="15379" max="15379" width="2.625" style="7" customWidth="1"/>
    <col min="15380" max="15624" width="9" style="7"/>
    <col min="15625" max="15625" width="2.625" style="7" customWidth="1"/>
    <col min="15626" max="15627" width="15.625" style="7" customWidth="1"/>
    <col min="15628" max="15628" width="36" style="7" customWidth="1"/>
    <col min="15629" max="15629" width="8.5" style="7" customWidth="1"/>
    <col min="15630" max="15630" width="0" style="7" hidden="1" customWidth="1"/>
    <col min="15631" max="15634" width="61.125" style="7" customWidth="1"/>
    <col min="15635" max="15635" width="2.625" style="7" customWidth="1"/>
    <col min="15636" max="15880" width="9" style="7"/>
    <col min="15881" max="15881" width="2.625" style="7" customWidth="1"/>
    <col min="15882" max="15883" width="15.625" style="7" customWidth="1"/>
    <col min="15884" max="15884" width="36" style="7" customWidth="1"/>
    <col min="15885" max="15885" width="8.5" style="7" customWidth="1"/>
    <col min="15886" max="15886" width="0" style="7" hidden="1" customWidth="1"/>
    <col min="15887" max="15890" width="61.125" style="7" customWidth="1"/>
    <col min="15891" max="15891" width="2.625" style="7" customWidth="1"/>
    <col min="15892" max="16136" width="9" style="7"/>
    <col min="16137" max="16137" width="2.625" style="7" customWidth="1"/>
    <col min="16138" max="16139" width="15.625" style="7" customWidth="1"/>
    <col min="16140" max="16140" width="36" style="7" customWidth="1"/>
    <col min="16141" max="16141" width="8.5" style="7" customWidth="1"/>
    <col min="16142" max="16142" width="0" style="7" hidden="1" customWidth="1"/>
    <col min="16143" max="16146" width="61.125" style="7" customWidth="1"/>
    <col min="16147" max="16147" width="2.625" style="7" customWidth="1"/>
    <col min="16148" max="16377" width="9" style="7"/>
    <col min="16378" max="16384" width="9" style="7" customWidth="1"/>
  </cols>
  <sheetData>
    <row r="1" spans="1:27" ht="16.5">
      <c r="A1" s="206"/>
      <c r="B1" s="206"/>
      <c r="C1" s="206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1"/>
      <c r="Q1" s="1"/>
      <c r="R1" s="1"/>
      <c r="S1" s="3"/>
      <c r="T1" s="1"/>
      <c r="U1" s="1"/>
      <c r="V1" s="1"/>
      <c r="W1" s="1"/>
    </row>
    <row r="2" spans="1:27" s="209" customFormat="1" ht="18" customHeight="1">
      <c r="A2" s="97" t="s">
        <v>753</v>
      </c>
      <c r="B2" s="97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S2" s="121"/>
      <c r="T2" s="121"/>
      <c r="U2" s="121"/>
    </row>
    <row r="3" spans="1:27" ht="6" customHeight="1" thickBot="1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</row>
    <row r="4" spans="1:27" s="208" customFormat="1" ht="16.5" customHeight="1">
      <c r="A4" s="324" t="s">
        <v>50</v>
      </c>
      <c r="B4" s="321" t="s">
        <v>90</v>
      </c>
      <c r="C4" s="322"/>
      <c r="D4" s="322"/>
      <c r="E4" s="322"/>
      <c r="F4" s="322"/>
      <c r="G4" s="323"/>
      <c r="H4" s="322" t="s">
        <v>752</v>
      </c>
      <c r="I4" s="322"/>
      <c r="J4" s="322"/>
      <c r="K4" s="322"/>
      <c r="L4" s="322"/>
      <c r="M4" s="323"/>
      <c r="N4" s="321" t="s">
        <v>91</v>
      </c>
      <c r="O4" s="322"/>
      <c r="P4" s="322"/>
      <c r="Q4" s="322"/>
      <c r="R4" s="322"/>
      <c r="S4" s="322"/>
      <c r="T4" s="322"/>
      <c r="U4" s="322"/>
      <c r="V4" s="322"/>
      <c r="W4" s="322"/>
      <c r="X4" s="322"/>
      <c r="Y4" s="322"/>
      <c r="Z4" s="322"/>
      <c r="AA4" s="323"/>
    </row>
    <row r="5" spans="1:27" s="208" customFormat="1" ht="16.5" customHeight="1" thickBot="1">
      <c r="A5" s="325"/>
      <c r="B5" s="70" t="s">
        <v>92</v>
      </c>
      <c r="C5" s="70" t="s">
        <v>93</v>
      </c>
      <c r="D5" s="70" t="s">
        <v>94</v>
      </c>
      <c r="E5" s="70" t="s">
        <v>419</v>
      </c>
      <c r="F5" s="70" t="s">
        <v>95</v>
      </c>
      <c r="G5" s="70" t="s">
        <v>96</v>
      </c>
      <c r="H5" s="70" t="s">
        <v>97</v>
      </c>
      <c r="I5" s="70" t="s">
        <v>98</v>
      </c>
      <c r="J5" s="70" t="s">
        <v>99</v>
      </c>
      <c r="K5" s="70" t="s">
        <v>100</v>
      </c>
      <c r="L5" s="70" t="s">
        <v>101</v>
      </c>
      <c r="M5" s="70" t="s">
        <v>102</v>
      </c>
      <c r="N5" s="70" t="s">
        <v>103</v>
      </c>
      <c r="O5" s="70" t="s">
        <v>104</v>
      </c>
      <c r="P5" s="70" t="s">
        <v>105</v>
      </c>
      <c r="Q5" s="117" t="s">
        <v>418</v>
      </c>
      <c r="R5" s="70" t="s">
        <v>106</v>
      </c>
      <c r="S5" s="70" t="s">
        <v>107</v>
      </c>
      <c r="T5" s="70" t="s">
        <v>108</v>
      </c>
      <c r="U5" s="70" t="s">
        <v>109</v>
      </c>
      <c r="V5" s="70" t="s">
        <v>110</v>
      </c>
      <c r="W5" s="70" t="s">
        <v>111</v>
      </c>
      <c r="X5" s="70" t="s">
        <v>112</v>
      </c>
      <c r="Y5" s="70" t="s">
        <v>113</v>
      </c>
      <c r="Z5" s="70" t="s">
        <v>114</v>
      </c>
      <c r="AA5" s="70" t="s">
        <v>115</v>
      </c>
    </row>
    <row r="6" spans="1:27" s="205" customFormat="1" ht="16.5" customHeight="1">
      <c r="A6" s="186">
        <v>1</v>
      </c>
      <c r="B6" s="186" t="s">
        <v>754</v>
      </c>
      <c r="C6" s="186" t="s">
        <v>759</v>
      </c>
      <c r="D6" s="198" t="s">
        <v>779</v>
      </c>
      <c r="E6" s="199" t="s">
        <v>799</v>
      </c>
      <c r="F6" s="200" t="s">
        <v>136</v>
      </c>
      <c r="G6" s="200">
        <v>5</v>
      </c>
      <c r="H6" s="300" t="s">
        <v>594</v>
      </c>
      <c r="I6" s="300" t="s">
        <v>595</v>
      </c>
      <c r="J6" s="300" t="s">
        <v>740</v>
      </c>
      <c r="K6" s="300" t="s">
        <v>117</v>
      </c>
      <c r="L6" s="300" t="s">
        <v>117</v>
      </c>
      <c r="M6" s="300" t="s">
        <v>117</v>
      </c>
      <c r="N6" s="301" t="s">
        <v>417</v>
      </c>
      <c r="O6" s="301" t="s">
        <v>408</v>
      </c>
      <c r="P6" s="301" t="s">
        <v>409</v>
      </c>
      <c r="Q6" s="301" t="s">
        <v>408</v>
      </c>
      <c r="R6" s="301" t="s">
        <v>409</v>
      </c>
      <c r="S6" s="301" t="s">
        <v>408</v>
      </c>
      <c r="T6" s="301" t="s">
        <v>420</v>
      </c>
      <c r="U6" s="301" t="s">
        <v>416</v>
      </c>
      <c r="V6" s="301" t="s">
        <v>421</v>
      </c>
      <c r="W6" s="301" t="s">
        <v>118</v>
      </c>
      <c r="X6" s="302" t="s">
        <v>119</v>
      </c>
      <c r="Y6" s="302" t="s">
        <v>119</v>
      </c>
      <c r="Z6" s="302" t="s">
        <v>119</v>
      </c>
      <c r="AA6" s="302" t="s">
        <v>119</v>
      </c>
    </row>
    <row r="7" spans="1:27" s="205" customFormat="1" ht="16.5" customHeight="1">
      <c r="A7" s="186">
        <v>2</v>
      </c>
      <c r="B7" s="186" t="s">
        <v>754</v>
      </c>
      <c r="C7" s="186" t="s">
        <v>760</v>
      </c>
      <c r="D7" s="201" t="s">
        <v>780</v>
      </c>
      <c r="E7" s="202" t="s">
        <v>800</v>
      </c>
      <c r="F7" s="200" t="s">
        <v>116</v>
      </c>
      <c r="G7" s="200">
        <v>3</v>
      </c>
      <c r="H7" s="300" t="s">
        <v>611</v>
      </c>
      <c r="I7" s="300" t="s">
        <v>121</v>
      </c>
      <c r="J7" s="300" t="s">
        <v>741</v>
      </c>
      <c r="K7" s="300" t="s">
        <v>122</v>
      </c>
      <c r="L7" s="300" t="s">
        <v>117</v>
      </c>
      <c r="M7" s="300" t="s">
        <v>117</v>
      </c>
      <c r="N7" s="301" t="s">
        <v>123</v>
      </c>
      <c r="O7" s="301" t="s">
        <v>124</v>
      </c>
      <c r="P7" s="301" t="s">
        <v>123</v>
      </c>
      <c r="Q7" s="301" t="s">
        <v>124</v>
      </c>
      <c r="R7" s="303" t="s">
        <v>123</v>
      </c>
      <c r="S7" s="301" t="s">
        <v>124</v>
      </c>
      <c r="T7" s="301" t="s">
        <v>123</v>
      </c>
      <c r="U7" s="301" t="s">
        <v>124</v>
      </c>
      <c r="V7" s="303" t="s">
        <v>125</v>
      </c>
      <c r="W7" s="303" t="s">
        <v>126</v>
      </c>
      <c r="X7" s="304" t="s">
        <v>119</v>
      </c>
      <c r="Y7" s="304" t="s">
        <v>119</v>
      </c>
      <c r="Z7" s="304" t="s">
        <v>119</v>
      </c>
      <c r="AA7" s="304" t="s">
        <v>119</v>
      </c>
    </row>
    <row r="8" spans="1:27" s="205" customFormat="1" ht="16.5" customHeight="1">
      <c r="A8" s="186">
        <v>3</v>
      </c>
      <c r="B8" s="186" t="s">
        <v>754</v>
      </c>
      <c r="C8" s="186" t="s">
        <v>761</v>
      </c>
      <c r="D8" s="201" t="s">
        <v>781</v>
      </c>
      <c r="E8" s="202" t="s">
        <v>801</v>
      </c>
      <c r="F8" s="200" t="s">
        <v>116</v>
      </c>
      <c r="G8" s="200">
        <v>3</v>
      </c>
      <c r="H8" s="300" t="s">
        <v>679</v>
      </c>
      <c r="I8" s="300" t="s">
        <v>222</v>
      </c>
      <c r="J8" s="300" t="s">
        <v>742</v>
      </c>
      <c r="K8" s="300" t="s">
        <v>122</v>
      </c>
      <c r="L8" s="300" t="s">
        <v>122</v>
      </c>
      <c r="M8" s="300" t="s">
        <v>122</v>
      </c>
      <c r="N8" s="301" t="s">
        <v>129</v>
      </c>
      <c r="O8" s="301" t="s">
        <v>130</v>
      </c>
      <c r="P8" s="301" t="s">
        <v>129</v>
      </c>
      <c r="Q8" s="301" t="s">
        <v>130</v>
      </c>
      <c r="R8" s="303" t="s">
        <v>129</v>
      </c>
      <c r="S8" s="301" t="s">
        <v>130</v>
      </c>
      <c r="T8" s="301" t="s">
        <v>129</v>
      </c>
      <c r="U8" s="301" t="s">
        <v>130</v>
      </c>
      <c r="V8" s="303" t="s">
        <v>131</v>
      </c>
      <c r="W8" s="303" t="s">
        <v>132</v>
      </c>
      <c r="X8" s="304" t="s">
        <v>119</v>
      </c>
      <c r="Y8" s="304" t="s">
        <v>119</v>
      </c>
      <c r="Z8" s="304" t="s">
        <v>119</v>
      </c>
      <c r="AA8" s="304" t="s">
        <v>119</v>
      </c>
    </row>
    <row r="9" spans="1:27" s="205" customFormat="1" ht="16.5" customHeight="1">
      <c r="A9" s="186">
        <v>4</v>
      </c>
      <c r="B9" s="186" t="s">
        <v>754</v>
      </c>
      <c r="C9" s="186" t="s">
        <v>762</v>
      </c>
      <c r="D9" s="201" t="s">
        <v>782</v>
      </c>
      <c r="E9" s="202" t="s">
        <v>802</v>
      </c>
      <c r="F9" s="200" t="s">
        <v>136</v>
      </c>
      <c r="G9" s="200">
        <v>5</v>
      </c>
      <c r="H9" s="300" t="s">
        <v>588</v>
      </c>
      <c r="I9" s="300" t="s">
        <v>743</v>
      </c>
      <c r="J9" s="300" t="s">
        <v>744</v>
      </c>
      <c r="K9" s="300" t="s">
        <v>122</v>
      </c>
      <c r="L9" s="300" t="s">
        <v>122</v>
      </c>
      <c r="M9" s="300" t="s">
        <v>122</v>
      </c>
      <c r="N9" s="301" t="s">
        <v>410</v>
      </c>
      <c r="O9" s="301" t="s">
        <v>411</v>
      </c>
      <c r="P9" s="301" t="s">
        <v>410</v>
      </c>
      <c r="Q9" s="301" t="s">
        <v>411</v>
      </c>
      <c r="R9" s="303" t="s">
        <v>410</v>
      </c>
      <c r="S9" s="301" t="s">
        <v>411</v>
      </c>
      <c r="T9" s="301" t="s">
        <v>410</v>
      </c>
      <c r="U9" s="301" t="s">
        <v>411</v>
      </c>
      <c r="V9" s="303" t="s">
        <v>134</v>
      </c>
      <c r="W9" s="303"/>
      <c r="X9" s="304" t="s">
        <v>119</v>
      </c>
      <c r="Y9" s="304" t="s">
        <v>119</v>
      </c>
      <c r="Z9" s="304" t="s">
        <v>119</v>
      </c>
      <c r="AA9" s="304" t="s">
        <v>119</v>
      </c>
    </row>
    <row r="10" spans="1:27" s="205" customFormat="1" ht="16.5" customHeight="1">
      <c r="A10" s="186">
        <v>5</v>
      </c>
      <c r="B10" s="186" t="s">
        <v>754</v>
      </c>
      <c r="C10" s="186" t="s">
        <v>763</v>
      </c>
      <c r="D10" s="201" t="s">
        <v>783</v>
      </c>
      <c r="E10" s="202" t="s">
        <v>803</v>
      </c>
      <c r="F10" s="203" t="s">
        <v>116</v>
      </c>
      <c r="G10" s="203">
        <v>3</v>
      </c>
      <c r="H10" s="300" t="s">
        <v>606</v>
      </c>
      <c r="I10" s="300" t="s">
        <v>137</v>
      </c>
      <c r="J10" s="300" t="s">
        <v>745</v>
      </c>
      <c r="K10" s="300" t="s">
        <v>122</v>
      </c>
      <c r="L10" s="300" t="s">
        <v>122</v>
      </c>
      <c r="M10" s="300" t="s">
        <v>122</v>
      </c>
      <c r="N10" s="301" t="s">
        <v>138</v>
      </c>
      <c r="O10" s="301" t="s">
        <v>139</v>
      </c>
      <c r="P10" s="301" t="s">
        <v>138</v>
      </c>
      <c r="Q10" s="301" t="s">
        <v>139</v>
      </c>
      <c r="R10" s="303" t="s">
        <v>138</v>
      </c>
      <c r="S10" s="301" t="s">
        <v>139</v>
      </c>
      <c r="T10" s="301" t="s">
        <v>138</v>
      </c>
      <c r="U10" s="301" t="s">
        <v>139</v>
      </c>
      <c r="V10" s="303" t="s">
        <v>140</v>
      </c>
      <c r="W10" s="303" t="s">
        <v>141</v>
      </c>
      <c r="X10" s="304" t="s">
        <v>119</v>
      </c>
      <c r="Y10" s="304" t="s">
        <v>119</v>
      </c>
      <c r="Z10" s="304" t="s">
        <v>119</v>
      </c>
      <c r="AA10" s="304" t="s">
        <v>119</v>
      </c>
    </row>
    <row r="11" spans="1:27" s="205" customFormat="1" ht="16.5" customHeight="1">
      <c r="A11" s="186">
        <v>6</v>
      </c>
      <c r="B11" s="186" t="s">
        <v>755</v>
      </c>
      <c r="C11" s="186" t="s">
        <v>764</v>
      </c>
      <c r="D11" s="201" t="s">
        <v>784</v>
      </c>
      <c r="E11" s="202" t="s">
        <v>804</v>
      </c>
      <c r="F11" s="200" t="s">
        <v>116</v>
      </c>
      <c r="G11" s="200">
        <v>3</v>
      </c>
      <c r="H11" s="300" t="s">
        <v>739</v>
      </c>
      <c r="I11" s="300" t="s">
        <v>664</v>
      </c>
      <c r="J11" s="300" t="s">
        <v>746</v>
      </c>
      <c r="K11" s="300" t="s">
        <v>122</v>
      </c>
      <c r="L11" s="300" t="s">
        <v>455</v>
      </c>
      <c r="M11" s="300" t="s">
        <v>122</v>
      </c>
      <c r="N11" s="301" t="s">
        <v>143</v>
      </c>
      <c r="O11" s="301" t="s">
        <v>144</v>
      </c>
      <c r="P11" s="301" t="s">
        <v>143</v>
      </c>
      <c r="Q11" s="301" t="s">
        <v>144</v>
      </c>
      <c r="R11" s="303" t="s">
        <v>143</v>
      </c>
      <c r="S11" s="301" t="s">
        <v>144</v>
      </c>
      <c r="T11" s="301" t="s">
        <v>143</v>
      </c>
      <c r="U11" s="301" t="s">
        <v>144</v>
      </c>
      <c r="V11" s="303" t="s">
        <v>145</v>
      </c>
      <c r="W11" s="303"/>
      <c r="X11" s="304" t="s">
        <v>119</v>
      </c>
      <c r="Y11" s="304" t="s">
        <v>119</v>
      </c>
      <c r="Z11" s="304" t="s">
        <v>119</v>
      </c>
      <c r="AA11" s="304" t="s">
        <v>119</v>
      </c>
    </row>
    <row r="12" spans="1:27" s="205" customFormat="1" ht="16.5" customHeight="1">
      <c r="A12" s="186">
        <v>7</v>
      </c>
      <c r="B12" s="186" t="s">
        <v>755</v>
      </c>
      <c r="C12" s="186" t="s">
        <v>765</v>
      </c>
      <c r="D12" s="201" t="s">
        <v>785</v>
      </c>
      <c r="E12" s="204" t="s">
        <v>805</v>
      </c>
      <c r="F12" s="203" t="s">
        <v>116</v>
      </c>
      <c r="G12" s="200">
        <v>3</v>
      </c>
      <c r="H12" s="300" t="s">
        <v>681</v>
      </c>
      <c r="I12" s="300" t="s">
        <v>682</v>
      </c>
      <c r="J12" s="300" t="s">
        <v>747</v>
      </c>
      <c r="K12" s="300" t="s">
        <v>455</v>
      </c>
      <c r="L12" s="300" t="s">
        <v>455</v>
      </c>
      <c r="M12" s="300" t="s">
        <v>455</v>
      </c>
      <c r="N12" s="301" t="s">
        <v>147</v>
      </c>
      <c r="O12" s="301" t="s">
        <v>148</v>
      </c>
      <c r="P12" s="301" t="s">
        <v>147</v>
      </c>
      <c r="Q12" s="301" t="s">
        <v>148</v>
      </c>
      <c r="R12" s="303" t="s">
        <v>147</v>
      </c>
      <c r="S12" s="301" t="s">
        <v>148</v>
      </c>
      <c r="T12" s="301" t="s">
        <v>147</v>
      </c>
      <c r="U12" s="301" t="s">
        <v>148</v>
      </c>
      <c r="V12" s="303" t="s">
        <v>149</v>
      </c>
      <c r="W12" s="303" t="s">
        <v>150</v>
      </c>
      <c r="X12" s="304" t="s">
        <v>119</v>
      </c>
      <c r="Y12" s="304" t="s">
        <v>119</v>
      </c>
      <c r="Z12" s="304" t="s">
        <v>119</v>
      </c>
      <c r="AA12" s="304" t="s">
        <v>119</v>
      </c>
    </row>
    <row r="13" spans="1:27" s="205" customFormat="1" ht="16.5" customHeight="1">
      <c r="A13" s="186">
        <v>8</v>
      </c>
      <c r="B13" s="186" t="s">
        <v>754</v>
      </c>
      <c r="C13" s="186" t="s">
        <v>766</v>
      </c>
      <c r="D13" s="201" t="s">
        <v>786</v>
      </c>
      <c r="E13" s="202" t="s">
        <v>806</v>
      </c>
      <c r="F13" s="203" t="s">
        <v>136</v>
      </c>
      <c r="G13" s="200">
        <v>5</v>
      </c>
      <c r="H13" s="300" t="s">
        <v>638</v>
      </c>
      <c r="I13" s="300" t="s">
        <v>639</v>
      </c>
      <c r="J13" s="300" t="s">
        <v>748</v>
      </c>
      <c r="K13" s="300" t="s">
        <v>117</v>
      </c>
      <c r="L13" s="300" t="s">
        <v>117</v>
      </c>
      <c r="M13" s="300" t="s">
        <v>117</v>
      </c>
      <c r="N13" s="301" t="s">
        <v>152</v>
      </c>
      <c r="O13" s="301" t="s">
        <v>412</v>
      </c>
      <c r="P13" s="301" t="s">
        <v>152</v>
      </c>
      <c r="Q13" s="301" t="s">
        <v>412</v>
      </c>
      <c r="R13" s="303" t="s">
        <v>152</v>
      </c>
      <c r="S13" s="301" t="s">
        <v>412</v>
      </c>
      <c r="T13" s="301" t="s">
        <v>152</v>
      </c>
      <c r="U13" s="301" t="s">
        <v>412</v>
      </c>
      <c r="V13" s="303" t="s">
        <v>153</v>
      </c>
      <c r="W13" s="303" t="s">
        <v>154</v>
      </c>
      <c r="X13" s="304" t="s">
        <v>119</v>
      </c>
      <c r="Y13" s="304" t="s">
        <v>119</v>
      </c>
      <c r="Z13" s="304" t="s">
        <v>119</v>
      </c>
      <c r="AA13" s="304" t="s">
        <v>119</v>
      </c>
    </row>
    <row r="14" spans="1:27" s="205" customFormat="1" ht="16.5" customHeight="1">
      <c r="A14" s="186">
        <v>9</v>
      </c>
      <c r="B14" s="186" t="s">
        <v>754</v>
      </c>
      <c r="C14" s="186" t="s">
        <v>767</v>
      </c>
      <c r="D14" s="201" t="s">
        <v>787</v>
      </c>
      <c r="E14" s="202" t="s">
        <v>807</v>
      </c>
      <c r="F14" s="200" t="s">
        <v>136</v>
      </c>
      <c r="G14" s="203">
        <v>5</v>
      </c>
      <c r="H14" s="300" t="s">
        <v>687</v>
      </c>
      <c r="I14" s="300" t="s">
        <v>192</v>
      </c>
      <c r="J14" s="300" t="s">
        <v>749</v>
      </c>
      <c r="K14" s="300" t="s">
        <v>117</v>
      </c>
      <c r="L14" s="300" t="s">
        <v>122</v>
      </c>
      <c r="M14" s="300" t="s">
        <v>117</v>
      </c>
      <c r="N14" s="301" t="s">
        <v>156</v>
      </c>
      <c r="O14" s="301" t="s">
        <v>157</v>
      </c>
      <c r="P14" s="301" t="s">
        <v>156</v>
      </c>
      <c r="Q14" s="301" t="s">
        <v>157</v>
      </c>
      <c r="R14" s="303" t="s">
        <v>156</v>
      </c>
      <c r="S14" s="301" t="s">
        <v>157</v>
      </c>
      <c r="T14" s="301" t="s">
        <v>156</v>
      </c>
      <c r="U14" s="301" t="s">
        <v>157</v>
      </c>
      <c r="V14" s="303" t="s">
        <v>158</v>
      </c>
      <c r="W14" s="303" t="s">
        <v>159</v>
      </c>
      <c r="X14" s="304" t="s">
        <v>119</v>
      </c>
      <c r="Y14" s="304" t="s">
        <v>119</v>
      </c>
      <c r="Z14" s="304" t="s">
        <v>119</v>
      </c>
      <c r="AA14" s="304" t="s">
        <v>119</v>
      </c>
    </row>
    <row r="15" spans="1:27" s="205" customFormat="1" ht="16.5" customHeight="1">
      <c r="A15" s="186">
        <v>10</v>
      </c>
      <c r="B15" s="186" t="s">
        <v>754</v>
      </c>
      <c r="C15" s="186" t="s">
        <v>768</v>
      </c>
      <c r="D15" s="201" t="s">
        <v>788</v>
      </c>
      <c r="E15" s="202" t="s">
        <v>808</v>
      </c>
      <c r="F15" s="203" t="s">
        <v>136</v>
      </c>
      <c r="G15" s="203">
        <v>5</v>
      </c>
      <c r="H15" s="300" t="s">
        <v>679</v>
      </c>
      <c r="I15" s="300" t="s">
        <v>222</v>
      </c>
      <c r="J15" s="300" t="s">
        <v>742</v>
      </c>
      <c r="K15" s="300" t="s">
        <v>122</v>
      </c>
      <c r="L15" s="300" t="s">
        <v>122</v>
      </c>
      <c r="M15" s="300" t="s">
        <v>122</v>
      </c>
      <c r="N15" s="301" t="s">
        <v>161</v>
      </c>
      <c r="O15" s="301" t="s">
        <v>162</v>
      </c>
      <c r="P15" s="301" t="s">
        <v>161</v>
      </c>
      <c r="Q15" s="301" t="s">
        <v>162</v>
      </c>
      <c r="R15" s="303" t="s">
        <v>161</v>
      </c>
      <c r="S15" s="301" t="s">
        <v>162</v>
      </c>
      <c r="T15" s="301" t="s">
        <v>161</v>
      </c>
      <c r="U15" s="301" t="s">
        <v>162</v>
      </c>
      <c r="V15" s="303" t="s">
        <v>163</v>
      </c>
      <c r="W15" s="303"/>
      <c r="X15" s="304" t="s">
        <v>119</v>
      </c>
      <c r="Y15" s="304" t="s">
        <v>119</v>
      </c>
      <c r="Z15" s="304" t="s">
        <v>119</v>
      </c>
      <c r="AA15" s="304" t="s">
        <v>119</v>
      </c>
    </row>
    <row r="16" spans="1:27" s="205" customFormat="1" ht="16.5" customHeight="1">
      <c r="A16" s="186">
        <v>11</v>
      </c>
      <c r="B16" s="186" t="s">
        <v>754</v>
      </c>
      <c r="C16" s="186" t="s">
        <v>769</v>
      </c>
      <c r="D16" s="201" t="s">
        <v>789</v>
      </c>
      <c r="E16" s="202" t="s">
        <v>809</v>
      </c>
      <c r="F16" s="203" t="s">
        <v>136</v>
      </c>
      <c r="G16" s="203">
        <v>5</v>
      </c>
      <c r="H16" s="300" t="s">
        <v>585</v>
      </c>
      <c r="I16" s="300" t="s">
        <v>586</v>
      </c>
      <c r="J16" s="300" t="s">
        <v>750</v>
      </c>
      <c r="K16" s="300" t="s">
        <v>117</v>
      </c>
      <c r="L16" s="300" t="s">
        <v>117</v>
      </c>
      <c r="M16" s="300" t="s">
        <v>117</v>
      </c>
      <c r="N16" s="301" t="s">
        <v>165</v>
      </c>
      <c r="O16" s="301" t="s">
        <v>166</v>
      </c>
      <c r="P16" s="301" t="s">
        <v>165</v>
      </c>
      <c r="Q16" s="301" t="s">
        <v>166</v>
      </c>
      <c r="R16" s="303" t="s">
        <v>165</v>
      </c>
      <c r="S16" s="301" t="s">
        <v>166</v>
      </c>
      <c r="T16" s="301" t="s">
        <v>165</v>
      </c>
      <c r="U16" s="301" t="s">
        <v>166</v>
      </c>
      <c r="V16" s="303" t="s">
        <v>167</v>
      </c>
      <c r="W16" s="303" t="s">
        <v>168</v>
      </c>
      <c r="X16" s="304" t="s">
        <v>119</v>
      </c>
      <c r="Y16" s="304" t="s">
        <v>119</v>
      </c>
      <c r="Z16" s="304" t="s">
        <v>119</v>
      </c>
      <c r="AA16" s="304" t="s">
        <v>119</v>
      </c>
    </row>
    <row r="17" spans="1:27" s="205" customFormat="1" ht="16.5" customHeight="1">
      <c r="A17" s="186">
        <v>12</v>
      </c>
      <c r="B17" s="186" t="s">
        <v>754</v>
      </c>
      <c r="C17" s="186" t="s">
        <v>770</v>
      </c>
      <c r="D17" s="201" t="s">
        <v>790</v>
      </c>
      <c r="E17" s="202" t="s">
        <v>810</v>
      </c>
      <c r="F17" s="203" t="s">
        <v>136</v>
      </c>
      <c r="G17" s="203">
        <v>5</v>
      </c>
      <c r="H17" s="300" t="s">
        <v>585</v>
      </c>
      <c r="I17" s="300" t="s">
        <v>586</v>
      </c>
      <c r="J17" s="300" t="s">
        <v>750</v>
      </c>
      <c r="K17" s="300" t="s">
        <v>117</v>
      </c>
      <c r="L17" s="300" t="s">
        <v>117</v>
      </c>
      <c r="M17" s="300" t="s">
        <v>117</v>
      </c>
      <c r="N17" s="301" t="s">
        <v>170</v>
      </c>
      <c r="O17" s="301" t="s">
        <v>171</v>
      </c>
      <c r="P17" s="301" t="s">
        <v>170</v>
      </c>
      <c r="Q17" s="301" t="s">
        <v>171</v>
      </c>
      <c r="R17" s="303" t="s">
        <v>170</v>
      </c>
      <c r="S17" s="301" t="s">
        <v>171</v>
      </c>
      <c r="T17" s="301" t="s">
        <v>170</v>
      </c>
      <c r="U17" s="301" t="s">
        <v>171</v>
      </c>
      <c r="V17" s="303" t="s">
        <v>172</v>
      </c>
      <c r="W17" s="303" t="s">
        <v>173</v>
      </c>
      <c r="X17" s="304" t="s">
        <v>119</v>
      </c>
      <c r="Y17" s="304" t="s">
        <v>119</v>
      </c>
      <c r="Z17" s="304" t="s">
        <v>119</v>
      </c>
      <c r="AA17" s="304" t="s">
        <v>119</v>
      </c>
    </row>
    <row r="18" spans="1:27" s="205" customFormat="1" ht="16.5" customHeight="1">
      <c r="A18" s="186">
        <v>13</v>
      </c>
      <c r="B18" s="186" t="s">
        <v>756</v>
      </c>
      <c r="C18" s="186" t="s">
        <v>771</v>
      </c>
      <c r="D18" s="201" t="s">
        <v>791</v>
      </c>
      <c r="E18" s="202" t="s">
        <v>811</v>
      </c>
      <c r="F18" s="203" t="s">
        <v>136</v>
      </c>
      <c r="G18" s="203">
        <v>5</v>
      </c>
      <c r="H18" s="300" t="s">
        <v>611</v>
      </c>
      <c r="I18" s="300" t="s">
        <v>121</v>
      </c>
      <c r="J18" s="300" t="s">
        <v>741</v>
      </c>
      <c r="K18" s="300" t="s">
        <v>122</v>
      </c>
      <c r="L18" s="300" t="s">
        <v>117</v>
      </c>
      <c r="M18" s="300" t="s">
        <v>117</v>
      </c>
      <c r="N18" s="301" t="s">
        <v>175</v>
      </c>
      <c r="O18" s="301" t="s">
        <v>176</v>
      </c>
      <c r="P18" s="301" t="s">
        <v>175</v>
      </c>
      <c r="Q18" s="301" t="s">
        <v>176</v>
      </c>
      <c r="R18" s="303" t="s">
        <v>175</v>
      </c>
      <c r="S18" s="301" t="s">
        <v>176</v>
      </c>
      <c r="T18" s="301" t="s">
        <v>175</v>
      </c>
      <c r="U18" s="301" t="s">
        <v>176</v>
      </c>
      <c r="V18" s="303" t="s">
        <v>177</v>
      </c>
      <c r="W18" s="303" t="s">
        <v>178</v>
      </c>
      <c r="X18" s="304" t="s">
        <v>119</v>
      </c>
      <c r="Y18" s="304" t="s">
        <v>119</v>
      </c>
      <c r="Z18" s="304" t="s">
        <v>119</v>
      </c>
      <c r="AA18" s="304" t="s">
        <v>119</v>
      </c>
    </row>
    <row r="19" spans="1:27" s="205" customFormat="1" ht="16.5" customHeight="1">
      <c r="A19" s="186">
        <v>14</v>
      </c>
      <c r="B19" s="186" t="s">
        <v>757</v>
      </c>
      <c r="C19" s="186" t="s">
        <v>772</v>
      </c>
      <c r="D19" s="201" t="s">
        <v>792</v>
      </c>
      <c r="E19" s="202" t="s">
        <v>812</v>
      </c>
      <c r="F19" s="203" t="s">
        <v>136</v>
      </c>
      <c r="G19" s="200">
        <v>5</v>
      </c>
      <c r="H19" s="300" t="s">
        <v>611</v>
      </c>
      <c r="I19" s="300" t="s">
        <v>121</v>
      </c>
      <c r="J19" s="300" t="s">
        <v>741</v>
      </c>
      <c r="K19" s="300" t="s">
        <v>122</v>
      </c>
      <c r="L19" s="300" t="s">
        <v>117</v>
      </c>
      <c r="M19" s="300" t="s">
        <v>117</v>
      </c>
      <c r="N19" s="301" t="s">
        <v>180</v>
      </c>
      <c r="O19" s="301" t="s">
        <v>181</v>
      </c>
      <c r="P19" s="301" t="s">
        <v>180</v>
      </c>
      <c r="Q19" s="301" t="s">
        <v>181</v>
      </c>
      <c r="R19" s="303" t="s">
        <v>180</v>
      </c>
      <c r="S19" s="301" t="s">
        <v>181</v>
      </c>
      <c r="T19" s="301" t="s">
        <v>180</v>
      </c>
      <c r="U19" s="301" t="s">
        <v>181</v>
      </c>
      <c r="V19" s="303" t="s">
        <v>182</v>
      </c>
      <c r="W19" s="303" t="s">
        <v>183</v>
      </c>
      <c r="X19" s="304" t="s">
        <v>119</v>
      </c>
      <c r="Y19" s="304" t="s">
        <v>119</v>
      </c>
      <c r="Z19" s="304" t="s">
        <v>119</v>
      </c>
      <c r="AA19" s="304" t="s">
        <v>119</v>
      </c>
    </row>
    <row r="20" spans="1:27" s="205" customFormat="1" ht="16.5" customHeight="1">
      <c r="A20" s="186">
        <v>15</v>
      </c>
      <c r="B20" s="186" t="s">
        <v>754</v>
      </c>
      <c r="C20" s="186" t="s">
        <v>773</v>
      </c>
      <c r="D20" s="201" t="s">
        <v>793</v>
      </c>
      <c r="E20" s="202" t="s">
        <v>813</v>
      </c>
      <c r="F20" s="203" t="s">
        <v>136</v>
      </c>
      <c r="G20" s="200">
        <v>5</v>
      </c>
      <c r="H20" s="300" t="s">
        <v>585</v>
      </c>
      <c r="I20" s="300" t="s">
        <v>586</v>
      </c>
      <c r="J20" s="300" t="s">
        <v>750</v>
      </c>
      <c r="K20" s="300" t="s">
        <v>117</v>
      </c>
      <c r="L20" s="300" t="s">
        <v>117</v>
      </c>
      <c r="M20" s="300" t="s">
        <v>117</v>
      </c>
      <c r="N20" s="301" t="s">
        <v>185</v>
      </c>
      <c r="O20" s="301" t="s">
        <v>186</v>
      </c>
      <c r="P20" s="301" t="s">
        <v>185</v>
      </c>
      <c r="Q20" s="301" t="s">
        <v>187</v>
      </c>
      <c r="R20" s="303" t="s">
        <v>185</v>
      </c>
      <c r="S20" s="301" t="s">
        <v>188</v>
      </c>
      <c r="T20" s="301" t="s">
        <v>185</v>
      </c>
      <c r="U20" s="301" t="s">
        <v>189</v>
      </c>
      <c r="V20" s="303" t="s">
        <v>190</v>
      </c>
      <c r="W20" s="303"/>
      <c r="X20" s="304" t="s">
        <v>119</v>
      </c>
      <c r="Y20" s="304" t="s">
        <v>119</v>
      </c>
      <c r="Z20" s="304" t="s">
        <v>119</v>
      </c>
      <c r="AA20" s="304" t="s">
        <v>119</v>
      </c>
    </row>
    <row r="21" spans="1:27" s="205" customFormat="1" ht="16.5" customHeight="1">
      <c r="A21" s="186">
        <v>16</v>
      </c>
      <c r="B21" s="186" t="s">
        <v>754</v>
      </c>
      <c r="C21" s="186" t="s">
        <v>774</v>
      </c>
      <c r="D21" s="201" t="s">
        <v>794</v>
      </c>
      <c r="E21" s="202" t="s">
        <v>814</v>
      </c>
      <c r="F21" s="200" t="s">
        <v>136</v>
      </c>
      <c r="G21" s="203">
        <v>5</v>
      </c>
      <c r="H21" s="300" t="s">
        <v>687</v>
      </c>
      <c r="I21" s="300" t="s">
        <v>192</v>
      </c>
      <c r="J21" s="300" t="s">
        <v>749</v>
      </c>
      <c r="K21" s="300" t="s">
        <v>117</v>
      </c>
      <c r="L21" s="300" t="s">
        <v>122</v>
      </c>
      <c r="M21" s="300" t="s">
        <v>117</v>
      </c>
      <c r="N21" s="301" t="s">
        <v>193</v>
      </c>
      <c r="O21" s="301" t="s">
        <v>194</v>
      </c>
      <c r="P21" s="301" t="s">
        <v>193</v>
      </c>
      <c r="Q21" s="301" t="s">
        <v>194</v>
      </c>
      <c r="R21" s="303" t="s">
        <v>193</v>
      </c>
      <c r="S21" s="301" t="s">
        <v>194</v>
      </c>
      <c r="T21" s="301" t="s">
        <v>193</v>
      </c>
      <c r="U21" s="301" t="s">
        <v>194</v>
      </c>
      <c r="V21" s="303" t="s">
        <v>195</v>
      </c>
      <c r="W21" s="303"/>
      <c r="X21" s="304" t="s">
        <v>119</v>
      </c>
      <c r="Y21" s="304" t="s">
        <v>119</v>
      </c>
      <c r="Z21" s="304" t="s">
        <v>119</v>
      </c>
      <c r="AA21" s="304" t="s">
        <v>119</v>
      </c>
    </row>
    <row r="22" spans="1:27" s="205" customFormat="1" ht="16.5" customHeight="1">
      <c r="A22" s="186">
        <v>17</v>
      </c>
      <c r="B22" s="186" t="s">
        <v>754</v>
      </c>
      <c r="C22" s="186" t="s">
        <v>775</v>
      </c>
      <c r="D22" s="201" t="s">
        <v>795</v>
      </c>
      <c r="E22" s="202" t="s">
        <v>815</v>
      </c>
      <c r="F22" s="203" t="s">
        <v>136</v>
      </c>
      <c r="G22" s="200">
        <v>5</v>
      </c>
      <c r="H22" s="300" t="s">
        <v>585</v>
      </c>
      <c r="I22" s="300" t="s">
        <v>586</v>
      </c>
      <c r="J22" s="300" t="s">
        <v>750</v>
      </c>
      <c r="K22" s="300" t="s">
        <v>117</v>
      </c>
      <c r="L22" s="300" t="s">
        <v>117</v>
      </c>
      <c r="M22" s="300" t="s">
        <v>117</v>
      </c>
      <c r="N22" s="301" t="s">
        <v>197</v>
      </c>
      <c r="O22" s="301" t="s">
        <v>198</v>
      </c>
      <c r="P22" s="301" t="s">
        <v>197</v>
      </c>
      <c r="Q22" s="301" t="s">
        <v>198</v>
      </c>
      <c r="R22" s="303" t="s">
        <v>197</v>
      </c>
      <c r="S22" s="301" t="s">
        <v>198</v>
      </c>
      <c r="T22" s="301" t="s">
        <v>197</v>
      </c>
      <c r="U22" s="301" t="s">
        <v>198</v>
      </c>
      <c r="V22" s="303" t="s">
        <v>199</v>
      </c>
      <c r="W22" s="303" t="s">
        <v>200</v>
      </c>
      <c r="X22" s="304" t="s">
        <v>119</v>
      </c>
      <c r="Y22" s="304" t="s">
        <v>119</v>
      </c>
      <c r="Z22" s="304" t="s">
        <v>119</v>
      </c>
      <c r="AA22" s="304" t="s">
        <v>119</v>
      </c>
    </row>
    <row r="23" spans="1:27" s="205" customFormat="1" ht="16.5" customHeight="1">
      <c r="A23" s="186">
        <v>18</v>
      </c>
      <c r="B23" s="186" t="s">
        <v>756</v>
      </c>
      <c r="C23" s="186" t="s">
        <v>776</v>
      </c>
      <c r="D23" s="201" t="s">
        <v>796</v>
      </c>
      <c r="E23" s="202" t="s">
        <v>816</v>
      </c>
      <c r="F23" s="203" t="s">
        <v>136</v>
      </c>
      <c r="G23" s="200">
        <v>5</v>
      </c>
      <c r="H23" s="300" t="s">
        <v>538</v>
      </c>
      <c r="I23" s="300" t="s">
        <v>539</v>
      </c>
      <c r="J23" s="300" t="s">
        <v>751</v>
      </c>
      <c r="K23" s="300" t="s">
        <v>117</v>
      </c>
      <c r="L23" s="300" t="s">
        <v>122</v>
      </c>
      <c r="M23" s="300" t="s">
        <v>117</v>
      </c>
      <c r="N23" s="301" t="s">
        <v>202</v>
      </c>
      <c r="O23" s="301" t="s">
        <v>203</v>
      </c>
      <c r="P23" s="301" t="s">
        <v>204</v>
      </c>
      <c r="Q23" s="301" t="s">
        <v>205</v>
      </c>
      <c r="R23" s="303" t="s">
        <v>206</v>
      </c>
      <c r="S23" s="301" t="s">
        <v>207</v>
      </c>
      <c r="T23" s="301" t="s">
        <v>208</v>
      </c>
      <c r="U23" s="301" t="s">
        <v>209</v>
      </c>
      <c r="V23" s="303" t="s">
        <v>210</v>
      </c>
      <c r="W23" s="303" t="s">
        <v>211</v>
      </c>
      <c r="X23" s="304" t="s">
        <v>119</v>
      </c>
      <c r="Y23" s="304" t="s">
        <v>119</v>
      </c>
      <c r="Z23" s="304" t="s">
        <v>119</v>
      </c>
      <c r="AA23" s="304" t="s">
        <v>119</v>
      </c>
    </row>
    <row r="24" spans="1:27" s="205" customFormat="1" ht="16.5" customHeight="1">
      <c r="A24" s="186">
        <v>19</v>
      </c>
      <c r="B24" s="186" t="s">
        <v>758</v>
      </c>
      <c r="C24" s="186" t="s">
        <v>777</v>
      </c>
      <c r="D24" s="201" t="s">
        <v>797</v>
      </c>
      <c r="E24" s="202" t="s">
        <v>817</v>
      </c>
      <c r="F24" s="203" t="s">
        <v>136</v>
      </c>
      <c r="G24" s="203">
        <v>5</v>
      </c>
      <c r="H24" s="300" t="s">
        <v>585</v>
      </c>
      <c r="I24" s="300" t="s">
        <v>586</v>
      </c>
      <c r="J24" s="300" t="s">
        <v>750</v>
      </c>
      <c r="K24" s="300" t="s">
        <v>117</v>
      </c>
      <c r="L24" s="300" t="s">
        <v>117</v>
      </c>
      <c r="M24" s="300" t="s">
        <v>117</v>
      </c>
      <c r="N24" s="301" t="s">
        <v>213</v>
      </c>
      <c r="O24" s="301" t="s">
        <v>214</v>
      </c>
      <c r="P24" s="301" t="s">
        <v>213</v>
      </c>
      <c r="Q24" s="301" t="s">
        <v>214</v>
      </c>
      <c r="R24" s="303" t="s">
        <v>213</v>
      </c>
      <c r="S24" s="301" t="s">
        <v>214</v>
      </c>
      <c r="T24" s="301" t="s">
        <v>213</v>
      </c>
      <c r="U24" s="301" t="s">
        <v>214</v>
      </c>
      <c r="V24" s="303" t="s">
        <v>215</v>
      </c>
      <c r="W24" s="303" t="s">
        <v>216</v>
      </c>
      <c r="X24" s="304" t="s">
        <v>119</v>
      </c>
      <c r="Y24" s="304" t="s">
        <v>119</v>
      </c>
      <c r="Z24" s="304" t="s">
        <v>119</v>
      </c>
      <c r="AA24" s="304" t="s">
        <v>119</v>
      </c>
    </row>
    <row r="25" spans="1:27" s="205" customFormat="1" ht="16.5" customHeight="1">
      <c r="A25" s="186">
        <v>20</v>
      </c>
      <c r="B25" s="186" t="s">
        <v>758</v>
      </c>
      <c r="C25" s="186" t="s">
        <v>778</v>
      </c>
      <c r="D25" s="201" t="s">
        <v>798</v>
      </c>
      <c r="E25" s="202" t="s">
        <v>818</v>
      </c>
      <c r="F25" s="200" t="s">
        <v>136</v>
      </c>
      <c r="G25" s="200">
        <v>5</v>
      </c>
      <c r="H25" s="300" t="s">
        <v>585</v>
      </c>
      <c r="I25" s="300" t="s">
        <v>586</v>
      </c>
      <c r="J25" s="300" t="s">
        <v>750</v>
      </c>
      <c r="K25" s="300" t="s">
        <v>117</v>
      </c>
      <c r="L25" s="300" t="s">
        <v>117</v>
      </c>
      <c r="M25" s="300" t="s">
        <v>117</v>
      </c>
      <c r="N25" s="301" t="s">
        <v>218</v>
      </c>
      <c r="O25" s="301" t="s">
        <v>219</v>
      </c>
      <c r="P25" s="301" t="s">
        <v>218</v>
      </c>
      <c r="Q25" s="301" t="s">
        <v>219</v>
      </c>
      <c r="R25" s="303" t="s">
        <v>218</v>
      </c>
      <c r="S25" s="301" t="s">
        <v>219</v>
      </c>
      <c r="T25" s="301" t="s">
        <v>218</v>
      </c>
      <c r="U25" s="301" t="s">
        <v>220</v>
      </c>
      <c r="V25" s="303" t="s">
        <v>210</v>
      </c>
      <c r="W25" s="303" t="s">
        <v>221</v>
      </c>
      <c r="X25" s="304" t="s">
        <v>119</v>
      </c>
      <c r="Y25" s="304" t="s">
        <v>119</v>
      </c>
      <c r="Z25" s="304" t="s">
        <v>119</v>
      </c>
      <c r="AA25" s="304" t="s">
        <v>119</v>
      </c>
    </row>
  </sheetData>
  <autoFilter ref="A5:AA25" xr:uid="{00000000-0009-0000-0000-000001000000}"/>
  <mergeCells count="4">
    <mergeCell ref="N4:AA4"/>
    <mergeCell ref="A4:A5"/>
    <mergeCell ref="B4:G4"/>
    <mergeCell ref="H4:M4"/>
  </mergeCells>
  <phoneticPr fontId="1" type="noConversion"/>
  <printOptions horizontalCentered="1"/>
  <pageMargins left="0.39370078740157483" right="0.39370078740157483" top="0.59055118110236215" bottom="0.59055118110236215" header="0.19685039370078741" footer="0.19685039370078741"/>
  <pageSetup paperSize="9" scale="50" orientation="landscape" r:id="rId1"/>
  <colBreaks count="1" manualBreakCount="1">
    <brk id="2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54BCC5"/>
    <pageSetUpPr fitToPage="1"/>
  </sheetPr>
  <dimension ref="A1:M97"/>
  <sheetViews>
    <sheetView view="pageBreakPreview" zoomScale="85" zoomScaleNormal="100" zoomScaleSheetLayoutView="85" workbookViewId="0">
      <pane ySplit="2" topLeftCell="A3" activePane="bottomLeft" state="frozen"/>
      <selection pane="bottomLeft"/>
    </sheetView>
  </sheetViews>
  <sheetFormatPr defaultRowHeight="16.5"/>
  <cols>
    <col min="1" max="1" width="1.625" customWidth="1"/>
    <col min="2" max="2" width="25.25" customWidth="1"/>
    <col min="3" max="3" width="9.125" customWidth="1"/>
    <col min="4" max="4" width="28.125" customWidth="1"/>
    <col min="5" max="5" width="90.625" customWidth="1"/>
    <col min="6" max="12" width="15.625" customWidth="1"/>
    <col min="13" max="13" width="1.625" customWidth="1"/>
  </cols>
  <sheetData>
    <row r="1" spans="1:13" ht="21" thickBot="1">
      <c r="A1" s="232"/>
      <c r="B1" s="326" t="s">
        <v>424</v>
      </c>
      <c r="C1" s="327"/>
      <c r="D1" s="327"/>
      <c r="E1" s="233"/>
      <c r="F1" s="233"/>
      <c r="G1" s="233"/>
      <c r="H1" s="233"/>
      <c r="I1" s="233"/>
      <c r="J1" s="233"/>
      <c r="K1" s="233"/>
      <c r="L1" s="233"/>
      <c r="M1" s="234"/>
    </row>
    <row r="2" spans="1:13" ht="33.75" thickBot="1">
      <c r="A2" s="232"/>
      <c r="B2" s="235" t="s">
        <v>425</v>
      </c>
      <c r="C2" s="236" t="s">
        <v>426</v>
      </c>
      <c r="D2" s="237" t="s">
        <v>427</v>
      </c>
      <c r="E2" s="237" t="s">
        <v>428</v>
      </c>
      <c r="F2" s="236" t="s">
        <v>429</v>
      </c>
      <c r="G2" s="236" t="s">
        <v>430</v>
      </c>
      <c r="H2" s="236" t="s">
        <v>431</v>
      </c>
      <c r="I2" s="236" t="s">
        <v>432</v>
      </c>
      <c r="J2" s="236" t="s">
        <v>433</v>
      </c>
      <c r="K2" s="236" t="s">
        <v>434</v>
      </c>
      <c r="L2" s="238" t="s">
        <v>435</v>
      </c>
      <c r="M2" s="239"/>
    </row>
    <row r="3" spans="1:13" ht="60" customHeight="1">
      <c r="A3" s="232"/>
      <c r="B3" s="240" t="s">
        <v>436</v>
      </c>
      <c r="C3" s="241" t="s">
        <v>437</v>
      </c>
      <c r="D3" s="242" t="s">
        <v>438</v>
      </c>
      <c r="E3" s="243" t="s">
        <v>439</v>
      </c>
      <c r="F3" s="244" t="s">
        <v>117</v>
      </c>
      <c r="G3" s="244" t="s">
        <v>117</v>
      </c>
      <c r="H3" s="245">
        <f>IF(F3="H",3,IF(F3="M",2,IF(F3="L",1)))</f>
        <v>3</v>
      </c>
      <c r="I3" s="245">
        <f>IF(G3="H",3,IF(G3="M",2,IF(G3="L",1)))</f>
        <v>3</v>
      </c>
      <c r="J3" s="245">
        <f>SUM(H3:I3)</f>
        <v>6</v>
      </c>
      <c r="K3" s="245" t="str">
        <f>IF(SUM(J3)&gt;=5,"H",IF(SUM(J3)&gt;=3,"M","L"))</f>
        <v>H</v>
      </c>
      <c r="L3" s="246" t="str">
        <f>IF(SUM(J3)&gt;=5,"3",IF(SUM(J3)&gt;=3,"2","1"))</f>
        <v>3</v>
      </c>
      <c r="M3" s="234"/>
    </row>
    <row r="4" spans="1:13" ht="60" customHeight="1">
      <c r="A4" s="232"/>
      <c r="B4" s="247" t="s">
        <v>436</v>
      </c>
      <c r="C4" s="248" t="s">
        <v>440</v>
      </c>
      <c r="D4" s="249" t="s">
        <v>441</v>
      </c>
      <c r="E4" s="250" t="s">
        <v>442</v>
      </c>
      <c r="F4" s="251" t="s">
        <v>117</v>
      </c>
      <c r="G4" s="251" t="s">
        <v>117</v>
      </c>
      <c r="H4" s="252">
        <f t="shared" ref="H4:I72" si="0">IF(F4="H",3,IF(F4="M",2,IF(F4="L",1)))</f>
        <v>3</v>
      </c>
      <c r="I4" s="252">
        <f t="shared" si="0"/>
        <v>3</v>
      </c>
      <c r="J4" s="252">
        <f t="shared" ref="J4:J72" si="1">SUM(H4:I4)</f>
        <v>6</v>
      </c>
      <c r="K4" s="245" t="str">
        <f t="shared" ref="K4:K27" si="2">IF(SUM(J4)&gt;=5,"H",IF(SUM(J4)&gt;=3,"M","L"))</f>
        <v>H</v>
      </c>
      <c r="L4" s="246" t="str">
        <f t="shared" ref="L4:L27" si="3">IF(SUM(J4)&gt;=5,"3",IF(SUM(J4)&gt;=3,"2","1"))</f>
        <v>3</v>
      </c>
      <c r="M4" s="234"/>
    </row>
    <row r="5" spans="1:13" ht="60" customHeight="1">
      <c r="A5" s="232"/>
      <c r="B5" s="247" t="s">
        <v>436</v>
      </c>
      <c r="C5" s="248" t="s">
        <v>443</v>
      </c>
      <c r="D5" s="249" t="s">
        <v>444</v>
      </c>
      <c r="E5" s="250" t="s">
        <v>445</v>
      </c>
      <c r="F5" s="251" t="s">
        <v>117</v>
      </c>
      <c r="G5" s="251" t="s">
        <v>117</v>
      </c>
      <c r="H5" s="252">
        <f t="shared" si="0"/>
        <v>3</v>
      </c>
      <c r="I5" s="252">
        <f t="shared" si="0"/>
        <v>3</v>
      </c>
      <c r="J5" s="252">
        <f t="shared" si="1"/>
        <v>6</v>
      </c>
      <c r="K5" s="245" t="str">
        <f t="shared" si="2"/>
        <v>H</v>
      </c>
      <c r="L5" s="246" t="str">
        <f t="shared" si="3"/>
        <v>3</v>
      </c>
      <c r="M5" s="234"/>
    </row>
    <row r="6" spans="1:13" ht="60" customHeight="1">
      <c r="A6" s="232"/>
      <c r="B6" s="247" t="s">
        <v>436</v>
      </c>
      <c r="C6" s="248" t="s">
        <v>446</v>
      </c>
      <c r="D6" s="249" t="s">
        <v>447</v>
      </c>
      <c r="E6" s="250" t="s">
        <v>448</v>
      </c>
      <c r="F6" s="251" t="s">
        <v>117</v>
      </c>
      <c r="G6" s="251" t="s">
        <v>122</v>
      </c>
      <c r="H6" s="252">
        <f t="shared" si="0"/>
        <v>3</v>
      </c>
      <c r="I6" s="252">
        <f t="shared" si="0"/>
        <v>2</v>
      </c>
      <c r="J6" s="252">
        <f t="shared" si="1"/>
        <v>5</v>
      </c>
      <c r="K6" s="245" t="str">
        <f t="shared" si="2"/>
        <v>H</v>
      </c>
      <c r="L6" s="246" t="str">
        <f t="shared" si="3"/>
        <v>3</v>
      </c>
      <c r="M6" s="234"/>
    </row>
    <row r="7" spans="1:13" ht="60" customHeight="1">
      <c r="A7" s="232"/>
      <c r="B7" s="247" t="s">
        <v>436</v>
      </c>
      <c r="C7" s="248" t="s">
        <v>449</v>
      </c>
      <c r="D7" s="249" t="s">
        <v>450</v>
      </c>
      <c r="E7" s="250" t="s">
        <v>451</v>
      </c>
      <c r="F7" s="251" t="s">
        <v>117</v>
      </c>
      <c r="G7" s="251" t="s">
        <v>117</v>
      </c>
      <c r="H7" s="252">
        <f t="shared" si="0"/>
        <v>3</v>
      </c>
      <c r="I7" s="252">
        <f t="shared" si="0"/>
        <v>3</v>
      </c>
      <c r="J7" s="252">
        <f t="shared" si="1"/>
        <v>6</v>
      </c>
      <c r="K7" s="245" t="str">
        <f t="shared" si="2"/>
        <v>H</v>
      </c>
      <c r="L7" s="246" t="str">
        <f t="shared" si="3"/>
        <v>3</v>
      </c>
      <c r="M7" s="234"/>
    </row>
    <row r="8" spans="1:13" ht="60" customHeight="1">
      <c r="A8" s="232"/>
      <c r="B8" s="247" t="s">
        <v>436</v>
      </c>
      <c r="C8" s="248" t="s">
        <v>452</v>
      </c>
      <c r="D8" s="249" t="s">
        <v>453</v>
      </c>
      <c r="E8" s="250" t="s">
        <v>454</v>
      </c>
      <c r="F8" s="251" t="s">
        <v>117</v>
      </c>
      <c r="G8" s="251" t="s">
        <v>455</v>
      </c>
      <c r="H8" s="252">
        <f t="shared" si="0"/>
        <v>3</v>
      </c>
      <c r="I8" s="252">
        <f t="shared" si="0"/>
        <v>1</v>
      </c>
      <c r="J8" s="252">
        <f t="shared" si="1"/>
        <v>4</v>
      </c>
      <c r="K8" s="245" t="str">
        <f t="shared" si="2"/>
        <v>M</v>
      </c>
      <c r="L8" s="246" t="str">
        <f t="shared" si="3"/>
        <v>2</v>
      </c>
      <c r="M8" s="234"/>
    </row>
    <row r="9" spans="1:13" ht="60" customHeight="1">
      <c r="A9" s="232"/>
      <c r="B9" s="247" t="s">
        <v>436</v>
      </c>
      <c r="C9" s="248" t="s">
        <v>456</v>
      </c>
      <c r="D9" s="249" t="s">
        <v>457</v>
      </c>
      <c r="E9" s="250" t="s">
        <v>458</v>
      </c>
      <c r="F9" s="251" t="s">
        <v>122</v>
      </c>
      <c r="G9" s="251" t="s">
        <v>122</v>
      </c>
      <c r="H9" s="252">
        <f t="shared" si="0"/>
        <v>2</v>
      </c>
      <c r="I9" s="252">
        <f t="shared" si="0"/>
        <v>2</v>
      </c>
      <c r="J9" s="252">
        <f t="shared" si="1"/>
        <v>4</v>
      </c>
      <c r="K9" s="245" t="str">
        <f t="shared" si="2"/>
        <v>M</v>
      </c>
      <c r="L9" s="246" t="str">
        <f t="shared" si="3"/>
        <v>2</v>
      </c>
      <c r="M9" s="234"/>
    </row>
    <row r="10" spans="1:13" ht="60" customHeight="1">
      <c r="A10" s="232"/>
      <c r="B10" s="247" t="s">
        <v>436</v>
      </c>
      <c r="C10" s="248" t="s">
        <v>459</v>
      </c>
      <c r="D10" s="249" t="s">
        <v>460</v>
      </c>
      <c r="E10" s="250" t="s">
        <v>461</v>
      </c>
      <c r="F10" s="251" t="s">
        <v>117</v>
      </c>
      <c r="G10" s="251" t="s">
        <v>117</v>
      </c>
      <c r="H10" s="252">
        <f t="shared" si="0"/>
        <v>3</v>
      </c>
      <c r="I10" s="252">
        <f t="shared" si="0"/>
        <v>3</v>
      </c>
      <c r="J10" s="252">
        <f t="shared" si="1"/>
        <v>6</v>
      </c>
      <c r="K10" s="245" t="str">
        <f t="shared" si="2"/>
        <v>H</v>
      </c>
      <c r="L10" s="246" t="str">
        <f t="shared" si="3"/>
        <v>3</v>
      </c>
      <c r="M10" s="234"/>
    </row>
    <row r="11" spans="1:13" ht="60" customHeight="1">
      <c r="A11" s="232"/>
      <c r="B11" s="247" t="s">
        <v>436</v>
      </c>
      <c r="C11" s="248" t="s">
        <v>462</v>
      </c>
      <c r="D11" s="249" t="s">
        <v>463</v>
      </c>
      <c r="E11" s="250" t="s">
        <v>464</v>
      </c>
      <c r="F11" s="251" t="s">
        <v>117</v>
      </c>
      <c r="G11" s="251" t="s">
        <v>455</v>
      </c>
      <c r="H11" s="252">
        <f t="shared" si="0"/>
        <v>3</v>
      </c>
      <c r="I11" s="252">
        <f t="shared" si="0"/>
        <v>1</v>
      </c>
      <c r="J11" s="252">
        <f t="shared" si="1"/>
        <v>4</v>
      </c>
      <c r="K11" s="245" t="str">
        <f t="shared" si="2"/>
        <v>M</v>
      </c>
      <c r="L11" s="246" t="str">
        <f t="shared" si="3"/>
        <v>2</v>
      </c>
      <c r="M11" s="234"/>
    </row>
    <row r="12" spans="1:13" ht="60" customHeight="1">
      <c r="A12" s="232"/>
      <c r="B12" s="247" t="s">
        <v>436</v>
      </c>
      <c r="C12" s="248" t="s">
        <v>465</v>
      </c>
      <c r="D12" s="249" t="s">
        <v>466</v>
      </c>
      <c r="E12" s="250" t="s">
        <v>467</v>
      </c>
      <c r="F12" s="251" t="s">
        <v>117</v>
      </c>
      <c r="G12" s="251" t="s">
        <v>455</v>
      </c>
      <c r="H12" s="252">
        <f t="shared" si="0"/>
        <v>3</v>
      </c>
      <c r="I12" s="252">
        <f t="shared" si="0"/>
        <v>1</v>
      </c>
      <c r="J12" s="252">
        <f t="shared" si="1"/>
        <v>4</v>
      </c>
      <c r="K12" s="245" t="str">
        <f t="shared" si="2"/>
        <v>M</v>
      </c>
      <c r="L12" s="246" t="str">
        <f t="shared" si="3"/>
        <v>2</v>
      </c>
      <c r="M12" s="234"/>
    </row>
    <row r="13" spans="1:13" ht="60" customHeight="1">
      <c r="A13" s="232"/>
      <c r="B13" s="247" t="s">
        <v>468</v>
      </c>
      <c r="C13" s="248" t="s">
        <v>469</v>
      </c>
      <c r="D13" s="247" t="s">
        <v>470</v>
      </c>
      <c r="E13" s="253" t="s">
        <v>471</v>
      </c>
      <c r="F13" s="251" t="s">
        <v>122</v>
      </c>
      <c r="G13" s="251" t="s">
        <v>122</v>
      </c>
      <c r="H13" s="252">
        <v>2</v>
      </c>
      <c r="I13" s="252">
        <v>2</v>
      </c>
      <c r="J13" s="252">
        <v>4</v>
      </c>
      <c r="K13" s="245" t="str">
        <f t="shared" si="2"/>
        <v>M</v>
      </c>
      <c r="L13" s="246" t="str">
        <f t="shared" si="3"/>
        <v>2</v>
      </c>
      <c r="M13" s="234"/>
    </row>
    <row r="14" spans="1:13" ht="60" customHeight="1">
      <c r="A14" s="232"/>
      <c r="B14" s="247" t="s">
        <v>468</v>
      </c>
      <c r="C14" s="248" t="s">
        <v>472</v>
      </c>
      <c r="D14" s="249" t="s">
        <v>473</v>
      </c>
      <c r="E14" s="250" t="s">
        <v>474</v>
      </c>
      <c r="F14" s="251" t="s">
        <v>117</v>
      </c>
      <c r="G14" s="251" t="s">
        <v>117</v>
      </c>
      <c r="H14" s="252">
        <v>3</v>
      </c>
      <c r="I14" s="252">
        <v>3</v>
      </c>
      <c r="J14" s="252">
        <v>6</v>
      </c>
      <c r="K14" s="245" t="str">
        <f t="shared" si="2"/>
        <v>H</v>
      </c>
      <c r="L14" s="246" t="str">
        <f t="shared" si="3"/>
        <v>3</v>
      </c>
      <c r="M14" s="234"/>
    </row>
    <row r="15" spans="1:13" ht="60" customHeight="1">
      <c r="A15" s="232"/>
      <c r="B15" s="247" t="s">
        <v>468</v>
      </c>
      <c r="C15" s="248" t="s">
        <v>475</v>
      </c>
      <c r="D15" s="247" t="s">
        <v>476</v>
      </c>
      <c r="E15" s="253" t="s">
        <v>477</v>
      </c>
      <c r="F15" s="251" t="s">
        <v>117</v>
      </c>
      <c r="G15" s="251" t="s">
        <v>117</v>
      </c>
      <c r="H15" s="252">
        <v>3</v>
      </c>
      <c r="I15" s="252">
        <v>3</v>
      </c>
      <c r="J15" s="252">
        <v>6</v>
      </c>
      <c r="K15" s="245" t="str">
        <f t="shared" si="2"/>
        <v>H</v>
      </c>
      <c r="L15" s="246" t="str">
        <f t="shared" si="3"/>
        <v>3</v>
      </c>
      <c r="M15" s="234"/>
    </row>
    <row r="16" spans="1:13" ht="60" customHeight="1">
      <c r="A16" s="232"/>
      <c r="B16" s="247" t="s">
        <v>468</v>
      </c>
      <c r="C16" s="248" t="s">
        <v>478</v>
      </c>
      <c r="D16" s="249" t="s">
        <v>479</v>
      </c>
      <c r="E16" s="250" t="s">
        <v>480</v>
      </c>
      <c r="F16" s="251" t="s">
        <v>117</v>
      </c>
      <c r="G16" s="251" t="s">
        <v>455</v>
      </c>
      <c r="H16" s="252">
        <v>3</v>
      </c>
      <c r="I16" s="252">
        <v>1</v>
      </c>
      <c r="J16" s="252">
        <v>4</v>
      </c>
      <c r="K16" s="245" t="str">
        <f t="shared" si="2"/>
        <v>M</v>
      </c>
      <c r="L16" s="246" t="str">
        <f t="shared" si="3"/>
        <v>2</v>
      </c>
      <c r="M16" s="234"/>
    </row>
    <row r="17" spans="1:13" ht="60" customHeight="1">
      <c r="A17" s="232"/>
      <c r="B17" s="247" t="s">
        <v>468</v>
      </c>
      <c r="C17" s="248" t="s">
        <v>481</v>
      </c>
      <c r="D17" s="249" t="s">
        <v>482</v>
      </c>
      <c r="E17" s="250" t="s">
        <v>483</v>
      </c>
      <c r="F17" s="251" t="s">
        <v>117</v>
      </c>
      <c r="G17" s="251" t="s">
        <v>455</v>
      </c>
      <c r="H17" s="252">
        <v>3</v>
      </c>
      <c r="I17" s="252">
        <v>1</v>
      </c>
      <c r="J17" s="252">
        <v>4</v>
      </c>
      <c r="K17" s="245" t="str">
        <f t="shared" si="2"/>
        <v>M</v>
      </c>
      <c r="L17" s="246" t="str">
        <f t="shared" si="3"/>
        <v>2</v>
      </c>
      <c r="M17" s="234"/>
    </row>
    <row r="18" spans="1:13" ht="60" customHeight="1">
      <c r="A18" s="232"/>
      <c r="B18" s="247" t="s">
        <v>468</v>
      </c>
      <c r="C18" s="248" t="s">
        <v>484</v>
      </c>
      <c r="D18" s="249" t="s">
        <v>485</v>
      </c>
      <c r="E18" s="250" t="s">
        <v>486</v>
      </c>
      <c r="F18" s="251" t="s">
        <v>455</v>
      </c>
      <c r="G18" s="251" t="s">
        <v>455</v>
      </c>
      <c r="H18" s="252">
        <v>1</v>
      </c>
      <c r="I18" s="252">
        <v>1</v>
      </c>
      <c r="J18" s="252">
        <v>2</v>
      </c>
      <c r="K18" s="245" t="str">
        <f t="shared" si="2"/>
        <v>L</v>
      </c>
      <c r="L18" s="246" t="str">
        <f t="shared" si="3"/>
        <v>1</v>
      </c>
      <c r="M18" s="234"/>
    </row>
    <row r="19" spans="1:13" ht="60" customHeight="1">
      <c r="A19" s="232"/>
      <c r="B19" s="247" t="s">
        <v>468</v>
      </c>
      <c r="C19" s="248" t="s">
        <v>487</v>
      </c>
      <c r="D19" s="249" t="s">
        <v>488</v>
      </c>
      <c r="E19" s="250" t="s">
        <v>489</v>
      </c>
      <c r="F19" s="251" t="s">
        <v>117</v>
      </c>
      <c r="G19" s="251" t="s">
        <v>117</v>
      </c>
      <c r="H19" s="252">
        <v>3</v>
      </c>
      <c r="I19" s="252">
        <v>3</v>
      </c>
      <c r="J19" s="252">
        <v>6</v>
      </c>
      <c r="K19" s="245" t="str">
        <f t="shared" si="2"/>
        <v>H</v>
      </c>
      <c r="L19" s="246" t="str">
        <f t="shared" si="3"/>
        <v>3</v>
      </c>
      <c r="M19" s="234"/>
    </row>
    <row r="20" spans="1:13" ht="60" customHeight="1">
      <c r="A20" s="232"/>
      <c r="B20" s="247" t="s">
        <v>468</v>
      </c>
      <c r="C20" s="248" t="s">
        <v>490</v>
      </c>
      <c r="D20" s="249" t="s">
        <v>491</v>
      </c>
      <c r="E20" s="250" t="s">
        <v>492</v>
      </c>
      <c r="F20" s="251" t="s">
        <v>117</v>
      </c>
      <c r="G20" s="251" t="s">
        <v>455</v>
      </c>
      <c r="H20" s="252">
        <v>3</v>
      </c>
      <c r="I20" s="252">
        <v>1</v>
      </c>
      <c r="J20" s="252">
        <v>4</v>
      </c>
      <c r="K20" s="245" t="str">
        <f t="shared" si="2"/>
        <v>M</v>
      </c>
      <c r="L20" s="246" t="str">
        <f t="shared" si="3"/>
        <v>2</v>
      </c>
      <c r="M20" s="234"/>
    </row>
    <row r="21" spans="1:13" ht="60" customHeight="1">
      <c r="A21" s="232"/>
      <c r="B21" s="247" t="s">
        <v>468</v>
      </c>
      <c r="C21" s="248" t="s">
        <v>493</v>
      </c>
      <c r="D21" s="249" t="s">
        <v>494</v>
      </c>
      <c r="E21" s="250" t="s">
        <v>495</v>
      </c>
      <c r="F21" s="251" t="s">
        <v>117</v>
      </c>
      <c r="G21" s="251" t="s">
        <v>455</v>
      </c>
      <c r="H21" s="252">
        <v>3</v>
      </c>
      <c r="I21" s="252">
        <v>1</v>
      </c>
      <c r="J21" s="252">
        <v>4</v>
      </c>
      <c r="K21" s="245" t="str">
        <f t="shared" si="2"/>
        <v>M</v>
      </c>
      <c r="L21" s="246" t="str">
        <f t="shared" si="3"/>
        <v>2</v>
      </c>
      <c r="M21" s="234"/>
    </row>
    <row r="22" spans="1:13" ht="60" customHeight="1">
      <c r="A22" s="232"/>
      <c r="B22" s="247" t="s">
        <v>468</v>
      </c>
      <c r="C22" s="248" t="s">
        <v>496</v>
      </c>
      <c r="D22" s="249" t="s">
        <v>497</v>
      </c>
      <c r="E22" s="250" t="s">
        <v>498</v>
      </c>
      <c r="F22" s="251" t="s">
        <v>117</v>
      </c>
      <c r="G22" s="251" t="s">
        <v>455</v>
      </c>
      <c r="H22" s="252">
        <v>3</v>
      </c>
      <c r="I22" s="252">
        <v>1</v>
      </c>
      <c r="J22" s="252">
        <v>4</v>
      </c>
      <c r="K22" s="245" t="str">
        <f t="shared" si="2"/>
        <v>M</v>
      </c>
      <c r="L22" s="246" t="str">
        <f t="shared" si="3"/>
        <v>2</v>
      </c>
      <c r="M22" s="234"/>
    </row>
    <row r="23" spans="1:13" ht="60" customHeight="1">
      <c r="A23" s="232"/>
      <c r="B23" s="247" t="s">
        <v>468</v>
      </c>
      <c r="C23" s="248" t="s">
        <v>499</v>
      </c>
      <c r="D23" s="249" t="s">
        <v>500</v>
      </c>
      <c r="E23" s="250" t="s">
        <v>501</v>
      </c>
      <c r="F23" s="251" t="s">
        <v>117</v>
      </c>
      <c r="G23" s="251" t="s">
        <v>122</v>
      </c>
      <c r="H23" s="252">
        <v>3</v>
      </c>
      <c r="I23" s="252">
        <v>2</v>
      </c>
      <c r="J23" s="252">
        <v>5</v>
      </c>
      <c r="K23" s="245" t="str">
        <f t="shared" si="2"/>
        <v>H</v>
      </c>
      <c r="L23" s="246" t="str">
        <f t="shared" si="3"/>
        <v>3</v>
      </c>
      <c r="M23" s="234"/>
    </row>
    <row r="24" spans="1:13" ht="60" customHeight="1">
      <c r="A24" s="232"/>
      <c r="B24" s="254" t="s">
        <v>468</v>
      </c>
      <c r="C24" s="248" t="s">
        <v>502</v>
      </c>
      <c r="D24" s="249" t="s">
        <v>503</v>
      </c>
      <c r="E24" s="250" t="s">
        <v>504</v>
      </c>
      <c r="F24" s="251" t="s">
        <v>505</v>
      </c>
      <c r="G24" s="251" t="s">
        <v>506</v>
      </c>
      <c r="H24" s="252">
        <v>3</v>
      </c>
      <c r="I24" s="252">
        <v>1</v>
      </c>
      <c r="J24" s="252">
        <v>4</v>
      </c>
      <c r="K24" s="245" t="str">
        <f t="shared" si="2"/>
        <v>M</v>
      </c>
      <c r="L24" s="246" t="str">
        <f t="shared" si="3"/>
        <v>2</v>
      </c>
      <c r="M24" s="234"/>
    </row>
    <row r="25" spans="1:13" ht="60" customHeight="1">
      <c r="A25" s="232"/>
      <c r="B25" s="254" t="s">
        <v>468</v>
      </c>
      <c r="C25" s="248" t="s">
        <v>507</v>
      </c>
      <c r="D25" s="249" t="s">
        <v>508</v>
      </c>
      <c r="E25" s="250" t="s">
        <v>509</v>
      </c>
      <c r="F25" s="251" t="s">
        <v>510</v>
      </c>
      <c r="G25" s="251" t="s">
        <v>511</v>
      </c>
      <c r="H25" s="252">
        <v>1</v>
      </c>
      <c r="I25" s="252">
        <v>1</v>
      </c>
      <c r="J25" s="252">
        <v>2</v>
      </c>
      <c r="K25" s="245" t="str">
        <f t="shared" si="2"/>
        <v>L</v>
      </c>
      <c r="L25" s="246" t="str">
        <f t="shared" si="3"/>
        <v>1</v>
      </c>
      <c r="M25" s="234"/>
    </row>
    <row r="26" spans="1:13" ht="60" customHeight="1">
      <c r="A26" s="232"/>
      <c r="B26" s="254" t="s">
        <v>468</v>
      </c>
      <c r="C26" s="248" t="s">
        <v>512</v>
      </c>
      <c r="D26" s="249" t="s">
        <v>513</v>
      </c>
      <c r="E26" s="250" t="s">
        <v>514</v>
      </c>
      <c r="F26" s="251" t="s">
        <v>117</v>
      </c>
      <c r="G26" s="251" t="s">
        <v>455</v>
      </c>
      <c r="H26" s="252">
        <v>3</v>
      </c>
      <c r="I26" s="252">
        <v>1</v>
      </c>
      <c r="J26" s="252">
        <v>4</v>
      </c>
      <c r="K26" s="245" t="str">
        <f t="shared" si="2"/>
        <v>M</v>
      </c>
      <c r="L26" s="246" t="str">
        <f t="shared" si="3"/>
        <v>2</v>
      </c>
      <c r="M26" s="234"/>
    </row>
    <row r="27" spans="1:13" ht="60" customHeight="1">
      <c r="A27" s="232"/>
      <c r="B27" s="255" t="s">
        <v>468</v>
      </c>
      <c r="C27" s="256" t="s">
        <v>515</v>
      </c>
      <c r="D27" s="257" t="s">
        <v>516</v>
      </c>
      <c r="E27" s="250" t="s">
        <v>517</v>
      </c>
      <c r="F27" s="258" t="s">
        <v>518</v>
      </c>
      <c r="G27" s="258" t="s">
        <v>519</v>
      </c>
      <c r="H27" s="259">
        <v>2</v>
      </c>
      <c r="I27" s="259">
        <v>2</v>
      </c>
      <c r="J27" s="259">
        <v>4</v>
      </c>
      <c r="K27" s="245" t="str">
        <f t="shared" si="2"/>
        <v>M</v>
      </c>
      <c r="L27" s="246" t="str">
        <f t="shared" si="3"/>
        <v>2</v>
      </c>
      <c r="M27" s="234"/>
    </row>
    <row r="28" spans="1:13" ht="60" customHeight="1">
      <c r="A28" s="232"/>
      <c r="B28" s="260" t="s">
        <v>520</v>
      </c>
      <c r="C28" s="261" t="s">
        <v>521</v>
      </c>
      <c r="D28" s="262" t="s">
        <v>522</v>
      </c>
      <c r="E28" s="263" t="s">
        <v>523</v>
      </c>
      <c r="F28" s="264" t="s">
        <v>117</v>
      </c>
      <c r="G28" s="264" t="s">
        <v>117</v>
      </c>
      <c r="H28" s="265">
        <f t="shared" si="0"/>
        <v>3</v>
      </c>
      <c r="I28" s="265">
        <f t="shared" si="0"/>
        <v>3</v>
      </c>
      <c r="J28" s="265">
        <f t="shared" si="1"/>
        <v>6</v>
      </c>
      <c r="K28" s="265" t="str">
        <f>IF(SUM(J28)&gt;=5,"H",IF(SUM(J28)&gt;=3,"M","L"))</f>
        <v>H</v>
      </c>
      <c r="L28" s="266" t="str">
        <f>IF(SUM(J28)&gt;=5,"3",IF(SUM(J28)&gt;=3,"2","1"))</f>
        <v>3</v>
      </c>
      <c r="M28" s="234"/>
    </row>
    <row r="29" spans="1:13" ht="60" customHeight="1">
      <c r="A29" s="232"/>
      <c r="B29" s="260" t="s">
        <v>520</v>
      </c>
      <c r="C29" s="261" t="s">
        <v>524</v>
      </c>
      <c r="D29" s="262" t="s">
        <v>525</v>
      </c>
      <c r="E29" s="263" t="s">
        <v>526</v>
      </c>
      <c r="F29" s="264" t="s">
        <v>122</v>
      </c>
      <c r="G29" s="264" t="s">
        <v>122</v>
      </c>
      <c r="H29" s="265">
        <f t="shared" si="0"/>
        <v>2</v>
      </c>
      <c r="I29" s="265">
        <f t="shared" si="0"/>
        <v>2</v>
      </c>
      <c r="J29" s="265">
        <f t="shared" si="1"/>
        <v>4</v>
      </c>
      <c r="K29" s="265" t="str">
        <f t="shared" ref="K29:K35" si="4">IF(SUM(J29)&gt;=5,"H",IF(SUM(J29)&gt;=3,"M","L"))</f>
        <v>M</v>
      </c>
      <c r="L29" s="266" t="str">
        <f t="shared" ref="L29:L35" si="5">IF(SUM(J29)&gt;=5,"3",IF(SUM(J29)&gt;=3,"2","1"))</f>
        <v>2</v>
      </c>
      <c r="M29" s="234"/>
    </row>
    <row r="30" spans="1:13" ht="60" customHeight="1">
      <c r="A30" s="232"/>
      <c r="B30" s="260" t="s">
        <v>520</v>
      </c>
      <c r="C30" s="261" t="s">
        <v>527</v>
      </c>
      <c r="D30" s="262" t="s">
        <v>528</v>
      </c>
      <c r="E30" s="263" t="s">
        <v>529</v>
      </c>
      <c r="F30" s="264" t="s">
        <v>122</v>
      </c>
      <c r="G30" s="264" t="s">
        <v>122</v>
      </c>
      <c r="H30" s="265">
        <f t="shared" si="0"/>
        <v>2</v>
      </c>
      <c r="I30" s="265">
        <f t="shared" si="0"/>
        <v>2</v>
      </c>
      <c r="J30" s="265">
        <f t="shared" si="1"/>
        <v>4</v>
      </c>
      <c r="K30" s="265" t="str">
        <f t="shared" si="4"/>
        <v>M</v>
      </c>
      <c r="L30" s="266" t="str">
        <f t="shared" si="5"/>
        <v>2</v>
      </c>
      <c r="M30" s="234"/>
    </row>
    <row r="31" spans="1:13" ht="60" customHeight="1">
      <c r="A31" s="232"/>
      <c r="B31" s="260" t="s">
        <v>530</v>
      </c>
      <c r="C31" s="261" t="s">
        <v>531</v>
      </c>
      <c r="D31" s="262" t="s">
        <v>532</v>
      </c>
      <c r="E31" s="263" t="s">
        <v>533</v>
      </c>
      <c r="F31" s="264" t="s">
        <v>122</v>
      </c>
      <c r="G31" s="264" t="s">
        <v>122</v>
      </c>
      <c r="H31" s="265">
        <f t="shared" si="0"/>
        <v>2</v>
      </c>
      <c r="I31" s="265">
        <f t="shared" si="0"/>
        <v>2</v>
      </c>
      <c r="J31" s="265">
        <f t="shared" si="1"/>
        <v>4</v>
      </c>
      <c r="K31" s="265" t="str">
        <f t="shared" si="4"/>
        <v>M</v>
      </c>
      <c r="L31" s="266" t="str">
        <f t="shared" si="5"/>
        <v>2</v>
      </c>
      <c r="M31" s="234"/>
    </row>
    <row r="32" spans="1:13" ht="60" customHeight="1">
      <c r="A32" s="232"/>
      <c r="B32" s="260" t="s">
        <v>534</v>
      </c>
      <c r="C32" s="261" t="s">
        <v>535</v>
      </c>
      <c r="D32" s="262" t="s">
        <v>536</v>
      </c>
      <c r="E32" s="263" t="s">
        <v>537</v>
      </c>
      <c r="F32" s="264" t="s">
        <v>122</v>
      </c>
      <c r="G32" s="264" t="s">
        <v>122</v>
      </c>
      <c r="H32" s="265">
        <f t="shared" si="0"/>
        <v>2</v>
      </c>
      <c r="I32" s="265">
        <f t="shared" si="0"/>
        <v>2</v>
      </c>
      <c r="J32" s="265">
        <f t="shared" si="1"/>
        <v>4</v>
      </c>
      <c r="K32" s="265" t="str">
        <f t="shared" si="4"/>
        <v>M</v>
      </c>
      <c r="L32" s="266" t="str">
        <f t="shared" si="5"/>
        <v>2</v>
      </c>
      <c r="M32" s="234"/>
    </row>
    <row r="33" spans="1:13" ht="60" customHeight="1">
      <c r="A33" s="232"/>
      <c r="B33" s="260" t="s">
        <v>534</v>
      </c>
      <c r="C33" s="261" t="s">
        <v>538</v>
      </c>
      <c r="D33" s="262" t="s">
        <v>539</v>
      </c>
      <c r="E33" s="263" t="s">
        <v>540</v>
      </c>
      <c r="F33" s="264" t="s">
        <v>117</v>
      </c>
      <c r="G33" s="264" t="s">
        <v>122</v>
      </c>
      <c r="H33" s="265">
        <f t="shared" si="0"/>
        <v>3</v>
      </c>
      <c r="I33" s="265">
        <f t="shared" si="0"/>
        <v>2</v>
      </c>
      <c r="J33" s="265">
        <f t="shared" si="1"/>
        <v>5</v>
      </c>
      <c r="K33" s="265" t="str">
        <f t="shared" si="4"/>
        <v>H</v>
      </c>
      <c r="L33" s="266" t="str">
        <f t="shared" si="5"/>
        <v>3</v>
      </c>
      <c r="M33" s="234"/>
    </row>
    <row r="34" spans="1:13" ht="60" customHeight="1">
      <c r="A34" s="232"/>
      <c r="B34" s="260" t="s">
        <v>530</v>
      </c>
      <c r="C34" s="261" t="s">
        <v>541</v>
      </c>
      <c r="D34" s="262" t="s">
        <v>542</v>
      </c>
      <c r="E34" s="263" t="s">
        <v>543</v>
      </c>
      <c r="F34" s="264" t="s">
        <v>122</v>
      </c>
      <c r="G34" s="264" t="s">
        <v>455</v>
      </c>
      <c r="H34" s="265">
        <f t="shared" si="0"/>
        <v>2</v>
      </c>
      <c r="I34" s="265">
        <f t="shared" si="0"/>
        <v>1</v>
      </c>
      <c r="J34" s="265">
        <f t="shared" si="1"/>
        <v>3</v>
      </c>
      <c r="K34" s="265" t="str">
        <f t="shared" si="4"/>
        <v>M</v>
      </c>
      <c r="L34" s="266" t="str">
        <f t="shared" si="5"/>
        <v>2</v>
      </c>
      <c r="M34" s="234"/>
    </row>
    <row r="35" spans="1:13" ht="60" customHeight="1">
      <c r="A35" s="232"/>
      <c r="B35" s="260" t="s">
        <v>544</v>
      </c>
      <c r="C35" s="261" t="s">
        <v>545</v>
      </c>
      <c r="D35" s="262" t="s">
        <v>546</v>
      </c>
      <c r="E35" s="263" t="s">
        <v>547</v>
      </c>
      <c r="F35" s="264" t="s">
        <v>117</v>
      </c>
      <c r="G35" s="264" t="s">
        <v>122</v>
      </c>
      <c r="H35" s="265">
        <v>3</v>
      </c>
      <c r="I35" s="265">
        <v>2</v>
      </c>
      <c r="J35" s="265">
        <v>5</v>
      </c>
      <c r="K35" s="265" t="str">
        <f t="shared" si="4"/>
        <v>H</v>
      </c>
      <c r="L35" s="266" t="str">
        <f t="shared" si="5"/>
        <v>3</v>
      </c>
      <c r="M35" s="234"/>
    </row>
    <row r="36" spans="1:13" ht="60" customHeight="1">
      <c r="A36" s="232"/>
      <c r="B36" s="267" t="s">
        <v>548</v>
      </c>
      <c r="C36" s="268" t="s">
        <v>549</v>
      </c>
      <c r="D36" s="269" t="s">
        <v>550</v>
      </c>
      <c r="E36" s="270" t="s">
        <v>551</v>
      </c>
      <c r="F36" s="271" t="s">
        <v>117</v>
      </c>
      <c r="G36" s="271" t="s">
        <v>455</v>
      </c>
      <c r="H36" s="272">
        <f t="shared" si="0"/>
        <v>3</v>
      </c>
      <c r="I36" s="272">
        <f t="shared" si="0"/>
        <v>1</v>
      </c>
      <c r="J36" s="272">
        <f t="shared" si="1"/>
        <v>4</v>
      </c>
      <c r="K36" s="272" t="str">
        <f>IF(SUM(J36)&gt;=5,"H",IF(SUM(J36)&gt;=3,"M","L"))</f>
        <v>M</v>
      </c>
      <c r="L36" s="273" t="str">
        <f>IF(SUM(J36)&gt;=5,"3",IF(SUM(J36)&gt;=3,"2","1"))</f>
        <v>2</v>
      </c>
      <c r="M36" s="234"/>
    </row>
    <row r="37" spans="1:13" ht="60" customHeight="1">
      <c r="A37" s="232"/>
      <c r="B37" s="267" t="s">
        <v>552</v>
      </c>
      <c r="C37" s="268" t="s">
        <v>553</v>
      </c>
      <c r="D37" s="269" t="s">
        <v>554</v>
      </c>
      <c r="E37" s="270" t="s">
        <v>555</v>
      </c>
      <c r="F37" s="271" t="s">
        <v>117</v>
      </c>
      <c r="G37" s="271" t="s">
        <v>455</v>
      </c>
      <c r="H37" s="272">
        <f t="shared" si="0"/>
        <v>3</v>
      </c>
      <c r="I37" s="272">
        <f t="shared" si="0"/>
        <v>1</v>
      </c>
      <c r="J37" s="272">
        <f t="shared" si="1"/>
        <v>4</v>
      </c>
      <c r="K37" s="272" t="str">
        <f t="shared" ref="K37:K41" si="6">IF(SUM(J37)&gt;=5,"H",IF(SUM(J37)&gt;=3,"M","L"))</f>
        <v>M</v>
      </c>
      <c r="L37" s="273" t="str">
        <f t="shared" ref="L37:L41" si="7">IF(SUM(J37)&gt;=5,"3",IF(SUM(J37)&gt;=3,"2","1"))</f>
        <v>2</v>
      </c>
      <c r="M37" s="234"/>
    </row>
    <row r="38" spans="1:13" ht="60" customHeight="1">
      <c r="A38" s="232"/>
      <c r="B38" s="267" t="s">
        <v>552</v>
      </c>
      <c r="C38" s="268" t="s">
        <v>556</v>
      </c>
      <c r="D38" s="269" t="s">
        <v>557</v>
      </c>
      <c r="E38" s="270" t="s">
        <v>558</v>
      </c>
      <c r="F38" s="271" t="s">
        <v>117</v>
      </c>
      <c r="G38" s="271" t="s">
        <v>455</v>
      </c>
      <c r="H38" s="272">
        <f t="shared" si="0"/>
        <v>3</v>
      </c>
      <c r="I38" s="272">
        <f t="shared" si="0"/>
        <v>1</v>
      </c>
      <c r="J38" s="272">
        <f t="shared" si="1"/>
        <v>4</v>
      </c>
      <c r="K38" s="272" t="str">
        <f t="shared" si="6"/>
        <v>M</v>
      </c>
      <c r="L38" s="273" t="str">
        <f t="shared" si="7"/>
        <v>2</v>
      </c>
      <c r="M38" s="234"/>
    </row>
    <row r="39" spans="1:13" ht="60" customHeight="1">
      <c r="A39" s="232"/>
      <c r="B39" s="267" t="s">
        <v>552</v>
      </c>
      <c r="C39" s="268" t="s">
        <v>559</v>
      </c>
      <c r="D39" s="269" t="s">
        <v>560</v>
      </c>
      <c r="E39" s="270" t="s">
        <v>561</v>
      </c>
      <c r="F39" s="271" t="s">
        <v>117</v>
      </c>
      <c r="G39" s="271" t="s">
        <v>122</v>
      </c>
      <c r="H39" s="272">
        <f t="shared" si="0"/>
        <v>3</v>
      </c>
      <c r="I39" s="272">
        <f t="shared" si="0"/>
        <v>2</v>
      </c>
      <c r="J39" s="272">
        <f t="shared" si="1"/>
        <v>5</v>
      </c>
      <c r="K39" s="272" t="str">
        <f t="shared" si="6"/>
        <v>H</v>
      </c>
      <c r="L39" s="273" t="str">
        <f t="shared" si="7"/>
        <v>3</v>
      </c>
      <c r="M39" s="234"/>
    </row>
    <row r="40" spans="1:13" ht="60" customHeight="1">
      <c r="A40" s="232"/>
      <c r="B40" s="267" t="s">
        <v>552</v>
      </c>
      <c r="C40" s="268" t="s">
        <v>562</v>
      </c>
      <c r="D40" s="269" t="s">
        <v>563</v>
      </c>
      <c r="E40" s="270" t="s">
        <v>564</v>
      </c>
      <c r="F40" s="271" t="s">
        <v>122</v>
      </c>
      <c r="G40" s="271" t="s">
        <v>455</v>
      </c>
      <c r="H40" s="272">
        <f t="shared" si="0"/>
        <v>2</v>
      </c>
      <c r="I40" s="272">
        <f t="shared" si="0"/>
        <v>1</v>
      </c>
      <c r="J40" s="272">
        <f t="shared" si="1"/>
        <v>3</v>
      </c>
      <c r="K40" s="272" t="str">
        <f t="shared" si="6"/>
        <v>M</v>
      </c>
      <c r="L40" s="273" t="str">
        <f t="shared" si="7"/>
        <v>2</v>
      </c>
      <c r="M40" s="234"/>
    </row>
    <row r="41" spans="1:13" ht="60" customHeight="1">
      <c r="A41" s="232"/>
      <c r="B41" s="267" t="s">
        <v>565</v>
      </c>
      <c r="C41" s="268" t="s">
        <v>566</v>
      </c>
      <c r="D41" s="269" t="s">
        <v>567</v>
      </c>
      <c r="E41" s="270" t="s">
        <v>568</v>
      </c>
      <c r="F41" s="271" t="s">
        <v>505</v>
      </c>
      <c r="G41" s="271" t="s">
        <v>510</v>
      </c>
      <c r="H41" s="272">
        <f t="shared" si="0"/>
        <v>3</v>
      </c>
      <c r="I41" s="272">
        <f t="shared" si="0"/>
        <v>1</v>
      </c>
      <c r="J41" s="272">
        <f t="shared" si="1"/>
        <v>4</v>
      </c>
      <c r="K41" s="272" t="str">
        <f t="shared" si="6"/>
        <v>M</v>
      </c>
      <c r="L41" s="273" t="str">
        <f t="shared" si="7"/>
        <v>2</v>
      </c>
      <c r="M41" s="234"/>
    </row>
    <row r="42" spans="1:13" ht="60" customHeight="1">
      <c r="A42" s="232"/>
      <c r="B42" s="274" t="s">
        <v>569</v>
      </c>
      <c r="C42" s="275" t="s">
        <v>570</v>
      </c>
      <c r="D42" s="276" t="s">
        <v>571</v>
      </c>
      <c r="E42" s="277" t="s">
        <v>572</v>
      </c>
      <c r="F42" s="278" t="s">
        <v>117</v>
      </c>
      <c r="G42" s="278" t="s">
        <v>117</v>
      </c>
      <c r="H42" s="279">
        <f t="shared" si="0"/>
        <v>3</v>
      </c>
      <c r="I42" s="279">
        <f t="shared" si="0"/>
        <v>3</v>
      </c>
      <c r="J42" s="279">
        <f t="shared" si="1"/>
        <v>6</v>
      </c>
      <c r="K42" s="279" t="str">
        <f>IF(SUM(J42)&gt;=5,"H",IF(SUM(J42)&gt;=3,"M","L"))</f>
        <v>H</v>
      </c>
      <c r="L42" s="280" t="str">
        <f>IF(SUM(J42)&gt;=5,"3",IF(SUM(J42)&gt;=3,"2","1"))</f>
        <v>3</v>
      </c>
      <c r="M42" s="234"/>
    </row>
    <row r="43" spans="1:13" ht="60" customHeight="1">
      <c r="A43" s="232"/>
      <c r="B43" s="274" t="s">
        <v>573</v>
      </c>
      <c r="C43" s="281" t="s">
        <v>574</v>
      </c>
      <c r="D43" s="282" t="s">
        <v>575</v>
      </c>
      <c r="E43" s="283" t="s">
        <v>576</v>
      </c>
      <c r="F43" s="278" t="s">
        <v>117</v>
      </c>
      <c r="G43" s="278" t="s">
        <v>577</v>
      </c>
      <c r="H43" s="279">
        <f t="shared" si="0"/>
        <v>3</v>
      </c>
      <c r="I43" s="279">
        <f t="shared" si="0"/>
        <v>2</v>
      </c>
      <c r="J43" s="279">
        <f t="shared" si="1"/>
        <v>5</v>
      </c>
      <c r="K43" s="279" t="str">
        <f t="shared" ref="K43:K70" si="8">IF(SUM(J43)&gt;=5,"H",IF(SUM(J43)&gt;=3,"M","L"))</f>
        <v>H</v>
      </c>
      <c r="L43" s="280" t="str">
        <f t="shared" ref="L43:L70" si="9">IF(SUM(J43)&gt;=5,"3",IF(SUM(J43)&gt;=3,"2","1"))</f>
        <v>3</v>
      </c>
      <c r="M43" s="234"/>
    </row>
    <row r="44" spans="1:13" ht="60" customHeight="1">
      <c r="A44" s="232"/>
      <c r="B44" s="274" t="s">
        <v>573</v>
      </c>
      <c r="C44" s="275" t="s">
        <v>578</v>
      </c>
      <c r="D44" s="276" t="s">
        <v>579</v>
      </c>
      <c r="E44" s="277" t="s">
        <v>580</v>
      </c>
      <c r="F44" s="278" t="s">
        <v>117</v>
      </c>
      <c r="G44" s="278" t="s">
        <v>122</v>
      </c>
      <c r="H44" s="279">
        <f t="shared" si="0"/>
        <v>3</v>
      </c>
      <c r="I44" s="279">
        <f t="shared" si="0"/>
        <v>2</v>
      </c>
      <c r="J44" s="279">
        <f t="shared" si="1"/>
        <v>5</v>
      </c>
      <c r="K44" s="279" t="str">
        <f t="shared" si="8"/>
        <v>H</v>
      </c>
      <c r="L44" s="280" t="str">
        <f t="shared" si="9"/>
        <v>3</v>
      </c>
      <c r="M44" s="234"/>
    </row>
    <row r="45" spans="1:13" ht="60" customHeight="1">
      <c r="A45" s="232"/>
      <c r="B45" s="274" t="s">
        <v>581</v>
      </c>
      <c r="C45" s="281" t="s">
        <v>582</v>
      </c>
      <c r="D45" s="276" t="s">
        <v>583</v>
      </c>
      <c r="E45" s="277" t="s">
        <v>584</v>
      </c>
      <c r="F45" s="278" t="s">
        <v>117</v>
      </c>
      <c r="G45" s="278" t="s">
        <v>122</v>
      </c>
      <c r="H45" s="279">
        <f t="shared" si="0"/>
        <v>3</v>
      </c>
      <c r="I45" s="279">
        <f t="shared" si="0"/>
        <v>2</v>
      </c>
      <c r="J45" s="279">
        <f t="shared" si="1"/>
        <v>5</v>
      </c>
      <c r="K45" s="279" t="str">
        <f t="shared" si="8"/>
        <v>H</v>
      </c>
      <c r="L45" s="280" t="str">
        <f t="shared" si="9"/>
        <v>3</v>
      </c>
      <c r="M45" s="234"/>
    </row>
    <row r="46" spans="1:13" ht="60" customHeight="1">
      <c r="A46" s="232"/>
      <c r="B46" s="274" t="s">
        <v>569</v>
      </c>
      <c r="C46" s="275" t="s">
        <v>585</v>
      </c>
      <c r="D46" s="276" t="s">
        <v>586</v>
      </c>
      <c r="E46" s="277" t="s">
        <v>587</v>
      </c>
      <c r="F46" s="278" t="s">
        <v>117</v>
      </c>
      <c r="G46" s="278" t="s">
        <v>117</v>
      </c>
      <c r="H46" s="279">
        <f t="shared" si="0"/>
        <v>3</v>
      </c>
      <c r="I46" s="279">
        <f t="shared" si="0"/>
        <v>3</v>
      </c>
      <c r="J46" s="279">
        <f t="shared" si="1"/>
        <v>6</v>
      </c>
      <c r="K46" s="279" t="str">
        <f t="shared" si="8"/>
        <v>H</v>
      </c>
      <c r="L46" s="280" t="str">
        <f t="shared" si="9"/>
        <v>3</v>
      </c>
      <c r="M46" s="234"/>
    </row>
    <row r="47" spans="1:13" ht="60" customHeight="1">
      <c r="A47" s="232"/>
      <c r="B47" s="274" t="s">
        <v>581</v>
      </c>
      <c r="C47" s="281" t="s">
        <v>588</v>
      </c>
      <c r="D47" s="276" t="s">
        <v>589</v>
      </c>
      <c r="E47" s="277" t="s">
        <v>590</v>
      </c>
      <c r="F47" s="278" t="s">
        <v>122</v>
      </c>
      <c r="G47" s="278" t="s">
        <v>122</v>
      </c>
      <c r="H47" s="279">
        <f t="shared" si="0"/>
        <v>2</v>
      </c>
      <c r="I47" s="279">
        <f t="shared" si="0"/>
        <v>2</v>
      </c>
      <c r="J47" s="279">
        <f t="shared" si="1"/>
        <v>4</v>
      </c>
      <c r="K47" s="279" t="str">
        <f t="shared" si="8"/>
        <v>M</v>
      </c>
      <c r="L47" s="280" t="str">
        <f t="shared" si="9"/>
        <v>2</v>
      </c>
      <c r="M47" s="234"/>
    </row>
    <row r="48" spans="1:13" ht="60" customHeight="1">
      <c r="A48" s="232"/>
      <c r="B48" s="274" t="s">
        <v>573</v>
      </c>
      <c r="C48" s="275" t="s">
        <v>591</v>
      </c>
      <c r="D48" s="276" t="s">
        <v>592</v>
      </c>
      <c r="E48" s="277" t="s">
        <v>593</v>
      </c>
      <c r="F48" s="278" t="s">
        <v>117</v>
      </c>
      <c r="G48" s="278" t="s">
        <v>122</v>
      </c>
      <c r="H48" s="279">
        <f t="shared" si="0"/>
        <v>3</v>
      </c>
      <c r="I48" s="279">
        <f t="shared" si="0"/>
        <v>2</v>
      </c>
      <c r="J48" s="279">
        <f t="shared" si="1"/>
        <v>5</v>
      </c>
      <c r="K48" s="279" t="str">
        <f t="shared" si="8"/>
        <v>H</v>
      </c>
      <c r="L48" s="280" t="str">
        <f t="shared" si="9"/>
        <v>3</v>
      </c>
      <c r="M48" s="234"/>
    </row>
    <row r="49" spans="1:13" ht="60" customHeight="1">
      <c r="A49" s="232"/>
      <c r="B49" s="274" t="s">
        <v>581</v>
      </c>
      <c r="C49" s="281" t="s">
        <v>594</v>
      </c>
      <c r="D49" s="276" t="s">
        <v>595</v>
      </c>
      <c r="E49" s="277" t="s">
        <v>596</v>
      </c>
      <c r="F49" s="278" t="s">
        <v>117</v>
      </c>
      <c r="G49" s="278" t="s">
        <v>117</v>
      </c>
      <c r="H49" s="279">
        <f t="shared" si="0"/>
        <v>3</v>
      </c>
      <c r="I49" s="279">
        <f t="shared" si="0"/>
        <v>3</v>
      </c>
      <c r="J49" s="279">
        <f t="shared" si="1"/>
        <v>6</v>
      </c>
      <c r="K49" s="279" t="str">
        <f t="shared" si="8"/>
        <v>H</v>
      </c>
      <c r="L49" s="280" t="str">
        <f t="shared" si="9"/>
        <v>3</v>
      </c>
      <c r="M49" s="234"/>
    </row>
    <row r="50" spans="1:13" ht="60" customHeight="1">
      <c r="A50" s="232"/>
      <c r="B50" s="274" t="s">
        <v>573</v>
      </c>
      <c r="C50" s="275" t="s">
        <v>597</v>
      </c>
      <c r="D50" s="276" t="s">
        <v>598</v>
      </c>
      <c r="E50" s="277" t="s">
        <v>599</v>
      </c>
      <c r="F50" s="278" t="s">
        <v>122</v>
      </c>
      <c r="G50" s="278" t="s">
        <v>122</v>
      </c>
      <c r="H50" s="279">
        <f t="shared" si="0"/>
        <v>2</v>
      </c>
      <c r="I50" s="279">
        <f t="shared" si="0"/>
        <v>2</v>
      </c>
      <c r="J50" s="279">
        <f t="shared" si="1"/>
        <v>4</v>
      </c>
      <c r="K50" s="279" t="str">
        <f t="shared" si="8"/>
        <v>M</v>
      </c>
      <c r="L50" s="280" t="str">
        <f t="shared" si="9"/>
        <v>2</v>
      </c>
      <c r="M50" s="234"/>
    </row>
    <row r="51" spans="1:13" ht="60" customHeight="1">
      <c r="A51" s="232"/>
      <c r="B51" s="274" t="s">
        <v>573</v>
      </c>
      <c r="C51" s="281" t="s">
        <v>600</v>
      </c>
      <c r="D51" s="276" t="s">
        <v>601</v>
      </c>
      <c r="E51" s="277" t="s">
        <v>602</v>
      </c>
      <c r="F51" s="278" t="s">
        <v>455</v>
      </c>
      <c r="G51" s="278" t="s">
        <v>122</v>
      </c>
      <c r="H51" s="279">
        <f t="shared" si="0"/>
        <v>1</v>
      </c>
      <c r="I51" s="279">
        <f t="shared" si="0"/>
        <v>2</v>
      </c>
      <c r="J51" s="279">
        <f t="shared" si="1"/>
        <v>3</v>
      </c>
      <c r="K51" s="279" t="str">
        <f t="shared" si="8"/>
        <v>M</v>
      </c>
      <c r="L51" s="280" t="str">
        <f t="shared" si="9"/>
        <v>2</v>
      </c>
      <c r="M51" s="234"/>
    </row>
    <row r="52" spans="1:13" ht="60" customHeight="1">
      <c r="A52" s="232"/>
      <c r="B52" s="274" t="s">
        <v>581</v>
      </c>
      <c r="C52" s="275" t="s">
        <v>603</v>
      </c>
      <c r="D52" s="276" t="s">
        <v>604</v>
      </c>
      <c r="E52" s="277" t="s">
        <v>605</v>
      </c>
      <c r="F52" s="278" t="s">
        <v>117</v>
      </c>
      <c r="G52" s="278" t="s">
        <v>122</v>
      </c>
      <c r="H52" s="279">
        <f t="shared" si="0"/>
        <v>3</v>
      </c>
      <c r="I52" s="279">
        <f t="shared" si="0"/>
        <v>2</v>
      </c>
      <c r="J52" s="279">
        <f t="shared" si="1"/>
        <v>5</v>
      </c>
      <c r="K52" s="279" t="str">
        <f t="shared" si="8"/>
        <v>H</v>
      </c>
      <c r="L52" s="280" t="str">
        <f t="shared" si="9"/>
        <v>3</v>
      </c>
      <c r="M52" s="234"/>
    </row>
    <row r="53" spans="1:13" ht="60" customHeight="1">
      <c r="A53" s="232"/>
      <c r="B53" s="274" t="s">
        <v>573</v>
      </c>
      <c r="C53" s="281" t="s">
        <v>606</v>
      </c>
      <c r="D53" s="276" t="s">
        <v>137</v>
      </c>
      <c r="E53" s="277" t="s">
        <v>607</v>
      </c>
      <c r="F53" s="278" t="s">
        <v>122</v>
      </c>
      <c r="G53" s="278" t="s">
        <v>122</v>
      </c>
      <c r="H53" s="279">
        <f t="shared" si="0"/>
        <v>2</v>
      </c>
      <c r="I53" s="279">
        <f t="shared" si="0"/>
        <v>2</v>
      </c>
      <c r="J53" s="279">
        <f t="shared" si="1"/>
        <v>4</v>
      </c>
      <c r="K53" s="279" t="str">
        <f t="shared" si="8"/>
        <v>M</v>
      </c>
      <c r="L53" s="280" t="str">
        <f t="shared" si="9"/>
        <v>2</v>
      </c>
      <c r="M53" s="234"/>
    </row>
    <row r="54" spans="1:13" ht="60" customHeight="1">
      <c r="A54" s="232"/>
      <c r="B54" s="274" t="s">
        <v>581</v>
      </c>
      <c r="C54" s="275" t="s">
        <v>608</v>
      </c>
      <c r="D54" s="276" t="s">
        <v>609</v>
      </c>
      <c r="E54" s="277" t="s">
        <v>610</v>
      </c>
      <c r="F54" s="278" t="s">
        <v>117</v>
      </c>
      <c r="G54" s="278" t="s">
        <v>455</v>
      </c>
      <c r="H54" s="279">
        <f t="shared" si="0"/>
        <v>3</v>
      </c>
      <c r="I54" s="279">
        <f t="shared" si="0"/>
        <v>1</v>
      </c>
      <c r="J54" s="279">
        <f t="shared" si="1"/>
        <v>4</v>
      </c>
      <c r="K54" s="279" t="str">
        <f t="shared" si="8"/>
        <v>M</v>
      </c>
      <c r="L54" s="280" t="str">
        <f t="shared" si="9"/>
        <v>2</v>
      </c>
      <c r="M54" s="234"/>
    </row>
    <row r="55" spans="1:13" ht="60" customHeight="1">
      <c r="A55" s="232"/>
      <c r="B55" s="274" t="s">
        <v>573</v>
      </c>
      <c r="C55" s="281" t="s">
        <v>611</v>
      </c>
      <c r="D55" s="284" t="s">
        <v>121</v>
      </c>
      <c r="E55" s="277" t="s">
        <v>612</v>
      </c>
      <c r="F55" s="278" t="s">
        <v>122</v>
      </c>
      <c r="G55" s="278" t="s">
        <v>117</v>
      </c>
      <c r="H55" s="279">
        <f t="shared" si="0"/>
        <v>2</v>
      </c>
      <c r="I55" s="279">
        <f t="shared" si="0"/>
        <v>3</v>
      </c>
      <c r="J55" s="279">
        <f t="shared" si="1"/>
        <v>5</v>
      </c>
      <c r="K55" s="279" t="str">
        <f t="shared" si="8"/>
        <v>H</v>
      </c>
      <c r="L55" s="280" t="str">
        <f t="shared" si="9"/>
        <v>3</v>
      </c>
      <c r="M55" s="234"/>
    </row>
    <row r="56" spans="1:13" ht="60" customHeight="1">
      <c r="A56" s="232"/>
      <c r="B56" s="274" t="s">
        <v>581</v>
      </c>
      <c r="C56" s="275" t="s">
        <v>613</v>
      </c>
      <c r="D56" s="284" t="s">
        <v>614</v>
      </c>
      <c r="E56" s="277" t="s">
        <v>615</v>
      </c>
      <c r="F56" s="278" t="s">
        <v>117</v>
      </c>
      <c r="G56" s="278" t="s">
        <v>122</v>
      </c>
      <c r="H56" s="279">
        <f t="shared" si="0"/>
        <v>3</v>
      </c>
      <c r="I56" s="279">
        <f t="shared" si="0"/>
        <v>2</v>
      </c>
      <c r="J56" s="279">
        <f t="shared" si="1"/>
        <v>5</v>
      </c>
      <c r="K56" s="279" t="str">
        <f t="shared" si="8"/>
        <v>H</v>
      </c>
      <c r="L56" s="280" t="str">
        <f t="shared" si="9"/>
        <v>3</v>
      </c>
      <c r="M56" s="234"/>
    </row>
    <row r="57" spans="1:13" ht="60" customHeight="1">
      <c r="A57" s="232"/>
      <c r="B57" s="274" t="s">
        <v>581</v>
      </c>
      <c r="C57" s="281" t="s">
        <v>616</v>
      </c>
      <c r="D57" s="284" t="s">
        <v>617</v>
      </c>
      <c r="E57" s="277" t="s">
        <v>618</v>
      </c>
      <c r="F57" s="278" t="s">
        <v>117</v>
      </c>
      <c r="G57" s="278" t="s">
        <v>455</v>
      </c>
      <c r="H57" s="279">
        <f t="shared" si="0"/>
        <v>3</v>
      </c>
      <c r="I57" s="279">
        <f t="shared" si="0"/>
        <v>1</v>
      </c>
      <c r="J57" s="279">
        <f t="shared" si="1"/>
        <v>4</v>
      </c>
      <c r="K57" s="279" t="str">
        <f t="shared" si="8"/>
        <v>M</v>
      </c>
      <c r="L57" s="280" t="str">
        <f t="shared" si="9"/>
        <v>2</v>
      </c>
      <c r="M57" s="234"/>
    </row>
    <row r="58" spans="1:13" ht="60" customHeight="1">
      <c r="A58" s="232"/>
      <c r="B58" s="274" t="s">
        <v>573</v>
      </c>
      <c r="C58" s="275" t="s">
        <v>619</v>
      </c>
      <c r="D58" s="284" t="s">
        <v>620</v>
      </c>
      <c r="E58" s="277" t="s">
        <v>621</v>
      </c>
      <c r="F58" s="278" t="s">
        <v>117</v>
      </c>
      <c r="G58" s="278" t="s">
        <v>117</v>
      </c>
      <c r="H58" s="279">
        <f t="shared" si="0"/>
        <v>3</v>
      </c>
      <c r="I58" s="279">
        <f t="shared" si="0"/>
        <v>3</v>
      </c>
      <c r="J58" s="279">
        <f t="shared" si="1"/>
        <v>6</v>
      </c>
      <c r="K58" s="279" t="str">
        <f t="shared" si="8"/>
        <v>H</v>
      </c>
      <c r="L58" s="280" t="str">
        <f t="shared" si="9"/>
        <v>3</v>
      </c>
      <c r="M58" s="234"/>
    </row>
    <row r="59" spans="1:13" ht="60" customHeight="1">
      <c r="A59" s="232"/>
      <c r="B59" s="274" t="s">
        <v>573</v>
      </c>
      <c r="C59" s="281" t="s">
        <v>622</v>
      </c>
      <c r="D59" s="276" t="s">
        <v>623</v>
      </c>
      <c r="E59" s="277" t="s">
        <v>624</v>
      </c>
      <c r="F59" s="278" t="s">
        <v>122</v>
      </c>
      <c r="G59" s="278" t="s">
        <v>122</v>
      </c>
      <c r="H59" s="279">
        <f t="shared" si="0"/>
        <v>2</v>
      </c>
      <c r="I59" s="279">
        <f t="shared" si="0"/>
        <v>2</v>
      </c>
      <c r="J59" s="279">
        <f t="shared" si="1"/>
        <v>4</v>
      </c>
      <c r="K59" s="279" t="str">
        <f t="shared" si="8"/>
        <v>M</v>
      </c>
      <c r="L59" s="280" t="str">
        <f t="shared" si="9"/>
        <v>2</v>
      </c>
      <c r="M59" s="234"/>
    </row>
    <row r="60" spans="1:13" ht="60" customHeight="1">
      <c r="A60" s="232"/>
      <c r="B60" s="274" t="s">
        <v>573</v>
      </c>
      <c r="C60" s="275" t="s">
        <v>625</v>
      </c>
      <c r="D60" s="276" t="s">
        <v>626</v>
      </c>
      <c r="E60" s="277" t="s">
        <v>627</v>
      </c>
      <c r="F60" s="278" t="s">
        <v>117</v>
      </c>
      <c r="G60" s="278" t="s">
        <v>117</v>
      </c>
      <c r="H60" s="279">
        <f t="shared" si="0"/>
        <v>3</v>
      </c>
      <c r="I60" s="279">
        <f t="shared" si="0"/>
        <v>3</v>
      </c>
      <c r="J60" s="279">
        <f t="shared" si="1"/>
        <v>6</v>
      </c>
      <c r="K60" s="279" t="str">
        <f t="shared" si="8"/>
        <v>H</v>
      </c>
      <c r="L60" s="280" t="str">
        <f t="shared" si="9"/>
        <v>3</v>
      </c>
      <c r="M60" s="234"/>
    </row>
    <row r="61" spans="1:13" ht="60" customHeight="1">
      <c r="A61" s="232"/>
      <c r="B61" s="274" t="s">
        <v>628</v>
      </c>
      <c r="C61" s="281" t="s">
        <v>629</v>
      </c>
      <c r="D61" s="284" t="s">
        <v>630</v>
      </c>
      <c r="E61" s="277" t="s">
        <v>631</v>
      </c>
      <c r="F61" s="278" t="s">
        <v>122</v>
      </c>
      <c r="G61" s="278" t="s">
        <v>117</v>
      </c>
      <c r="H61" s="279">
        <v>2</v>
      </c>
      <c r="I61" s="279">
        <v>3</v>
      </c>
      <c r="J61" s="279">
        <v>5</v>
      </c>
      <c r="K61" s="279" t="str">
        <f t="shared" si="8"/>
        <v>H</v>
      </c>
      <c r="L61" s="280" t="str">
        <f t="shared" si="9"/>
        <v>3</v>
      </c>
      <c r="M61" s="234"/>
    </row>
    <row r="62" spans="1:13" ht="60" customHeight="1">
      <c r="A62" s="232"/>
      <c r="B62" s="274" t="s">
        <v>628</v>
      </c>
      <c r="C62" s="275" t="s">
        <v>632</v>
      </c>
      <c r="D62" s="284" t="s">
        <v>633</v>
      </c>
      <c r="E62" s="277" t="s">
        <v>634</v>
      </c>
      <c r="F62" s="278" t="s">
        <v>117</v>
      </c>
      <c r="G62" s="278" t="s">
        <v>117</v>
      </c>
      <c r="H62" s="279">
        <v>3</v>
      </c>
      <c r="I62" s="279">
        <v>3</v>
      </c>
      <c r="J62" s="279">
        <v>6</v>
      </c>
      <c r="K62" s="279" t="str">
        <f t="shared" si="8"/>
        <v>H</v>
      </c>
      <c r="L62" s="280" t="str">
        <f t="shared" si="9"/>
        <v>3</v>
      </c>
      <c r="M62" s="234"/>
    </row>
    <row r="63" spans="1:13" ht="60" customHeight="1">
      <c r="A63" s="232"/>
      <c r="B63" s="274" t="s">
        <v>628</v>
      </c>
      <c r="C63" s="281" t="s">
        <v>635</v>
      </c>
      <c r="D63" s="284" t="s">
        <v>636</v>
      </c>
      <c r="E63" s="277" t="s">
        <v>637</v>
      </c>
      <c r="F63" s="278" t="s">
        <v>117</v>
      </c>
      <c r="G63" s="278" t="s">
        <v>117</v>
      </c>
      <c r="H63" s="279">
        <v>3</v>
      </c>
      <c r="I63" s="279">
        <v>3</v>
      </c>
      <c r="J63" s="279">
        <v>6</v>
      </c>
      <c r="K63" s="279" t="str">
        <f t="shared" si="8"/>
        <v>H</v>
      </c>
      <c r="L63" s="280" t="str">
        <f t="shared" si="9"/>
        <v>3</v>
      </c>
      <c r="M63" s="234"/>
    </row>
    <row r="64" spans="1:13" ht="60" customHeight="1">
      <c r="A64" s="232"/>
      <c r="B64" s="274" t="s">
        <v>628</v>
      </c>
      <c r="C64" s="275" t="s">
        <v>638</v>
      </c>
      <c r="D64" s="284" t="s">
        <v>639</v>
      </c>
      <c r="E64" s="277" t="s">
        <v>640</v>
      </c>
      <c r="F64" s="278" t="s">
        <v>117</v>
      </c>
      <c r="G64" s="278" t="s">
        <v>117</v>
      </c>
      <c r="H64" s="279">
        <v>3</v>
      </c>
      <c r="I64" s="279">
        <v>3</v>
      </c>
      <c r="J64" s="279">
        <v>6</v>
      </c>
      <c r="K64" s="279" t="str">
        <f t="shared" si="8"/>
        <v>H</v>
      </c>
      <c r="L64" s="280" t="str">
        <f t="shared" si="9"/>
        <v>3</v>
      </c>
      <c r="M64" s="234"/>
    </row>
    <row r="65" spans="1:13" ht="60" customHeight="1">
      <c r="A65" s="232"/>
      <c r="B65" s="274" t="s">
        <v>628</v>
      </c>
      <c r="C65" s="281" t="s">
        <v>641</v>
      </c>
      <c r="D65" s="284" t="s">
        <v>642</v>
      </c>
      <c r="E65" s="277" t="s">
        <v>643</v>
      </c>
      <c r="F65" s="278" t="s">
        <v>117</v>
      </c>
      <c r="G65" s="278" t="s">
        <v>117</v>
      </c>
      <c r="H65" s="279">
        <v>3</v>
      </c>
      <c r="I65" s="279">
        <v>3</v>
      </c>
      <c r="J65" s="279">
        <v>6</v>
      </c>
      <c r="K65" s="279" t="str">
        <f t="shared" si="8"/>
        <v>H</v>
      </c>
      <c r="L65" s="280" t="str">
        <f t="shared" si="9"/>
        <v>3</v>
      </c>
      <c r="M65" s="234"/>
    </row>
    <row r="66" spans="1:13" ht="60" customHeight="1">
      <c r="A66" s="232"/>
      <c r="B66" s="274" t="s">
        <v>628</v>
      </c>
      <c r="C66" s="275" t="s">
        <v>644</v>
      </c>
      <c r="D66" s="284" t="s">
        <v>645</v>
      </c>
      <c r="E66" s="277" t="s">
        <v>646</v>
      </c>
      <c r="F66" s="278" t="s">
        <v>117</v>
      </c>
      <c r="G66" s="278" t="s">
        <v>117</v>
      </c>
      <c r="H66" s="279">
        <v>3</v>
      </c>
      <c r="I66" s="279">
        <v>3</v>
      </c>
      <c r="J66" s="279">
        <v>6</v>
      </c>
      <c r="K66" s="279" t="str">
        <f t="shared" si="8"/>
        <v>H</v>
      </c>
      <c r="L66" s="280" t="str">
        <f t="shared" si="9"/>
        <v>3</v>
      </c>
      <c r="M66" s="234"/>
    </row>
    <row r="67" spans="1:13" ht="60" customHeight="1">
      <c r="A67" s="232"/>
      <c r="B67" s="274" t="s">
        <v>628</v>
      </c>
      <c r="C67" s="281" t="s">
        <v>647</v>
      </c>
      <c r="D67" s="284" t="s">
        <v>648</v>
      </c>
      <c r="E67" s="277" t="s">
        <v>649</v>
      </c>
      <c r="F67" s="278" t="s">
        <v>117</v>
      </c>
      <c r="G67" s="278" t="s">
        <v>117</v>
      </c>
      <c r="H67" s="279">
        <v>3</v>
      </c>
      <c r="I67" s="279">
        <v>3</v>
      </c>
      <c r="J67" s="279">
        <v>6</v>
      </c>
      <c r="K67" s="279" t="str">
        <f t="shared" si="8"/>
        <v>H</v>
      </c>
      <c r="L67" s="280" t="str">
        <f t="shared" si="9"/>
        <v>3</v>
      </c>
      <c r="M67" s="234"/>
    </row>
    <row r="68" spans="1:13" ht="60" customHeight="1">
      <c r="A68" s="232"/>
      <c r="B68" s="274" t="s">
        <v>628</v>
      </c>
      <c r="C68" s="275" t="s">
        <v>650</v>
      </c>
      <c r="D68" s="284" t="s">
        <v>651</v>
      </c>
      <c r="E68" s="277" t="s">
        <v>652</v>
      </c>
      <c r="F68" s="278" t="s">
        <v>117</v>
      </c>
      <c r="G68" s="278" t="s">
        <v>117</v>
      </c>
      <c r="H68" s="279">
        <v>3</v>
      </c>
      <c r="I68" s="279">
        <v>3</v>
      </c>
      <c r="J68" s="279">
        <v>6</v>
      </c>
      <c r="K68" s="279" t="str">
        <f t="shared" si="8"/>
        <v>H</v>
      </c>
      <c r="L68" s="280" t="str">
        <f t="shared" si="9"/>
        <v>3</v>
      </c>
      <c r="M68" s="234"/>
    </row>
    <row r="69" spans="1:13" ht="60" customHeight="1">
      <c r="A69" s="232"/>
      <c r="B69" s="274" t="s">
        <v>628</v>
      </c>
      <c r="C69" s="281" t="s">
        <v>653</v>
      </c>
      <c r="D69" s="284" t="s">
        <v>654</v>
      </c>
      <c r="E69" s="277" t="s">
        <v>655</v>
      </c>
      <c r="F69" s="278" t="s">
        <v>117</v>
      </c>
      <c r="G69" s="278" t="s">
        <v>122</v>
      </c>
      <c r="H69" s="279">
        <v>3</v>
      </c>
      <c r="I69" s="279">
        <v>2</v>
      </c>
      <c r="J69" s="279">
        <v>5</v>
      </c>
      <c r="K69" s="279" t="str">
        <f t="shared" si="8"/>
        <v>H</v>
      </c>
      <c r="L69" s="280" t="str">
        <f t="shared" si="9"/>
        <v>3</v>
      </c>
      <c r="M69" s="234"/>
    </row>
    <row r="70" spans="1:13" ht="60" customHeight="1">
      <c r="A70" s="232"/>
      <c r="B70" s="274" t="s">
        <v>628</v>
      </c>
      <c r="C70" s="275" t="s">
        <v>656</v>
      </c>
      <c r="D70" s="284" t="s">
        <v>657</v>
      </c>
      <c r="E70" s="277" t="s">
        <v>658</v>
      </c>
      <c r="F70" s="278" t="s">
        <v>117</v>
      </c>
      <c r="G70" s="278" t="s">
        <v>122</v>
      </c>
      <c r="H70" s="279">
        <v>3</v>
      </c>
      <c r="I70" s="279">
        <v>2</v>
      </c>
      <c r="J70" s="279">
        <v>5</v>
      </c>
      <c r="K70" s="279" t="str">
        <f t="shared" si="8"/>
        <v>H</v>
      </c>
      <c r="L70" s="280" t="str">
        <f t="shared" si="9"/>
        <v>3</v>
      </c>
      <c r="M70" s="234"/>
    </row>
    <row r="71" spans="1:13" ht="60" customHeight="1">
      <c r="A71" s="232"/>
      <c r="B71" s="285" t="s">
        <v>659</v>
      </c>
      <c r="C71" s="286" t="s">
        <v>660</v>
      </c>
      <c r="D71" s="287" t="s">
        <v>661</v>
      </c>
      <c r="E71" s="288" t="s">
        <v>662</v>
      </c>
      <c r="F71" s="289" t="s">
        <v>122</v>
      </c>
      <c r="G71" s="289" t="s">
        <v>455</v>
      </c>
      <c r="H71" s="290">
        <f t="shared" si="0"/>
        <v>2</v>
      </c>
      <c r="I71" s="290">
        <f t="shared" si="0"/>
        <v>1</v>
      </c>
      <c r="J71" s="290">
        <f t="shared" si="1"/>
        <v>3</v>
      </c>
      <c r="K71" s="290" t="str">
        <f>IF(SUM(J71)&gt;=5,"H",IF(SUM(J71)&gt;=3,"M","L"))</f>
        <v>M</v>
      </c>
      <c r="L71" s="291" t="str">
        <f>IF(SUM(J71)&gt;=5,"3",IF(SUM(J71)&gt;=3,"2","1"))</f>
        <v>2</v>
      </c>
      <c r="M71" s="234"/>
    </row>
    <row r="72" spans="1:13" ht="60" customHeight="1">
      <c r="A72" s="232"/>
      <c r="B72" s="285" t="s">
        <v>659</v>
      </c>
      <c r="C72" s="286" t="s">
        <v>663</v>
      </c>
      <c r="D72" s="287" t="s">
        <v>664</v>
      </c>
      <c r="E72" s="288" t="s">
        <v>665</v>
      </c>
      <c r="F72" s="289" t="s">
        <v>122</v>
      </c>
      <c r="G72" s="289" t="s">
        <v>455</v>
      </c>
      <c r="H72" s="290">
        <f t="shared" si="0"/>
        <v>2</v>
      </c>
      <c r="I72" s="290">
        <f t="shared" si="0"/>
        <v>1</v>
      </c>
      <c r="J72" s="290">
        <f t="shared" si="1"/>
        <v>3</v>
      </c>
      <c r="K72" s="290" t="str">
        <f t="shared" ref="K72:K86" si="10">IF(SUM(J72)&gt;=5,"H",IF(SUM(J72)&gt;=3,"M","L"))</f>
        <v>M</v>
      </c>
      <c r="L72" s="291" t="str">
        <f t="shared" ref="L72:L86" si="11">IF(SUM(J72)&gt;=5,"3",IF(SUM(J72)&gt;=3,"2","1"))</f>
        <v>2</v>
      </c>
      <c r="M72" s="234"/>
    </row>
    <row r="73" spans="1:13" ht="60" customHeight="1">
      <c r="A73" s="232"/>
      <c r="B73" s="285" t="s">
        <v>666</v>
      </c>
      <c r="C73" s="286" t="s">
        <v>667</v>
      </c>
      <c r="D73" s="287" t="s">
        <v>668</v>
      </c>
      <c r="E73" s="288" t="s">
        <v>669</v>
      </c>
      <c r="F73" s="289" t="s">
        <v>117</v>
      </c>
      <c r="G73" s="289" t="s">
        <v>122</v>
      </c>
      <c r="H73" s="290">
        <f t="shared" ref="H73:I96" si="12">IF(F73="H",3,IF(F73="M",2,IF(F73="L",1)))</f>
        <v>3</v>
      </c>
      <c r="I73" s="290">
        <f t="shared" si="12"/>
        <v>2</v>
      </c>
      <c r="J73" s="290">
        <f t="shared" ref="J73:J96" si="13">SUM(H73:I73)</f>
        <v>5</v>
      </c>
      <c r="K73" s="290" t="str">
        <f t="shared" si="10"/>
        <v>H</v>
      </c>
      <c r="L73" s="291" t="str">
        <f t="shared" si="11"/>
        <v>3</v>
      </c>
      <c r="M73" s="234"/>
    </row>
    <row r="74" spans="1:13" ht="60" customHeight="1">
      <c r="A74" s="232"/>
      <c r="B74" s="285" t="s">
        <v>670</v>
      </c>
      <c r="C74" s="286" t="s">
        <v>671</v>
      </c>
      <c r="D74" s="287" t="s">
        <v>672</v>
      </c>
      <c r="E74" s="288" t="s">
        <v>673</v>
      </c>
      <c r="F74" s="289" t="s">
        <v>455</v>
      </c>
      <c r="G74" s="289" t="s">
        <v>455</v>
      </c>
      <c r="H74" s="290">
        <f t="shared" si="12"/>
        <v>1</v>
      </c>
      <c r="I74" s="290">
        <f t="shared" si="12"/>
        <v>1</v>
      </c>
      <c r="J74" s="290">
        <f t="shared" si="13"/>
        <v>2</v>
      </c>
      <c r="K74" s="290" t="str">
        <f t="shared" si="10"/>
        <v>L</v>
      </c>
      <c r="L74" s="291" t="str">
        <f t="shared" si="11"/>
        <v>1</v>
      </c>
      <c r="M74" s="234"/>
    </row>
    <row r="75" spans="1:13" ht="60" customHeight="1">
      <c r="A75" s="232"/>
      <c r="B75" s="285" t="s">
        <v>659</v>
      </c>
      <c r="C75" s="286" t="s">
        <v>674</v>
      </c>
      <c r="D75" s="287" t="s">
        <v>675</v>
      </c>
      <c r="E75" s="288" t="s">
        <v>676</v>
      </c>
      <c r="F75" s="289" t="s">
        <v>122</v>
      </c>
      <c r="G75" s="289" t="s">
        <v>455</v>
      </c>
      <c r="H75" s="290">
        <f t="shared" si="12"/>
        <v>2</v>
      </c>
      <c r="I75" s="290">
        <f t="shared" si="12"/>
        <v>1</v>
      </c>
      <c r="J75" s="290">
        <f t="shared" si="13"/>
        <v>3</v>
      </c>
      <c r="K75" s="290" t="str">
        <f t="shared" si="10"/>
        <v>M</v>
      </c>
      <c r="L75" s="291" t="str">
        <f t="shared" si="11"/>
        <v>2</v>
      </c>
      <c r="M75" s="234"/>
    </row>
    <row r="76" spans="1:13" ht="60" customHeight="1">
      <c r="A76" s="232"/>
      <c r="B76" s="285" t="s">
        <v>659</v>
      </c>
      <c r="C76" s="286" t="s">
        <v>677</v>
      </c>
      <c r="D76" s="287" t="s">
        <v>223</v>
      </c>
      <c r="E76" s="288" t="s">
        <v>678</v>
      </c>
      <c r="F76" s="289" t="s">
        <v>122</v>
      </c>
      <c r="G76" s="289" t="s">
        <v>122</v>
      </c>
      <c r="H76" s="290">
        <f t="shared" si="12"/>
        <v>2</v>
      </c>
      <c r="I76" s="290">
        <f t="shared" si="12"/>
        <v>2</v>
      </c>
      <c r="J76" s="290">
        <f t="shared" si="13"/>
        <v>4</v>
      </c>
      <c r="K76" s="290" t="str">
        <f t="shared" si="10"/>
        <v>M</v>
      </c>
      <c r="L76" s="291" t="str">
        <f t="shared" si="11"/>
        <v>2</v>
      </c>
      <c r="M76" s="234"/>
    </row>
    <row r="77" spans="1:13" ht="60" customHeight="1">
      <c r="A77" s="232"/>
      <c r="B77" s="285" t="s">
        <v>670</v>
      </c>
      <c r="C77" s="286" t="s">
        <v>679</v>
      </c>
      <c r="D77" s="287" t="s">
        <v>222</v>
      </c>
      <c r="E77" s="288" t="s">
        <v>680</v>
      </c>
      <c r="F77" s="289" t="s">
        <v>122</v>
      </c>
      <c r="G77" s="289" t="s">
        <v>122</v>
      </c>
      <c r="H77" s="290">
        <f t="shared" si="12"/>
        <v>2</v>
      </c>
      <c r="I77" s="290">
        <f t="shared" si="12"/>
        <v>2</v>
      </c>
      <c r="J77" s="290">
        <f t="shared" si="13"/>
        <v>4</v>
      </c>
      <c r="K77" s="290" t="str">
        <f t="shared" si="10"/>
        <v>M</v>
      </c>
      <c r="L77" s="291" t="str">
        <f t="shared" si="11"/>
        <v>2</v>
      </c>
      <c r="M77" s="234"/>
    </row>
    <row r="78" spans="1:13" ht="60" customHeight="1">
      <c r="A78" s="232"/>
      <c r="B78" s="285" t="s">
        <v>659</v>
      </c>
      <c r="C78" s="286" t="s">
        <v>681</v>
      </c>
      <c r="D78" s="287" t="s">
        <v>682</v>
      </c>
      <c r="E78" s="288" t="s">
        <v>683</v>
      </c>
      <c r="F78" s="289" t="s">
        <v>455</v>
      </c>
      <c r="G78" s="289" t="s">
        <v>455</v>
      </c>
      <c r="H78" s="290">
        <f t="shared" si="12"/>
        <v>1</v>
      </c>
      <c r="I78" s="290">
        <f t="shared" si="12"/>
        <v>1</v>
      </c>
      <c r="J78" s="290">
        <f t="shared" si="13"/>
        <v>2</v>
      </c>
      <c r="K78" s="290" t="str">
        <f t="shared" si="10"/>
        <v>L</v>
      </c>
      <c r="L78" s="291" t="str">
        <f t="shared" si="11"/>
        <v>1</v>
      </c>
      <c r="M78" s="234"/>
    </row>
    <row r="79" spans="1:13" ht="60" customHeight="1">
      <c r="A79" s="232"/>
      <c r="B79" s="285" t="s">
        <v>659</v>
      </c>
      <c r="C79" s="286" t="s">
        <v>684</v>
      </c>
      <c r="D79" s="287" t="s">
        <v>685</v>
      </c>
      <c r="E79" s="288" t="s">
        <v>686</v>
      </c>
      <c r="F79" s="289" t="s">
        <v>122</v>
      </c>
      <c r="G79" s="289" t="s">
        <v>122</v>
      </c>
      <c r="H79" s="290">
        <f t="shared" si="12"/>
        <v>2</v>
      </c>
      <c r="I79" s="290">
        <f t="shared" si="12"/>
        <v>2</v>
      </c>
      <c r="J79" s="290">
        <f t="shared" si="13"/>
        <v>4</v>
      </c>
      <c r="K79" s="290" t="str">
        <f t="shared" si="10"/>
        <v>M</v>
      </c>
      <c r="L79" s="291" t="str">
        <f t="shared" si="11"/>
        <v>2</v>
      </c>
      <c r="M79" s="234"/>
    </row>
    <row r="80" spans="1:13" ht="60" customHeight="1">
      <c r="A80" s="232"/>
      <c r="B80" s="285" t="s">
        <v>659</v>
      </c>
      <c r="C80" s="286" t="s">
        <v>687</v>
      </c>
      <c r="D80" s="287" t="s">
        <v>192</v>
      </c>
      <c r="E80" s="288" t="s">
        <v>688</v>
      </c>
      <c r="F80" s="289" t="s">
        <v>117</v>
      </c>
      <c r="G80" s="289" t="s">
        <v>122</v>
      </c>
      <c r="H80" s="290">
        <f t="shared" si="12"/>
        <v>3</v>
      </c>
      <c r="I80" s="290">
        <f t="shared" si="12"/>
        <v>2</v>
      </c>
      <c r="J80" s="290">
        <f t="shared" si="13"/>
        <v>5</v>
      </c>
      <c r="K80" s="290" t="str">
        <f t="shared" si="10"/>
        <v>H</v>
      </c>
      <c r="L80" s="291" t="str">
        <f t="shared" si="11"/>
        <v>3</v>
      </c>
      <c r="M80" s="234"/>
    </row>
    <row r="81" spans="1:13" ht="60" customHeight="1">
      <c r="A81" s="232"/>
      <c r="B81" s="285" t="s">
        <v>659</v>
      </c>
      <c r="C81" s="286" t="s">
        <v>689</v>
      </c>
      <c r="D81" s="287" t="s">
        <v>690</v>
      </c>
      <c r="E81" s="288" t="s">
        <v>691</v>
      </c>
      <c r="F81" s="289" t="s">
        <v>117</v>
      </c>
      <c r="G81" s="289" t="s">
        <v>122</v>
      </c>
      <c r="H81" s="290">
        <f t="shared" si="12"/>
        <v>3</v>
      </c>
      <c r="I81" s="290">
        <f t="shared" si="12"/>
        <v>2</v>
      </c>
      <c r="J81" s="290">
        <f t="shared" si="13"/>
        <v>5</v>
      </c>
      <c r="K81" s="290" t="str">
        <f t="shared" si="10"/>
        <v>H</v>
      </c>
      <c r="L81" s="291" t="str">
        <f t="shared" si="11"/>
        <v>3</v>
      </c>
      <c r="M81" s="234"/>
    </row>
    <row r="82" spans="1:13" ht="60" customHeight="1">
      <c r="A82" s="232"/>
      <c r="B82" s="285" t="s">
        <v>659</v>
      </c>
      <c r="C82" s="286" t="s">
        <v>692</v>
      </c>
      <c r="D82" s="287" t="s">
        <v>128</v>
      </c>
      <c r="E82" s="288" t="s">
        <v>693</v>
      </c>
      <c r="F82" s="289" t="s">
        <v>117</v>
      </c>
      <c r="G82" s="289" t="s">
        <v>117</v>
      </c>
      <c r="H82" s="290">
        <f t="shared" si="12"/>
        <v>3</v>
      </c>
      <c r="I82" s="290">
        <f t="shared" si="12"/>
        <v>3</v>
      </c>
      <c r="J82" s="290">
        <f t="shared" si="13"/>
        <v>6</v>
      </c>
      <c r="K82" s="290" t="str">
        <f t="shared" si="10"/>
        <v>H</v>
      </c>
      <c r="L82" s="291" t="str">
        <f t="shared" si="11"/>
        <v>3</v>
      </c>
      <c r="M82" s="234"/>
    </row>
    <row r="83" spans="1:13" ht="60" customHeight="1">
      <c r="A83" s="232"/>
      <c r="B83" s="285" t="s">
        <v>659</v>
      </c>
      <c r="C83" s="286" t="s">
        <v>694</v>
      </c>
      <c r="D83" s="287" t="s">
        <v>695</v>
      </c>
      <c r="E83" s="288" t="s">
        <v>696</v>
      </c>
      <c r="F83" s="289" t="s">
        <v>117</v>
      </c>
      <c r="G83" s="289" t="s">
        <v>122</v>
      </c>
      <c r="H83" s="290">
        <f t="shared" si="12"/>
        <v>3</v>
      </c>
      <c r="I83" s="290">
        <f t="shared" si="12"/>
        <v>2</v>
      </c>
      <c r="J83" s="290">
        <f t="shared" si="13"/>
        <v>5</v>
      </c>
      <c r="K83" s="290" t="str">
        <f t="shared" si="10"/>
        <v>H</v>
      </c>
      <c r="L83" s="291" t="str">
        <f t="shared" si="11"/>
        <v>3</v>
      </c>
      <c r="M83" s="234"/>
    </row>
    <row r="84" spans="1:13" ht="60" customHeight="1">
      <c r="A84" s="232"/>
      <c r="B84" s="285" t="s">
        <v>659</v>
      </c>
      <c r="C84" s="286" t="s">
        <v>697</v>
      </c>
      <c r="D84" s="287" t="s">
        <v>698</v>
      </c>
      <c r="E84" s="288" t="s">
        <v>699</v>
      </c>
      <c r="F84" s="289" t="s">
        <v>117</v>
      </c>
      <c r="G84" s="289" t="s">
        <v>122</v>
      </c>
      <c r="H84" s="290">
        <f t="shared" si="12"/>
        <v>3</v>
      </c>
      <c r="I84" s="290">
        <f t="shared" si="12"/>
        <v>2</v>
      </c>
      <c r="J84" s="290">
        <f t="shared" si="13"/>
        <v>5</v>
      </c>
      <c r="K84" s="290" t="str">
        <f t="shared" si="10"/>
        <v>H</v>
      </c>
      <c r="L84" s="291" t="str">
        <f t="shared" si="11"/>
        <v>3</v>
      </c>
      <c r="M84" s="234"/>
    </row>
    <row r="85" spans="1:13" ht="60" customHeight="1">
      <c r="A85" s="232"/>
      <c r="B85" s="285" t="s">
        <v>700</v>
      </c>
      <c r="C85" s="286" t="s">
        <v>701</v>
      </c>
      <c r="D85" s="287" t="s">
        <v>702</v>
      </c>
      <c r="E85" s="288" t="s">
        <v>703</v>
      </c>
      <c r="F85" s="289" t="s">
        <v>117</v>
      </c>
      <c r="G85" s="289" t="s">
        <v>455</v>
      </c>
      <c r="H85" s="290">
        <v>3</v>
      </c>
      <c r="I85" s="290">
        <v>1</v>
      </c>
      <c r="J85" s="290">
        <v>4</v>
      </c>
      <c r="K85" s="290" t="str">
        <f t="shared" si="10"/>
        <v>M</v>
      </c>
      <c r="L85" s="291" t="str">
        <f t="shared" si="11"/>
        <v>2</v>
      </c>
      <c r="M85" s="234"/>
    </row>
    <row r="86" spans="1:13" ht="60" customHeight="1">
      <c r="A86" s="232"/>
      <c r="B86" s="285" t="s">
        <v>700</v>
      </c>
      <c r="C86" s="286" t="s">
        <v>704</v>
      </c>
      <c r="D86" s="287" t="s">
        <v>705</v>
      </c>
      <c r="E86" s="288" t="s">
        <v>706</v>
      </c>
      <c r="F86" s="289" t="s">
        <v>117</v>
      </c>
      <c r="G86" s="289" t="s">
        <v>455</v>
      </c>
      <c r="H86" s="290">
        <v>3</v>
      </c>
      <c r="I86" s="290">
        <v>1</v>
      </c>
      <c r="J86" s="290">
        <v>4</v>
      </c>
      <c r="K86" s="290" t="str">
        <f t="shared" si="10"/>
        <v>M</v>
      </c>
      <c r="L86" s="291" t="str">
        <f t="shared" si="11"/>
        <v>2</v>
      </c>
      <c r="M86" s="234"/>
    </row>
    <row r="87" spans="1:13" ht="60" customHeight="1">
      <c r="A87" s="232"/>
      <c r="B87" s="292" t="s">
        <v>707</v>
      </c>
      <c r="C87" s="293" t="s">
        <v>708</v>
      </c>
      <c r="D87" s="294" t="s">
        <v>709</v>
      </c>
      <c r="E87" s="295" t="s">
        <v>710</v>
      </c>
      <c r="F87" s="296" t="s">
        <v>117</v>
      </c>
      <c r="G87" s="296" t="s">
        <v>122</v>
      </c>
      <c r="H87" s="297">
        <f t="shared" si="12"/>
        <v>3</v>
      </c>
      <c r="I87" s="297">
        <f t="shared" si="12"/>
        <v>2</v>
      </c>
      <c r="J87" s="297">
        <f t="shared" si="13"/>
        <v>5</v>
      </c>
      <c r="K87" s="297" t="str">
        <f>IF(SUM(J87)&gt;=5,"H",IF(SUM(J87)&gt;=3,"M","L"))</f>
        <v>H</v>
      </c>
      <c r="L87" s="298" t="str">
        <f>IF(SUM(J87)&gt;=5,"3",IF(SUM(J87)&gt;=3,"2","1"))</f>
        <v>3</v>
      </c>
      <c r="M87" s="234"/>
    </row>
    <row r="88" spans="1:13" ht="60" customHeight="1">
      <c r="A88" s="232"/>
      <c r="B88" s="292" t="s">
        <v>707</v>
      </c>
      <c r="C88" s="293" t="s">
        <v>711</v>
      </c>
      <c r="D88" s="294" t="s">
        <v>712</v>
      </c>
      <c r="E88" s="295" t="s">
        <v>713</v>
      </c>
      <c r="F88" s="296" t="s">
        <v>117</v>
      </c>
      <c r="G88" s="296" t="s">
        <v>455</v>
      </c>
      <c r="H88" s="297">
        <f t="shared" si="12"/>
        <v>3</v>
      </c>
      <c r="I88" s="297">
        <f t="shared" si="12"/>
        <v>1</v>
      </c>
      <c r="J88" s="297">
        <f t="shared" si="13"/>
        <v>4</v>
      </c>
      <c r="K88" s="297" t="str">
        <f t="shared" ref="K88:K96" si="14">IF(SUM(J88)&gt;=5,"H",IF(SUM(J88)&gt;=3,"M","L"))</f>
        <v>M</v>
      </c>
      <c r="L88" s="298" t="str">
        <f t="shared" ref="L88:L96" si="15">IF(SUM(J88)&gt;=5,"3",IF(SUM(J88)&gt;=3,"2","1"))</f>
        <v>2</v>
      </c>
      <c r="M88" s="234"/>
    </row>
    <row r="89" spans="1:13" ht="60" customHeight="1">
      <c r="A89" s="232"/>
      <c r="B89" s="292" t="s">
        <v>714</v>
      </c>
      <c r="C89" s="293" t="s">
        <v>715</v>
      </c>
      <c r="D89" s="294" t="s">
        <v>716</v>
      </c>
      <c r="E89" s="295" t="s">
        <v>717</v>
      </c>
      <c r="F89" s="296" t="s">
        <v>117</v>
      </c>
      <c r="G89" s="296" t="s">
        <v>455</v>
      </c>
      <c r="H89" s="297">
        <f t="shared" si="12"/>
        <v>3</v>
      </c>
      <c r="I89" s="297">
        <f t="shared" si="12"/>
        <v>1</v>
      </c>
      <c r="J89" s="297">
        <f t="shared" si="13"/>
        <v>4</v>
      </c>
      <c r="K89" s="297" t="str">
        <f t="shared" si="14"/>
        <v>M</v>
      </c>
      <c r="L89" s="298" t="str">
        <f t="shared" si="15"/>
        <v>2</v>
      </c>
      <c r="M89" s="234"/>
    </row>
    <row r="90" spans="1:13" ht="60" customHeight="1">
      <c r="A90" s="232"/>
      <c r="B90" s="292" t="s">
        <v>714</v>
      </c>
      <c r="C90" s="293" t="s">
        <v>718</v>
      </c>
      <c r="D90" s="294" t="s">
        <v>719</v>
      </c>
      <c r="E90" s="295" t="s">
        <v>720</v>
      </c>
      <c r="F90" s="296" t="s">
        <v>455</v>
      </c>
      <c r="G90" s="296" t="s">
        <v>455</v>
      </c>
      <c r="H90" s="297">
        <f t="shared" si="12"/>
        <v>1</v>
      </c>
      <c r="I90" s="297">
        <f t="shared" si="12"/>
        <v>1</v>
      </c>
      <c r="J90" s="297">
        <f t="shared" si="13"/>
        <v>2</v>
      </c>
      <c r="K90" s="297" t="str">
        <f t="shared" si="14"/>
        <v>L</v>
      </c>
      <c r="L90" s="298" t="str">
        <f t="shared" si="15"/>
        <v>1</v>
      </c>
      <c r="M90" s="234"/>
    </row>
    <row r="91" spans="1:13" ht="60" customHeight="1">
      <c r="A91" s="232"/>
      <c r="B91" s="292" t="s">
        <v>707</v>
      </c>
      <c r="C91" s="293" t="s">
        <v>721</v>
      </c>
      <c r="D91" s="294" t="s">
        <v>722</v>
      </c>
      <c r="E91" s="295" t="s">
        <v>723</v>
      </c>
      <c r="F91" s="296" t="s">
        <v>117</v>
      </c>
      <c r="G91" s="296" t="s">
        <v>455</v>
      </c>
      <c r="H91" s="297">
        <f t="shared" si="12"/>
        <v>3</v>
      </c>
      <c r="I91" s="297">
        <f t="shared" si="12"/>
        <v>1</v>
      </c>
      <c r="J91" s="297">
        <f t="shared" si="13"/>
        <v>4</v>
      </c>
      <c r="K91" s="297" t="str">
        <f t="shared" si="14"/>
        <v>M</v>
      </c>
      <c r="L91" s="298" t="str">
        <f t="shared" si="15"/>
        <v>2</v>
      </c>
      <c r="M91" s="234"/>
    </row>
    <row r="92" spans="1:13" ht="60" customHeight="1">
      <c r="A92" s="232"/>
      <c r="B92" s="292" t="s">
        <v>707</v>
      </c>
      <c r="C92" s="293" t="s">
        <v>724</v>
      </c>
      <c r="D92" s="294" t="s">
        <v>725</v>
      </c>
      <c r="E92" s="295" t="s">
        <v>726</v>
      </c>
      <c r="F92" s="296" t="s">
        <v>117</v>
      </c>
      <c r="G92" s="296" t="s">
        <v>455</v>
      </c>
      <c r="H92" s="297">
        <f t="shared" si="12"/>
        <v>3</v>
      </c>
      <c r="I92" s="297">
        <f t="shared" si="12"/>
        <v>1</v>
      </c>
      <c r="J92" s="297">
        <f t="shared" si="13"/>
        <v>4</v>
      </c>
      <c r="K92" s="297" t="str">
        <f t="shared" si="14"/>
        <v>M</v>
      </c>
      <c r="L92" s="298" t="str">
        <f t="shared" si="15"/>
        <v>2</v>
      </c>
      <c r="M92" s="234"/>
    </row>
    <row r="93" spans="1:13" ht="60" customHeight="1">
      <c r="A93" s="232"/>
      <c r="B93" s="292" t="s">
        <v>707</v>
      </c>
      <c r="C93" s="293" t="s">
        <v>727</v>
      </c>
      <c r="D93" s="294" t="s">
        <v>728</v>
      </c>
      <c r="E93" s="295" t="s">
        <v>729</v>
      </c>
      <c r="F93" s="296" t="s">
        <v>117</v>
      </c>
      <c r="G93" s="296" t="s">
        <v>455</v>
      </c>
      <c r="H93" s="297">
        <f t="shared" si="12"/>
        <v>3</v>
      </c>
      <c r="I93" s="297">
        <f t="shared" si="12"/>
        <v>1</v>
      </c>
      <c r="J93" s="297">
        <f t="shared" si="13"/>
        <v>4</v>
      </c>
      <c r="K93" s="297" t="str">
        <f t="shared" si="14"/>
        <v>M</v>
      </c>
      <c r="L93" s="298" t="str">
        <f t="shared" si="15"/>
        <v>2</v>
      </c>
      <c r="M93" s="234"/>
    </row>
    <row r="94" spans="1:13" ht="60" customHeight="1">
      <c r="A94" s="232"/>
      <c r="B94" s="292" t="s">
        <v>707</v>
      </c>
      <c r="C94" s="293" t="s">
        <v>730</v>
      </c>
      <c r="D94" s="294" t="s">
        <v>731</v>
      </c>
      <c r="E94" s="295" t="s">
        <v>732</v>
      </c>
      <c r="F94" s="296" t="s">
        <v>117</v>
      </c>
      <c r="G94" s="296" t="s">
        <v>455</v>
      </c>
      <c r="H94" s="297">
        <f t="shared" si="12"/>
        <v>3</v>
      </c>
      <c r="I94" s="297">
        <f t="shared" si="12"/>
        <v>1</v>
      </c>
      <c r="J94" s="297">
        <f t="shared" si="13"/>
        <v>4</v>
      </c>
      <c r="K94" s="297" t="str">
        <f t="shared" si="14"/>
        <v>M</v>
      </c>
      <c r="L94" s="298" t="str">
        <f t="shared" si="15"/>
        <v>2</v>
      </c>
      <c r="M94" s="234"/>
    </row>
    <row r="95" spans="1:13" ht="60" customHeight="1">
      <c r="A95" s="232"/>
      <c r="B95" s="292" t="s">
        <v>707</v>
      </c>
      <c r="C95" s="293" t="s">
        <v>733</v>
      </c>
      <c r="D95" s="294" t="s">
        <v>734</v>
      </c>
      <c r="E95" s="295" t="s">
        <v>735</v>
      </c>
      <c r="F95" s="296" t="s">
        <v>117</v>
      </c>
      <c r="G95" s="296" t="s">
        <v>455</v>
      </c>
      <c r="H95" s="297">
        <f t="shared" si="12"/>
        <v>3</v>
      </c>
      <c r="I95" s="297">
        <f t="shared" si="12"/>
        <v>1</v>
      </c>
      <c r="J95" s="297">
        <f t="shared" si="13"/>
        <v>4</v>
      </c>
      <c r="K95" s="297" t="str">
        <f t="shared" si="14"/>
        <v>M</v>
      </c>
      <c r="L95" s="298" t="str">
        <f t="shared" si="15"/>
        <v>2</v>
      </c>
      <c r="M95" s="234"/>
    </row>
    <row r="96" spans="1:13" ht="60" customHeight="1">
      <c r="A96" s="232"/>
      <c r="B96" s="292" t="s">
        <v>707</v>
      </c>
      <c r="C96" s="293" t="s">
        <v>736</v>
      </c>
      <c r="D96" s="294" t="s">
        <v>737</v>
      </c>
      <c r="E96" s="295" t="s">
        <v>738</v>
      </c>
      <c r="F96" s="296" t="s">
        <v>117</v>
      </c>
      <c r="G96" s="296" t="s">
        <v>455</v>
      </c>
      <c r="H96" s="297">
        <f t="shared" si="12"/>
        <v>3</v>
      </c>
      <c r="I96" s="297">
        <f t="shared" si="12"/>
        <v>1</v>
      </c>
      <c r="J96" s="297">
        <f t="shared" si="13"/>
        <v>4</v>
      </c>
      <c r="K96" s="297" t="str">
        <f t="shared" si="14"/>
        <v>M</v>
      </c>
      <c r="L96" s="298" t="str">
        <f t="shared" si="15"/>
        <v>2</v>
      </c>
      <c r="M96" s="234"/>
    </row>
    <row r="97" spans="1:13">
      <c r="A97" s="232"/>
      <c r="B97" s="234"/>
      <c r="C97" s="234"/>
      <c r="D97" s="234"/>
      <c r="E97" s="234"/>
      <c r="F97" s="299"/>
      <c r="G97" s="299"/>
      <c r="H97" s="299"/>
      <c r="I97" s="299"/>
      <c r="J97" s="299"/>
      <c r="K97" s="299"/>
      <c r="L97" s="234"/>
      <c r="M97" s="234"/>
    </row>
  </sheetData>
  <mergeCells count="1">
    <mergeCell ref="B1:D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30" fitToHeight="0" orientation="portrait" horizontalDpi="4294967292" r:id="rId1"/>
  <headerFooter>
    <oddFooter>&amp;L&amp;A&amp;C&amp;P/&amp;N&amp;R&amp;G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Q50"/>
  <sheetViews>
    <sheetView showGridLines="0" view="pageBreakPreview" zoomScale="85" zoomScaleNormal="100" zoomScaleSheetLayoutView="85" workbookViewId="0"/>
  </sheetViews>
  <sheetFormatPr defaultColWidth="9" defaultRowHeight="13.5" customHeight="1"/>
  <cols>
    <col min="1" max="17" width="5.125" style="37" customWidth="1"/>
    <col min="18" max="235" width="9" style="37" customWidth="1"/>
    <col min="236" max="248" width="10" style="37" customWidth="1"/>
    <col min="249" max="491" width="9" style="37"/>
    <col min="492" max="504" width="10" style="37" customWidth="1"/>
    <col min="505" max="747" width="9" style="37"/>
    <col min="748" max="760" width="10" style="37" customWidth="1"/>
    <col min="761" max="1003" width="9" style="37"/>
    <col min="1004" max="1016" width="10" style="37" customWidth="1"/>
    <col min="1017" max="1259" width="9" style="37"/>
    <col min="1260" max="1272" width="10" style="37" customWidth="1"/>
    <col min="1273" max="1515" width="9" style="37"/>
    <col min="1516" max="1528" width="10" style="37" customWidth="1"/>
    <col min="1529" max="1771" width="9" style="37"/>
    <col min="1772" max="1784" width="10" style="37" customWidth="1"/>
    <col min="1785" max="2027" width="9" style="37"/>
    <col min="2028" max="2040" width="10" style="37" customWidth="1"/>
    <col min="2041" max="2283" width="9" style="37"/>
    <col min="2284" max="2296" width="10" style="37" customWidth="1"/>
    <col min="2297" max="2539" width="9" style="37"/>
    <col min="2540" max="2552" width="10" style="37" customWidth="1"/>
    <col min="2553" max="2795" width="9" style="37"/>
    <col min="2796" max="2808" width="10" style="37" customWidth="1"/>
    <col min="2809" max="3051" width="9" style="37"/>
    <col min="3052" max="3064" width="10" style="37" customWidth="1"/>
    <col min="3065" max="3307" width="9" style="37"/>
    <col min="3308" max="3320" width="10" style="37" customWidth="1"/>
    <col min="3321" max="3563" width="9" style="37"/>
    <col min="3564" max="3576" width="10" style="37" customWidth="1"/>
    <col min="3577" max="3819" width="9" style="37"/>
    <col min="3820" max="3832" width="10" style="37" customWidth="1"/>
    <col min="3833" max="4075" width="9" style="37"/>
    <col min="4076" max="4088" width="10" style="37" customWidth="1"/>
    <col min="4089" max="4331" width="9" style="37"/>
    <col min="4332" max="4344" width="10" style="37" customWidth="1"/>
    <col min="4345" max="4587" width="9" style="37"/>
    <col min="4588" max="4600" width="10" style="37" customWidth="1"/>
    <col min="4601" max="4843" width="9" style="37"/>
    <col min="4844" max="4856" width="10" style="37" customWidth="1"/>
    <col min="4857" max="5099" width="9" style="37"/>
    <col min="5100" max="5112" width="10" style="37" customWidth="1"/>
    <col min="5113" max="5355" width="9" style="37"/>
    <col min="5356" max="5368" width="10" style="37" customWidth="1"/>
    <col min="5369" max="5611" width="9" style="37"/>
    <col min="5612" max="5624" width="10" style="37" customWidth="1"/>
    <col min="5625" max="5867" width="9" style="37"/>
    <col min="5868" max="5880" width="10" style="37" customWidth="1"/>
    <col min="5881" max="6123" width="9" style="37"/>
    <col min="6124" max="6136" width="10" style="37" customWidth="1"/>
    <col min="6137" max="6379" width="9" style="37"/>
    <col min="6380" max="6392" width="10" style="37" customWidth="1"/>
    <col min="6393" max="6635" width="9" style="37"/>
    <col min="6636" max="6648" width="10" style="37" customWidth="1"/>
    <col min="6649" max="6891" width="9" style="37"/>
    <col min="6892" max="6904" width="10" style="37" customWidth="1"/>
    <col min="6905" max="7147" width="9" style="37"/>
    <col min="7148" max="7160" width="10" style="37" customWidth="1"/>
    <col min="7161" max="7403" width="9" style="37"/>
    <col min="7404" max="7416" width="10" style="37" customWidth="1"/>
    <col min="7417" max="7659" width="9" style="37"/>
    <col min="7660" max="7672" width="10" style="37" customWidth="1"/>
    <col min="7673" max="7915" width="9" style="37"/>
    <col min="7916" max="7928" width="10" style="37" customWidth="1"/>
    <col min="7929" max="8171" width="9" style="37"/>
    <col min="8172" max="8184" width="10" style="37" customWidth="1"/>
    <col min="8185" max="8427" width="9" style="37"/>
    <col min="8428" max="8440" width="10" style="37" customWidth="1"/>
    <col min="8441" max="8683" width="9" style="37"/>
    <col min="8684" max="8696" width="10" style="37" customWidth="1"/>
    <col min="8697" max="8939" width="9" style="37"/>
    <col min="8940" max="8952" width="10" style="37" customWidth="1"/>
    <col min="8953" max="9195" width="9" style="37"/>
    <col min="9196" max="9208" width="10" style="37" customWidth="1"/>
    <col min="9209" max="9451" width="9" style="37"/>
    <col min="9452" max="9464" width="10" style="37" customWidth="1"/>
    <col min="9465" max="9707" width="9" style="37"/>
    <col min="9708" max="9720" width="10" style="37" customWidth="1"/>
    <col min="9721" max="9963" width="9" style="37"/>
    <col min="9964" max="9976" width="10" style="37" customWidth="1"/>
    <col min="9977" max="10219" width="9" style="37"/>
    <col min="10220" max="10232" width="10" style="37" customWidth="1"/>
    <col min="10233" max="10475" width="9" style="37"/>
    <col min="10476" max="10488" width="10" style="37" customWidth="1"/>
    <col min="10489" max="10731" width="9" style="37"/>
    <col min="10732" max="10744" width="10" style="37" customWidth="1"/>
    <col min="10745" max="10987" width="9" style="37"/>
    <col min="10988" max="11000" width="10" style="37" customWidth="1"/>
    <col min="11001" max="11243" width="9" style="37"/>
    <col min="11244" max="11256" width="10" style="37" customWidth="1"/>
    <col min="11257" max="11499" width="9" style="37"/>
    <col min="11500" max="11512" width="10" style="37" customWidth="1"/>
    <col min="11513" max="11755" width="9" style="37"/>
    <col min="11756" max="11768" width="10" style="37" customWidth="1"/>
    <col min="11769" max="12011" width="9" style="37"/>
    <col min="12012" max="12024" width="10" style="37" customWidth="1"/>
    <col min="12025" max="12267" width="9" style="37"/>
    <col min="12268" max="12280" width="10" style="37" customWidth="1"/>
    <col min="12281" max="12523" width="9" style="37"/>
    <col min="12524" max="12536" width="10" style="37" customWidth="1"/>
    <col min="12537" max="12779" width="9" style="37"/>
    <col min="12780" max="12792" width="10" style="37" customWidth="1"/>
    <col min="12793" max="13035" width="9" style="37"/>
    <col min="13036" max="13048" width="10" style="37" customWidth="1"/>
    <col min="13049" max="13291" width="9" style="37"/>
    <col min="13292" max="13304" width="10" style="37" customWidth="1"/>
    <col min="13305" max="13547" width="9" style="37"/>
    <col min="13548" max="13560" width="10" style="37" customWidth="1"/>
    <col min="13561" max="13803" width="9" style="37"/>
    <col min="13804" max="13816" width="10" style="37" customWidth="1"/>
    <col min="13817" max="14059" width="9" style="37"/>
    <col min="14060" max="14072" width="10" style="37" customWidth="1"/>
    <col min="14073" max="14315" width="9" style="37"/>
    <col min="14316" max="14328" width="10" style="37" customWidth="1"/>
    <col min="14329" max="14571" width="9" style="37"/>
    <col min="14572" max="14584" width="10" style="37" customWidth="1"/>
    <col min="14585" max="14827" width="9" style="37"/>
    <col min="14828" max="14840" width="10" style="37" customWidth="1"/>
    <col min="14841" max="15083" width="9" style="37"/>
    <col min="15084" max="15096" width="10" style="37" customWidth="1"/>
    <col min="15097" max="15339" width="9" style="37"/>
    <col min="15340" max="15352" width="10" style="37" customWidth="1"/>
    <col min="15353" max="15595" width="9" style="37"/>
    <col min="15596" max="15608" width="10" style="37" customWidth="1"/>
    <col min="15609" max="15851" width="9" style="37"/>
    <col min="15852" max="15864" width="10" style="37" customWidth="1"/>
    <col min="15865" max="16107" width="9" style="37"/>
    <col min="16108" max="16120" width="10" style="37" customWidth="1"/>
    <col min="16121" max="16384" width="9" style="37"/>
  </cols>
  <sheetData>
    <row r="1" spans="1:17"/>
    <row r="2" spans="1:17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7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7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17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</row>
    <row r="6" spans="1:17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7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7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7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7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7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7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7" ht="16.5" customHeight="1"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</row>
    <row r="14" spans="1:17" ht="13.5" customHeight="1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</row>
    <row r="15" spans="1:17" ht="13.5" customHeight="1">
      <c r="A15" s="184"/>
      <c r="B15" s="184"/>
      <c r="C15" s="335" t="s">
        <v>819</v>
      </c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184"/>
      <c r="Q15" s="185"/>
    </row>
    <row r="16" spans="1:17" ht="13.5" customHeight="1">
      <c r="A16" s="185"/>
      <c r="B16" s="184"/>
      <c r="C16" s="335"/>
      <c r="D16" s="335"/>
      <c r="E16" s="335"/>
      <c r="F16" s="335"/>
      <c r="G16" s="335"/>
      <c r="H16" s="335"/>
      <c r="I16" s="335"/>
      <c r="J16" s="335"/>
      <c r="K16" s="335"/>
      <c r="L16" s="335"/>
      <c r="M16" s="335"/>
      <c r="N16" s="335"/>
      <c r="O16" s="335"/>
      <c r="P16" s="184"/>
      <c r="Q16" s="185"/>
    </row>
    <row r="17" spans="1:17" ht="13.5" customHeight="1">
      <c r="A17" s="185"/>
      <c r="B17" s="184"/>
      <c r="C17" s="335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335"/>
      <c r="P17" s="184"/>
      <c r="Q17" s="185"/>
    </row>
    <row r="18" spans="1:17" ht="13.5" customHeight="1">
      <c r="A18" s="185"/>
      <c r="B18" s="184"/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 s="335"/>
      <c r="O18" s="335"/>
      <c r="P18" s="184"/>
      <c r="Q18" s="185"/>
    </row>
    <row r="19" spans="1:17" ht="13.5" customHeight="1">
      <c r="A19" s="185"/>
      <c r="B19" s="184"/>
      <c r="C19" s="335"/>
      <c r="D19" s="335"/>
      <c r="E19" s="335"/>
      <c r="F19" s="335"/>
      <c r="G19" s="335"/>
      <c r="H19" s="335"/>
      <c r="I19" s="335"/>
      <c r="J19" s="335"/>
      <c r="K19" s="335"/>
      <c r="L19" s="335"/>
      <c r="M19" s="335"/>
      <c r="N19" s="335"/>
      <c r="O19" s="335"/>
      <c r="P19" s="184"/>
      <c r="Q19" s="185"/>
    </row>
    <row r="20" spans="1:17" ht="13.5" customHeight="1">
      <c r="A20" s="185"/>
      <c r="B20" s="184"/>
      <c r="C20" s="335"/>
      <c r="D20" s="335"/>
      <c r="E20" s="335"/>
      <c r="F20" s="335"/>
      <c r="G20" s="335"/>
      <c r="H20" s="335"/>
      <c r="I20" s="335"/>
      <c r="J20" s="335"/>
      <c r="K20" s="335"/>
      <c r="L20" s="335"/>
      <c r="M20" s="335"/>
      <c r="N20" s="335"/>
      <c r="O20" s="335"/>
      <c r="P20" s="184"/>
      <c r="Q20" s="185"/>
    </row>
    <row r="21" spans="1:17" ht="13.5" customHeight="1">
      <c r="A21" s="185"/>
      <c r="B21" s="184"/>
      <c r="C21" s="335"/>
      <c r="D21" s="335"/>
      <c r="E21" s="335"/>
      <c r="F21" s="335"/>
      <c r="G21" s="335"/>
      <c r="H21" s="335"/>
      <c r="I21" s="335"/>
      <c r="J21" s="335"/>
      <c r="K21" s="335"/>
      <c r="L21" s="335"/>
      <c r="M21" s="335"/>
      <c r="N21" s="335"/>
      <c r="O21" s="335"/>
      <c r="P21" s="184"/>
      <c r="Q21" s="185"/>
    </row>
    <row r="22" spans="1:17" ht="13.5" customHeight="1">
      <c r="A22" s="185"/>
      <c r="B22" s="184"/>
      <c r="C22" s="335"/>
      <c r="D22" s="335"/>
      <c r="E22" s="335"/>
      <c r="F22" s="335"/>
      <c r="G22" s="335"/>
      <c r="H22" s="335"/>
      <c r="I22" s="335"/>
      <c r="J22" s="335"/>
      <c r="K22" s="335"/>
      <c r="L22" s="335"/>
      <c r="M22" s="335"/>
      <c r="N22" s="335"/>
      <c r="O22" s="335"/>
      <c r="P22" s="184"/>
      <c r="Q22" s="185"/>
    </row>
    <row r="23" spans="1:17" ht="13.5" customHeight="1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</row>
    <row r="24" spans="1:17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31" spans="1:17" ht="13.5" customHeight="1">
      <c r="C31" s="61"/>
      <c r="D31" s="61"/>
      <c r="E31" s="61"/>
      <c r="F31" s="61"/>
      <c r="G31" s="61"/>
      <c r="H31" s="61"/>
      <c r="I31" s="61"/>
      <c r="J31" s="61"/>
    </row>
    <row r="32" spans="1:17" ht="13.5" customHeight="1">
      <c r="C32" s="118"/>
      <c r="D32" s="118"/>
      <c r="E32" s="118"/>
      <c r="F32" s="118"/>
      <c r="G32" s="118"/>
      <c r="H32" s="118"/>
      <c r="I32" s="118"/>
      <c r="J32" s="118"/>
    </row>
    <row r="37" spans="1:17" ht="13.5" customHeight="1">
      <c r="A37" s="328" t="s">
        <v>413</v>
      </c>
      <c r="B37" s="329"/>
      <c r="C37" s="329"/>
      <c r="D37" s="329"/>
      <c r="E37" s="329"/>
      <c r="F37" s="329"/>
      <c r="G37" s="329"/>
      <c r="H37" s="329"/>
      <c r="I37" s="329"/>
      <c r="J37" s="329"/>
      <c r="K37" s="329"/>
      <c r="L37" s="329"/>
      <c r="M37" s="329"/>
      <c r="N37" s="329"/>
      <c r="O37" s="329"/>
      <c r="P37" s="329"/>
      <c r="Q37" s="329"/>
    </row>
    <row r="38" spans="1:17" ht="13.5" customHeight="1">
      <c r="A38" s="329"/>
      <c r="B38" s="329"/>
      <c r="C38" s="329"/>
      <c r="D38" s="329"/>
      <c r="E38" s="329"/>
      <c r="F38" s="329"/>
      <c r="G38" s="329"/>
      <c r="H38" s="329"/>
      <c r="I38" s="329"/>
      <c r="J38" s="329"/>
      <c r="K38" s="329"/>
      <c r="L38" s="329"/>
      <c r="M38" s="329"/>
      <c r="N38" s="329"/>
      <c r="O38" s="329"/>
      <c r="P38" s="329"/>
      <c r="Q38" s="329"/>
    </row>
    <row r="40" spans="1:17" ht="13.5" customHeight="1">
      <c r="A40" s="39"/>
    </row>
    <row r="45" spans="1:17" ht="13.5" customHeight="1" thickBot="1">
      <c r="C45" s="40"/>
    </row>
    <row r="46" spans="1:17" ht="13.5" customHeight="1">
      <c r="C46" s="330" t="s">
        <v>406</v>
      </c>
      <c r="D46" s="331"/>
      <c r="E46" s="331"/>
      <c r="F46" s="331"/>
      <c r="G46" s="331"/>
      <c r="H46" s="331"/>
      <c r="I46" s="331"/>
      <c r="J46" s="331"/>
      <c r="K46" s="331"/>
      <c r="L46" s="331"/>
      <c r="M46" s="331"/>
      <c r="N46" s="331"/>
      <c r="O46" s="331"/>
    </row>
    <row r="47" spans="1:17" ht="13.5" customHeight="1">
      <c r="C47" s="332"/>
      <c r="D47" s="333"/>
      <c r="E47" s="333"/>
      <c r="F47" s="333"/>
      <c r="G47" s="333"/>
      <c r="H47" s="333"/>
      <c r="I47" s="333"/>
      <c r="J47" s="333"/>
      <c r="K47" s="333"/>
      <c r="L47" s="333"/>
      <c r="M47" s="333"/>
      <c r="N47" s="333"/>
      <c r="O47" s="332"/>
    </row>
    <row r="48" spans="1:17" ht="13.5" customHeight="1">
      <c r="C48" s="332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2"/>
    </row>
    <row r="49" spans="3:15" ht="13.5" customHeight="1">
      <c r="C49" s="332"/>
      <c r="D49" s="333"/>
      <c r="E49" s="333"/>
      <c r="F49" s="333"/>
      <c r="G49" s="333"/>
      <c r="H49" s="333"/>
      <c r="I49" s="333"/>
      <c r="J49" s="333"/>
      <c r="K49" s="333"/>
      <c r="L49" s="333"/>
      <c r="M49" s="333"/>
      <c r="N49" s="333"/>
      <c r="O49" s="332"/>
    </row>
    <row r="50" spans="3:15" ht="13.5" customHeight="1" thickBot="1">
      <c r="C50" s="334"/>
      <c r="D50" s="334"/>
      <c r="E50" s="334"/>
      <c r="F50" s="334"/>
      <c r="G50" s="334"/>
      <c r="H50" s="334"/>
      <c r="I50" s="334"/>
      <c r="J50" s="334"/>
      <c r="K50" s="334"/>
      <c r="L50" s="334"/>
      <c r="M50" s="334"/>
      <c r="N50" s="334"/>
      <c r="O50" s="334"/>
    </row>
  </sheetData>
  <mergeCells count="3">
    <mergeCell ref="A37:Q38"/>
    <mergeCell ref="C46:O50"/>
    <mergeCell ref="C15:O22"/>
  </mergeCells>
  <phoneticPr fontId="1" type="noConversion"/>
  <printOptions horizontalCentered="1" vertic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Q44"/>
  <sheetViews>
    <sheetView showGridLines="0" view="pageBreakPreview" zoomScale="85" zoomScaleNormal="85" zoomScaleSheetLayoutView="85" workbookViewId="0"/>
  </sheetViews>
  <sheetFormatPr defaultColWidth="9" defaultRowHeight="16.5"/>
  <cols>
    <col min="1" max="17" width="5.125" style="8" customWidth="1"/>
    <col min="18" max="16384" width="9" style="8"/>
  </cols>
  <sheetData>
    <row r="1" spans="1:17" s="5" customFormat="1" ht="13.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s="7" customFormat="1" ht="18" customHeight="1">
      <c r="A2" s="67" t="s">
        <v>224</v>
      </c>
      <c r="B2" s="6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 spans="1:17" s="7" customFormat="1" ht="5.0999999999999996" customHeight="1" thickBot="1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8" customHeight="1" thickBot="1">
      <c r="A4" s="353" t="s">
        <v>225</v>
      </c>
      <c r="B4" s="356"/>
      <c r="C4" s="352" t="s">
        <v>226</v>
      </c>
      <c r="D4" s="353"/>
      <c r="E4" s="356"/>
      <c r="F4" s="352" t="s">
        <v>227</v>
      </c>
      <c r="G4" s="353"/>
      <c r="H4" s="353"/>
      <c r="I4" s="353"/>
      <c r="J4" s="353"/>
      <c r="K4" s="353"/>
      <c r="L4" s="353"/>
      <c r="M4" s="356"/>
      <c r="N4" s="352" t="s">
        <v>228</v>
      </c>
      <c r="O4" s="353"/>
      <c r="P4" s="352" t="s">
        <v>229</v>
      </c>
      <c r="Q4" s="353"/>
    </row>
    <row r="5" spans="1:17" ht="16.5" customHeight="1">
      <c r="A5" s="348" t="s">
        <v>230</v>
      </c>
      <c r="B5" s="349"/>
      <c r="C5" s="350" t="s">
        <v>414</v>
      </c>
      <c r="D5" s="350"/>
      <c r="E5" s="350"/>
      <c r="F5" s="351" t="s">
        <v>231</v>
      </c>
      <c r="G5" s="351"/>
      <c r="H5" s="351"/>
      <c r="I5" s="351"/>
      <c r="J5" s="351"/>
      <c r="K5" s="351"/>
      <c r="L5" s="351"/>
      <c r="M5" s="351"/>
      <c r="N5" s="354" t="s">
        <v>232</v>
      </c>
      <c r="O5" s="354"/>
      <c r="P5" s="354"/>
      <c r="Q5" s="355"/>
    </row>
    <row r="6" spans="1:17">
      <c r="A6" s="336"/>
      <c r="B6" s="337"/>
      <c r="C6" s="338"/>
      <c r="D6" s="338"/>
      <c r="E6" s="338"/>
      <c r="F6" s="339"/>
      <c r="G6" s="339"/>
      <c r="H6" s="339"/>
      <c r="I6" s="339"/>
      <c r="J6" s="339"/>
      <c r="K6" s="339"/>
      <c r="L6" s="339"/>
      <c r="M6" s="339"/>
      <c r="N6" s="340"/>
      <c r="O6" s="340"/>
      <c r="P6" s="340"/>
      <c r="Q6" s="341"/>
    </row>
    <row r="7" spans="1:17">
      <c r="A7" s="336"/>
      <c r="B7" s="337"/>
      <c r="C7" s="338"/>
      <c r="D7" s="338"/>
      <c r="E7" s="338"/>
      <c r="F7" s="339"/>
      <c r="G7" s="339"/>
      <c r="H7" s="339"/>
      <c r="I7" s="339"/>
      <c r="J7" s="339"/>
      <c r="K7" s="339"/>
      <c r="L7" s="339"/>
      <c r="M7" s="339"/>
      <c r="N7" s="340"/>
      <c r="O7" s="340"/>
      <c r="P7" s="340"/>
      <c r="Q7" s="341"/>
    </row>
    <row r="8" spans="1:17">
      <c r="A8" s="336"/>
      <c r="B8" s="337"/>
      <c r="C8" s="338"/>
      <c r="D8" s="338"/>
      <c r="E8" s="338"/>
      <c r="F8" s="339"/>
      <c r="G8" s="339"/>
      <c r="H8" s="339"/>
      <c r="I8" s="339"/>
      <c r="J8" s="339"/>
      <c r="K8" s="339"/>
      <c r="L8" s="339"/>
      <c r="M8" s="339"/>
      <c r="N8" s="340"/>
      <c r="O8" s="340"/>
      <c r="P8" s="340"/>
      <c r="Q8" s="341"/>
    </row>
    <row r="9" spans="1:17">
      <c r="A9" s="336"/>
      <c r="B9" s="337"/>
      <c r="C9" s="338"/>
      <c r="D9" s="338"/>
      <c r="E9" s="338"/>
      <c r="F9" s="339"/>
      <c r="G9" s="339"/>
      <c r="H9" s="339"/>
      <c r="I9" s="339"/>
      <c r="J9" s="339"/>
      <c r="K9" s="339"/>
      <c r="L9" s="339"/>
      <c r="M9" s="339"/>
      <c r="N9" s="340"/>
      <c r="O9" s="340"/>
      <c r="P9" s="340"/>
      <c r="Q9" s="341"/>
    </row>
    <row r="10" spans="1:17">
      <c r="A10" s="336"/>
      <c r="B10" s="337"/>
      <c r="C10" s="338"/>
      <c r="D10" s="338"/>
      <c r="E10" s="338"/>
      <c r="F10" s="339"/>
      <c r="G10" s="339"/>
      <c r="H10" s="339"/>
      <c r="I10" s="339"/>
      <c r="J10" s="339"/>
      <c r="K10" s="339"/>
      <c r="L10" s="339"/>
      <c r="M10" s="339"/>
      <c r="N10" s="340"/>
      <c r="O10" s="340"/>
      <c r="P10" s="340"/>
      <c r="Q10" s="341"/>
    </row>
    <row r="11" spans="1:17">
      <c r="A11" s="336"/>
      <c r="B11" s="337"/>
      <c r="C11" s="338"/>
      <c r="D11" s="338"/>
      <c r="E11" s="338"/>
      <c r="F11" s="339"/>
      <c r="G11" s="339"/>
      <c r="H11" s="339"/>
      <c r="I11" s="339"/>
      <c r="J11" s="339"/>
      <c r="K11" s="339"/>
      <c r="L11" s="339"/>
      <c r="M11" s="339"/>
      <c r="N11" s="340"/>
      <c r="O11" s="340"/>
      <c r="P11" s="340"/>
      <c r="Q11" s="341"/>
    </row>
    <row r="12" spans="1:17">
      <c r="A12" s="336"/>
      <c r="B12" s="337"/>
      <c r="C12" s="338"/>
      <c r="D12" s="338"/>
      <c r="E12" s="338"/>
      <c r="F12" s="339"/>
      <c r="G12" s="339"/>
      <c r="H12" s="339"/>
      <c r="I12" s="339"/>
      <c r="J12" s="339"/>
      <c r="K12" s="339"/>
      <c r="L12" s="339"/>
      <c r="M12" s="339"/>
      <c r="N12" s="340"/>
      <c r="O12" s="340"/>
      <c r="P12" s="340"/>
      <c r="Q12" s="341"/>
    </row>
    <row r="13" spans="1:17">
      <c r="A13" s="336"/>
      <c r="B13" s="337"/>
      <c r="C13" s="338"/>
      <c r="D13" s="338"/>
      <c r="E13" s="338"/>
      <c r="F13" s="339"/>
      <c r="G13" s="339"/>
      <c r="H13" s="339"/>
      <c r="I13" s="339"/>
      <c r="J13" s="339"/>
      <c r="K13" s="339"/>
      <c r="L13" s="339"/>
      <c r="M13" s="339"/>
      <c r="N13" s="340"/>
      <c r="O13" s="340"/>
      <c r="P13" s="340"/>
      <c r="Q13" s="341"/>
    </row>
    <row r="14" spans="1:17">
      <c r="A14" s="336"/>
      <c r="B14" s="337"/>
      <c r="C14" s="338"/>
      <c r="D14" s="338"/>
      <c r="E14" s="338"/>
      <c r="F14" s="339"/>
      <c r="G14" s="339"/>
      <c r="H14" s="339"/>
      <c r="I14" s="339"/>
      <c r="J14" s="339"/>
      <c r="K14" s="339"/>
      <c r="L14" s="339"/>
      <c r="M14" s="339"/>
      <c r="N14" s="340"/>
      <c r="O14" s="340"/>
      <c r="P14" s="340"/>
      <c r="Q14" s="341"/>
    </row>
    <row r="15" spans="1:17">
      <c r="A15" s="336"/>
      <c r="B15" s="337"/>
      <c r="C15" s="338"/>
      <c r="D15" s="338"/>
      <c r="E15" s="338"/>
      <c r="F15" s="339"/>
      <c r="G15" s="339"/>
      <c r="H15" s="339"/>
      <c r="I15" s="339"/>
      <c r="J15" s="339"/>
      <c r="K15" s="339"/>
      <c r="L15" s="339"/>
      <c r="M15" s="339"/>
      <c r="N15" s="340"/>
      <c r="O15" s="340"/>
      <c r="P15" s="340"/>
      <c r="Q15" s="341"/>
    </row>
    <row r="16" spans="1:17">
      <c r="A16" s="336"/>
      <c r="B16" s="337"/>
      <c r="C16" s="338"/>
      <c r="D16" s="338"/>
      <c r="E16" s="338"/>
      <c r="F16" s="339"/>
      <c r="G16" s="339"/>
      <c r="H16" s="339"/>
      <c r="I16" s="339"/>
      <c r="J16" s="339"/>
      <c r="K16" s="339"/>
      <c r="L16" s="339"/>
      <c r="M16" s="339"/>
      <c r="N16" s="340"/>
      <c r="O16" s="340"/>
      <c r="P16" s="340"/>
      <c r="Q16" s="341"/>
    </row>
    <row r="17" spans="1:17">
      <c r="A17" s="336"/>
      <c r="B17" s="337"/>
      <c r="C17" s="338"/>
      <c r="D17" s="338"/>
      <c r="E17" s="338"/>
      <c r="F17" s="339"/>
      <c r="G17" s="339"/>
      <c r="H17" s="339"/>
      <c r="I17" s="339"/>
      <c r="J17" s="339"/>
      <c r="K17" s="339"/>
      <c r="L17" s="339"/>
      <c r="M17" s="339"/>
      <c r="N17" s="340"/>
      <c r="O17" s="340"/>
      <c r="P17" s="340"/>
      <c r="Q17" s="341"/>
    </row>
    <row r="18" spans="1:17">
      <c r="A18" s="336"/>
      <c r="B18" s="337"/>
      <c r="C18" s="338"/>
      <c r="D18" s="338"/>
      <c r="E18" s="338"/>
      <c r="F18" s="339"/>
      <c r="G18" s="339"/>
      <c r="H18" s="339"/>
      <c r="I18" s="339"/>
      <c r="J18" s="339"/>
      <c r="K18" s="339"/>
      <c r="L18" s="339"/>
      <c r="M18" s="339"/>
      <c r="N18" s="340"/>
      <c r="O18" s="340"/>
      <c r="P18" s="340"/>
      <c r="Q18" s="341"/>
    </row>
    <row r="19" spans="1:17">
      <c r="A19" s="336"/>
      <c r="B19" s="337"/>
      <c r="C19" s="338"/>
      <c r="D19" s="338"/>
      <c r="E19" s="338"/>
      <c r="F19" s="339"/>
      <c r="G19" s="339"/>
      <c r="H19" s="339"/>
      <c r="I19" s="339"/>
      <c r="J19" s="339"/>
      <c r="K19" s="339"/>
      <c r="L19" s="339"/>
      <c r="M19" s="339"/>
      <c r="N19" s="340"/>
      <c r="O19" s="340"/>
      <c r="P19" s="340"/>
      <c r="Q19" s="341"/>
    </row>
    <row r="20" spans="1:17">
      <c r="A20" s="336"/>
      <c r="B20" s="337"/>
      <c r="C20" s="338"/>
      <c r="D20" s="338"/>
      <c r="E20" s="338"/>
      <c r="F20" s="339"/>
      <c r="G20" s="339"/>
      <c r="H20" s="339"/>
      <c r="I20" s="339"/>
      <c r="J20" s="339"/>
      <c r="K20" s="339"/>
      <c r="L20" s="339"/>
      <c r="M20" s="339"/>
      <c r="N20" s="340"/>
      <c r="O20" s="340"/>
      <c r="P20" s="340"/>
      <c r="Q20" s="341"/>
    </row>
    <row r="21" spans="1:17">
      <c r="A21" s="336"/>
      <c r="B21" s="337"/>
      <c r="C21" s="338"/>
      <c r="D21" s="338"/>
      <c r="E21" s="338"/>
      <c r="F21" s="339"/>
      <c r="G21" s="339"/>
      <c r="H21" s="339"/>
      <c r="I21" s="339"/>
      <c r="J21" s="339"/>
      <c r="K21" s="339"/>
      <c r="L21" s="339"/>
      <c r="M21" s="339"/>
      <c r="N21" s="340"/>
      <c r="O21" s="340"/>
      <c r="P21" s="340"/>
      <c r="Q21" s="341"/>
    </row>
    <row r="22" spans="1:17">
      <c r="A22" s="336"/>
      <c r="B22" s="337"/>
      <c r="C22" s="338"/>
      <c r="D22" s="338"/>
      <c r="E22" s="338"/>
      <c r="F22" s="339"/>
      <c r="G22" s="339"/>
      <c r="H22" s="339"/>
      <c r="I22" s="339"/>
      <c r="J22" s="339"/>
      <c r="K22" s="339"/>
      <c r="L22" s="339"/>
      <c r="M22" s="339"/>
      <c r="N22" s="340"/>
      <c r="O22" s="340"/>
      <c r="P22" s="340"/>
      <c r="Q22" s="341"/>
    </row>
    <row r="23" spans="1:17">
      <c r="A23" s="336"/>
      <c r="B23" s="337"/>
      <c r="C23" s="338"/>
      <c r="D23" s="338"/>
      <c r="E23" s="338"/>
      <c r="F23" s="339"/>
      <c r="G23" s="339"/>
      <c r="H23" s="339"/>
      <c r="I23" s="339"/>
      <c r="J23" s="339"/>
      <c r="K23" s="339"/>
      <c r="L23" s="339"/>
      <c r="M23" s="339"/>
      <c r="N23" s="340"/>
      <c r="O23" s="340"/>
      <c r="P23" s="340"/>
      <c r="Q23" s="341"/>
    </row>
    <row r="24" spans="1:17">
      <c r="A24" s="336"/>
      <c r="B24" s="337"/>
      <c r="C24" s="338"/>
      <c r="D24" s="338"/>
      <c r="E24" s="338"/>
      <c r="F24" s="339"/>
      <c r="G24" s="339"/>
      <c r="H24" s="339"/>
      <c r="I24" s="339"/>
      <c r="J24" s="339"/>
      <c r="K24" s="339"/>
      <c r="L24" s="339"/>
      <c r="M24" s="339"/>
      <c r="N24" s="340"/>
      <c r="O24" s="340"/>
      <c r="P24" s="340"/>
      <c r="Q24" s="341"/>
    </row>
    <row r="25" spans="1:17">
      <c r="A25" s="336"/>
      <c r="B25" s="337"/>
      <c r="C25" s="338"/>
      <c r="D25" s="338"/>
      <c r="E25" s="338"/>
      <c r="F25" s="339"/>
      <c r="G25" s="339"/>
      <c r="H25" s="339"/>
      <c r="I25" s="339"/>
      <c r="J25" s="339"/>
      <c r="K25" s="339"/>
      <c r="L25" s="339"/>
      <c r="M25" s="339"/>
      <c r="N25" s="340"/>
      <c r="O25" s="340"/>
      <c r="P25" s="340"/>
      <c r="Q25" s="341"/>
    </row>
    <row r="26" spans="1:17">
      <c r="A26" s="336"/>
      <c r="B26" s="337"/>
      <c r="C26" s="338"/>
      <c r="D26" s="338"/>
      <c r="E26" s="338"/>
      <c r="F26" s="339"/>
      <c r="G26" s="339"/>
      <c r="H26" s="339"/>
      <c r="I26" s="339"/>
      <c r="J26" s="339"/>
      <c r="K26" s="339"/>
      <c r="L26" s="339"/>
      <c r="M26" s="339"/>
      <c r="N26" s="340"/>
      <c r="O26" s="340"/>
      <c r="P26" s="340"/>
      <c r="Q26" s="341"/>
    </row>
    <row r="27" spans="1:17">
      <c r="A27" s="336"/>
      <c r="B27" s="337"/>
      <c r="C27" s="338"/>
      <c r="D27" s="338"/>
      <c r="E27" s="338"/>
      <c r="F27" s="339"/>
      <c r="G27" s="339"/>
      <c r="H27" s="339"/>
      <c r="I27" s="339"/>
      <c r="J27" s="339"/>
      <c r="K27" s="339"/>
      <c r="L27" s="339"/>
      <c r="M27" s="339"/>
      <c r="N27" s="340"/>
      <c r="O27" s="340"/>
      <c r="P27" s="340"/>
      <c r="Q27" s="341"/>
    </row>
    <row r="28" spans="1:17">
      <c r="A28" s="336"/>
      <c r="B28" s="337"/>
      <c r="C28" s="338"/>
      <c r="D28" s="338"/>
      <c r="E28" s="338"/>
      <c r="F28" s="339"/>
      <c r="G28" s="339"/>
      <c r="H28" s="339"/>
      <c r="I28" s="339"/>
      <c r="J28" s="339"/>
      <c r="K28" s="339"/>
      <c r="L28" s="339"/>
      <c r="M28" s="339"/>
      <c r="N28" s="340"/>
      <c r="O28" s="340"/>
      <c r="P28" s="340"/>
      <c r="Q28" s="341"/>
    </row>
    <row r="29" spans="1:17">
      <c r="A29" s="336"/>
      <c r="B29" s="337"/>
      <c r="C29" s="338"/>
      <c r="D29" s="338"/>
      <c r="E29" s="338"/>
      <c r="F29" s="339"/>
      <c r="G29" s="339"/>
      <c r="H29" s="339"/>
      <c r="I29" s="339"/>
      <c r="J29" s="339"/>
      <c r="K29" s="339"/>
      <c r="L29" s="339"/>
      <c r="M29" s="339"/>
      <c r="N29" s="340"/>
      <c r="O29" s="340"/>
      <c r="P29" s="340"/>
      <c r="Q29" s="341"/>
    </row>
    <row r="30" spans="1:17">
      <c r="A30" s="336"/>
      <c r="B30" s="337"/>
      <c r="C30" s="338"/>
      <c r="D30" s="338"/>
      <c r="E30" s="338"/>
      <c r="F30" s="339"/>
      <c r="G30" s="339"/>
      <c r="H30" s="339"/>
      <c r="I30" s="339"/>
      <c r="J30" s="339"/>
      <c r="K30" s="339"/>
      <c r="L30" s="339"/>
      <c r="M30" s="339"/>
      <c r="N30" s="340"/>
      <c r="O30" s="340"/>
      <c r="P30" s="340"/>
      <c r="Q30" s="341"/>
    </row>
    <row r="31" spans="1:17">
      <c r="A31" s="336"/>
      <c r="B31" s="337"/>
      <c r="C31" s="338"/>
      <c r="D31" s="338"/>
      <c r="E31" s="338"/>
      <c r="F31" s="339"/>
      <c r="G31" s="339"/>
      <c r="H31" s="339"/>
      <c r="I31" s="339"/>
      <c r="J31" s="339"/>
      <c r="K31" s="339"/>
      <c r="L31" s="339"/>
      <c r="M31" s="339"/>
      <c r="N31" s="340"/>
      <c r="O31" s="340"/>
      <c r="P31" s="340"/>
      <c r="Q31" s="341"/>
    </row>
    <row r="32" spans="1:17">
      <c r="A32" s="336"/>
      <c r="B32" s="337"/>
      <c r="C32" s="338"/>
      <c r="D32" s="338"/>
      <c r="E32" s="338"/>
      <c r="F32" s="339"/>
      <c r="G32" s="339"/>
      <c r="H32" s="339"/>
      <c r="I32" s="339"/>
      <c r="J32" s="339"/>
      <c r="K32" s="339"/>
      <c r="L32" s="339"/>
      <c r="M32" s="339"/>
      <c r="N32" s="340"/>
      <c r="O32" s="340"/>
      <c r="P32" s="340"/>
      <c r="Q32" s="341"/>
    </row>
    <row r="33" spans="1:17">
      <c r="A33" s="336"/>
      <c r="B33" s="337"/>
      <c r="C33" s="338"/>
      <c r="D33" s="338"/>
      <c r="E33" s="338"/>
      <c r="F33" s="339"/>
      <c r="G33" s="339"/>
      <c r="H33" s="339"/>
      <c r="I33" s="339"/>
      <c r="J33" s="339"/>
      <c r="K33" s="339"/>
      <c r="L33" s="339"/>
      <c r="M33" s="339"/>
      <c r="N33" s="340"/>
      <c r="O33" s="340"/>
      <c r="P33" s="340"/>
      <c r="Q33" s="341"/>
    </row>
    <row r="34" spans="1:17">
      <c r="A34" s="336"/>
      <c r="B34" s="337"/>
      <c r="C34" s="338"/>
      <c r="D34" s="338"/>
      <c r="E34" s="338"/>
      <c r="F34" s="339"/>
      <c r="G34" s="339"/>
      <c r="H34" s="339"/>
      <c r="I34" s="339"/>
      <c r="J34" s="339"/>
      <c r="K34" s="339"/>
      <c r="L34" s="339"/>
      <c r="M34" s="339"/>
      <c r="N34" s="340"/>
      <c r="O34" s="340"/>
      <c r="P34" s="340"/>
      <c r="Q34" s="341"/>
    </row>
    <row r="35" spans="1:17">
      <c r="A35" s="336"/>
      <c r="B35" s="337"/>
      <c r="C35" s="338"/>
      <c r="D35" s="338"/>
      <c r="E35" s="338"/>
      <c r="F35" s="339"/>
      <c r="G35" s="339"/>
      <c r="H35" s="339"/>
      <c r="I35" s="339"/>
      <c r="J35" s="339"/>
      <c r="K35" s="339"/>
      <c r="L35" s="339"/>
      <c r="M35" s="339"/>
      <c r="N35" s="340"/>
      <c r="O35" s="340"/>
      <c r="P35" s="340"/>
      <c r="Q35" s="341"/>
    </row>
    <row r="36" spans="1:17">
      <c r="A36" s="336"/>
      <c r="B36" s="337"/>
      <c r="C36" s="338"/>
      <c r="D36" s="338"/>
      <c r="E36" s="338"/>
      <c r="F36" s="339"/>
      <c r="G36" s="339"/>
      <c r="H36" s="339"/>
      <c r="I36" s="339"/>
      <c r="J36" s="339"/>
      <c r="K36" s="339"/>
      <c r="L36" s="339"/>
      <c r="M36" s="339"/>
      <c r="N36" s="340"/>
      <c r="O36" s="340"/>
      <c r="P36" s="340"/>
      <c r="Q36" s="341"/>
    </row>
    <row r="37" spans="1:17">
      <c r="A37" s="336"/>
      <c r="B37" s="337"/>
      <c r="C37" s="338"/>
      <c r="D37" s="338"/>
      <c r="E37" s="338"/>
      <c r="F37" s="339"/>
      <c r="G37" s="339"/>
      <c r="H37" s="339"/>
      <c r="I37" s="339"/>
      <c r="J37" s="339"/>
      <c r="K37" s="339"/>
      <c r="L37" s="339"/>
      <c r="M37" s="339"/>
      <c r="N37" s="340"/>
      <c r="O37" s="340"/>
      <c r="P37" s="340"/>
      <c r="Q37" s="341"/>
    </row>
    <row r="38" spans="1:17">
      <c r="A38" s="336"/>
      <c r="B38" s="337"/>
      <c r="C38" s="338"/>
      <c r="D38" s="338"/>
      <c r="E38" s="338"/>
      <c r="F38" s="339"/>
      <c r="G38" s="339"/>
      <c r="H38" s="339"/>
      <c r="I38" s="339"/>
      <c r="J38" s="339"/>
      <c r="K38" s="339"/>
      <c r="L38" s="339"/>
      <c r="M38" s="339"/>
      <c r="N38" s="340"/>
      <c r="O38" s="340"/>
      <c r="P38" s="340"/>
      <c r="Q38" s="341"/>
    </row>
    <row r="39" spans="1:17">
      <c r="A39" s="336"/>
      <c r="B39" s="337"/>
      <c r="C39" s="338"/>
      <c r="D39" s="338"/>
      <c r="E39" s="338"/>
      <c r="F39" s="339"/>
      <c r="G39" s="339"/>
      <c r="H39" s="339"/>
      <c r="I39" s="339"/>
      <c r="J39" s="339"/>
      <c r="K39" s="339"/>
      <c r="L39" s="339"/>
      <c r="M39" s="339"/>
      <c r="N39" s="340"/>
      <c r="O39" s="340"/>
      <c r="P39" s="340"/>
      <c r="Q39" s="341"/>
    </row>
    <row r="40" spans="1:17">
      <c r="A40" s="336"/>
      <c r="B40" s="337"/>
      <c r="C40" s="338"/>
      <c r="D40" s="338"/>
      <c r="E40" s="338"/>
      <c r="F40" s="339"/>
      <c r="G40" s="339"/>
      <c r="H40" s="339"/>
      <c r="I40" s="339"/>
      <c r="J40" s="339"/>
      <c r="K40" s="339"/>
      <c r="L40" s="339"/>
      <c r="M40" s="339"/>
      <c r="N40" s="340"/>
      <c r="O40" s="340"/>
      <c r="P40" s="340"/>
      <c r="Q40" s="341"/>
    </row>
    <row r="41" spans="1:17">
      <c r="A41" s="336"/>
      <c r="B41" s="337"/>
      <c r="C41" s="338"/>
      <c r="D41" s="338"/>
      <c r="E41" s="338"/>
      <c r="F41" s="339"/>
      <c r="G41" s="339"/>
      <c r="H41" s="339"/>
      <c r="I41" s="339"/>
      <c r="J41" s="339"/>
      <c r="K41" s="339"/>
      <c r="L41" s="339"/>
      <c r="M41" s="339"/>
      <c r="N41" s="340"/>
      <c r="O41" s="340"/>
      <c r="P41" s="340"/>
      <c r="Q41" s="341"/>
    </row>
    <row r="42" spans="1:17">
      <c r="A42" s="336"/>
      <c r="B42" s="337"/>
      <c r="C42" s="338"/>
      <c r="D42" s="338"/>
      <c r="E42" s="338"/>
      <c r="F42" s="339"/>
      <c r="G42" s="339"/>
      <c r="H42" s="339"/>
      <c r="I42" s="339"/>
      <c r="J42" s="339"/>
      <c r="K42" s="339"/>
      <c r="L42" s="339"/>
      <c r="M42" s="339"/>
      <c r="N42" s="340"/>
      <c r="O42" s="340"/>
      <c r="P42" s="340"/>
      <c r="Q42" s="341"/>
    </row>
    <row r="43" spans="1:17">
      <c r="A43" s="336"/>
      <c r="B43" s="337"/>
      <c r="C43" s="338"/>
      <c r="D43" s="338"/>
      <c r="E43" s="338"/>
      <c r="F43" s="339"/>
      <c r="G43" s="339"/>
      <c r="H43" s="339"/>
      <c r="I43" s="339"/>
      <c r="J43" s="339"/>
      <c r="K43" s="339"/>
      <c r="L43" s="339"/>
      <c r="M43" s="339"/>
      <c r="N43" s="340"/>
      <c r="O43" s="340"/>
      <c r="P43" s="340"/>
      <c r="Q43" s="341"/>
    </row>
    <row r="44" spans="1:17" ht="17.25" thickBot="1">
      <c r="A44" s="342"/>
      <c r="B44" s="343"/>
      <c r="C44" s="344"/>
      <c r="D44" s="344"/>
      <c r="E44" s="344"/>
      <c r="F44" s="345"/>
      <c r="G44" s="345"/>
      <c r="H44" s="345"/>
      <c r="I44" s="345"/>
      <c r="J44" s="345"/>
      <c r="K44" s="345"/>
      <c r="L44" s="345"/>
      <c r="M44" s="345"/>
      <c r="N44" s="346"/>
      <c r="O44" s="346"/>
      <c r="P44" s="346"/>
      <c r="Q44" s="347"/>
    </row>
  </sheetData>
  <mergeCells count="205">
    <mergeCell ref="A5:B5"/>
    <mergeCell ref="C5:E5"/>
    <mergeCell ref="F5:M5"/>
    <mergeCell ref="N4:O4"/>
    <mergeCell ref="P4:Q4"/>
    <mergeCell ref="N5:O5"/>
    <mergeCell ref="P5:Q5"/>
    <mergeCell ref="A4:B4"/>
    <mergeCell ref="C4:E4"/>
    <mergeCell ref="F4:M4"/>
    <mergeCell ref="A20:B20"/>
    <mergeCell ref="C20:E20"/>
    <mergeCell ref="F20:M20"/>
    <mergeCell ref="N20:O20"/>
    <mergeCell ref="P20:Q20"/>
    <mergeCell ref="A21:B21"/>
    <mergeCell ref="C21:E21"/>
    <mergeCell ref="F21:M21"/>
    <mergeCell ref="N21:O21"/>
    <mergeCell ref="P21:Q21"/>
    <mergeCell ref="A22:B22"/>
    <mergeCell ref="C22:E22"/>
    <mergeCell ref="F22:M22"/>
    <mergeCell ref="N22:O22"/>
    <mergeCell ref="P22:Q22"/>
    <mergeCell ref="A23:B23"/>
    <mergeCell ref="C23:E23"/>
    <mergeCell ref="F23:M23"/>
    <mergeCell ref="N23:O23"/>
    <mergeCell ref="P23:Q23"/>
    <mergeCell ref="A24:B24"/>
    <mergeCell ref="C24:E24"/>
    <mergeCell ref="F24:M24"/>
    <mergeCell ref="N24:O24"/>
    <mergeCell ref="P24:Q24"/>
    <mergeCell ref="A25:B25"/>
    <mergeCell ref="C25:E25"/>
    <mergeCell ref="F25:M25"/>
    <mergeCell ref="N25:O25"/>
    <mergeCell ref="P25:Q25"/>
    <mergeCell ref="A26:B26"/>
    <mergeCell ref="C26:E26"/>
    <mergeCell ref="F26:M26"/>
    <mergeCell ref="N26:O26"/>
    <mergeCell ref="P26:Q26"/>
    <mergeCell ref="A27:B27"/>
    <mergeCell ref="C27:E27"/>
    <mergeCell ref="F27:M27"/>
    <mergeCell ref="N27:O27"/>
    <mergeCell ref="P27:Q27"/>
    <mergeCell ref="A28:B28"/>
    <mergeCell ref="C28:E28"/>
    <mergeCell ref="F28:M28"/>
    <mergeCell ref="N28:O28"/>
    <mergeCell ref="P28:Q28"/>
    <mergeCell ref="A29:B29"/>
    <mergeCell ref="C29:E29"/>
    <mergeCell ref="F29:M29"/>
    <mergeCell ref="N29:O29"/>
    <mergeCell ref="P29:Q29"/>
    <mergeCell ref="A30:B30"/>
    <mergeCell ref="C30:E30"/>
    <mergeCell ref="F30:M30"/>
    <mergeCell ref="N30:O30"/>
    <mergeCell ref="P30:Q30"/>
    <mergeCell ref="A31:B31"/>
    <mergeCell ref="C31:E31"/>
    <mergeCell ref="F31:M31"/>
    <mergeCell ref="N31:O31"/>
    <mergeCell ref="P31:Q31"/>
    <mergeCell ref="A32:B32"/>
    <mergeCell ref="C32:E32"/>
    <mergeCell ref="F32:M32"/>
    <mergeCell ref="N32:O32"/>
    <mergeCell ref="P32:Q32"/>
    <mergeCell ref="A33:B33"/>
    <mergeCell ref="C33:E33"/>
    <mergeCell ref="F33:M33"/>
    <mergeCell ref="N33:O33"/>
    <mergeCell ref="P33:Q33"/>
    <mergeCell ref="A34:B34"/>
    <mergeCell ref="C34:E34"/>
    <mergeCell ref="F34:M34"/>
    <mergeCell ref="N34:O34"/>
    <mergeCell ref="P34:Q34"/>
    <mergeCell ref="A35:B35"/>
    <mergeCell ref="C35:E35"/>
    <mergeCell ref="F35:M35"/>
    <mergeCell ref="N35:O35"/>
    <mergeCell ref="P35:Q35"/>
    <mergeCell ref="A36:B36"/>
    <mergeCell ref="C36:E36"/>
    <mergeCell ref="F36:M36"/>
    <mergeCell ref="N36:O36"/>
    <mergeCell ref="P36:Q36"/>
    <mergeCell ref="A37:B37"/>
    <mergeCell ref="C37:E37"/>
    <mergeCell ref="F37:M37"/>
    <mergeCell ref="N37:O37"/>
    <mergeCell ref="P37:Q37"/>
    <mergeCell ref="P40:Q40"/>
    <mergeCell ref="A41:B41"/>
    <mergeCell ref="C41:E41"/>
    <mergeCell ref="F41:M41"/>
    <mergeCell ref="N41:O41"/>
    <mergeCell ref="P41:Q41"/>
    <mergeCell ref="A38:B38"/>
    <mergeCell ref="C38:E38"/>
    <mergeCell ref="F38:M38"/>
    <mergeCell ref="N38:O38"/>
    <mergeCell ref="P38:Q38"/>
    <mergeCell ref="A39:B39"/>
    <mergeCell ref="C39:E39"/>
    <mergeCell ref="F39:M39"/>
    <mergeCell ref="N39:O39"/>
    <mergeCell ref="P39:Q39"/>
    <mergeCell ref="A44:B44"/>
    <mergeCell ref="C44:E44"/>
    <mergeCell ref="F44:M44"/>
    <mergeCell ref="N44:O44"/>
    <mergeCell ref="P44:Q44"/>
    <mergeCell ref="A6:B6"/>
    <mergeCell ref="C6:E6"/>
    <mergeCell ref="F6:M6"/>
    <mergeCell ref="N6:O6"/>
    <mergeCell ref="P6:Q6"/>
    <mergeCell ref="A42:B42"/>
    <mergeCell ref="C42:E42"/>
    <mergeCell ref="F42:M42"/>
    <mergeCell ref="N42:O42"/>
    <mergeCell ref="P42:Q42"/>
    <mergeCell ref="A43:B43"/>
    <mergeCell ref="C43:E43"/>
    <mergeCell ref="F43:M43"/>
    <mergeCell ref="N43:O43"/>
    <mergeCell ref="P43:Q43"/>
    <mergeCell ref="A40:B40"/>
    <mergeCell ref="C40:E40"/>
    <mergeCell ref="F40:M40"/>
    <mergeCell ref="N40:O40"/>
    <mergeCell ref="A7:B7"/>
    <mergeCell ref="C7:E7"/>
    <mergeCell ref="F7:M7"/>
    <mergeCell ref="N7:O7"/>
    <mergeCell ref="P7:Q7"/>
    <mergeCell ref="A8:B8"/>
    <mergeCell ref="C8:E8"/>
    <mergeCell ref="F8:M8"/>
    <mergeCell ref="N8:O8"/>
    <mergeCell ref="P8:Q8"/>
    <mergeCell ref="A9:B9"/>
    <mergeCell ref="C9:E9"/>
    <mergeCell ref="F9:M9"/>
    <mergeCell ref="N9:O9"/>
    <mergeCell ref="P9:Q9"/>
    <mergeCell ref="A10:B10"/>
    <mergeCell ref="C10:E10"/>
    <mergeCell ref="F10:M10"/>
    <mergeCell ref="N10:O10"/>
    <mergeCell ref="P10:Q10"/>
    <mergeCell ref="A11:B11"/>
    <mergeCell ref="C11:E11"/>
    <mergeCell ref="F11:M11"/>
    <mergeCell ref="N11:O11"/>
    <mergeCell ref="P11:Q11"/>
    <mergeCell ref="A12:B12"/>
    <mergeCell ref="C12:E12"/>
    <mergeCell ref="F12:M12"/>
    <mergeCell ref="N12:O12"/>
    <mergeCell ref="P12:Q12"/>
    <mergeCell ref="A13:B13"/>
    <mergeCell ref="C13:E13"/>
    <mergeCell ref="F13:M13"/>
    <mergeCell ref="N13:O13"/>
    <mergeCell ref="P13:Q13"/>
    <mergeCell ref="A14:B14"/>
    <mergeCell ref="C14:E14"/>
    <mergeCell ref="F14:M14"/>
    <mergeCell ref="N14:O14"/>
    <mergeCell ref="P14:Q14"/>
    <mergeCell ref="A15:B15"/>
    <mergeCell ref="C15:E15"/>
    <mergeCell ref="F15:M15"/>
    <mergeCell ref="N15:O15"/>
    <mergeCell ref="P15:Q15"/>
    <mergeCell ref="A16:B16"/>
    <mergeCell ref="C16:E16"/>
    <mergeCell ref="F16:M16"/>
    <mergeCell ref="N16:O16"/>
    <mergeCell ref="P16:Q16"/>
    <mergeCell ref="A19:B19"/>
    <mergeCell ref="C19:E19"/>
    <mergeCell ref="F19:M19"/>
    <mergeCell ref="N19:O19"/>
    <mergeCell ref="P19:Q19"/>
    <mergeCell ref="A17:B17"/>
    <mergeCell ref="C17:E17"/>
    <mergeCell ref="F17:M17"/>
    <mergeCell ref="N17:O17"/>
    <mergeCell ref="P17:Q17"/>
    <mergeCell ref="A18:B18"/>
    <mergeCell ref="C18:E18"/>
    <mergeCell ref="F18:M18"/>
    <mergeCell ref="N18:O18"/>
    <mergeCell ref="P18:Q18"/>
  </mergeCells>
  <phoneticPr fontId="5" type="noConversion"/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>
    <pageSetUpPr fitToPage="1"/>
  </sheetPr>
  <dimension ref="A1:Q65"/>
  <sheetViews>
    <sheetView showGridLines="0" view="pageBreakPreview" zoomScale="85" zoomScaleNormal="85" zoomScaleSheetLayoutView="85" workbookViewId="0"/>
  </sheetViews>
  <sheetFormatPr defaultColWidth="9" defaultRowHeight="16.5"/>
  <cols>
    <col min="1" max="17" width="5.125" style="8" customWidth="1"/>
    <col min="18" max="16384" width="9" style="8"/>
  </cols>
  <sheetData>
    <row r="1" spans="1:17" s="5" customFormat="1" ht="13.5">
      <c r="A1" s="4"/>
      <c r="B1" s="4"/>
      <c r="C1" s="4"/>
      <c r="D1" s="4"/>
      <c r="E1" s="4"/>
      <c r="F1" s="4"/>
      <c r="G1" s="4"/>
      <c r="H1" s="4"/>
      <c r="I1" s="4"/>
      <c r="J1" s="4"/>
      <c r="K1" s="37"/>
      <c r="L1" s="37"/>
      <c r="M1" s="37"/>
      <c r="N1" s="37"/>
      <c r="O1" s="37"/>
      <c r="P1" s="37"/>
      <c r="Q1" s="37"/>
    </row>
    <row r="2" spans="1:17" s="7" customFormat="1" ht="16.5" customHeight="1">
      <c r="A2" s="4"/>
      <c r="B2" s="67" t="s">
        <v>233</v>
      </c>
      <c r="C2" s="4"/>
      <c r="D2" s="4"/>
      <c r="E2" s="4"/>
      <c r="F2" s="4"/>
      <c r="G2" s="4"/>
      <c r="H2" s="4"/>
      <c r="I2" s="4"/>
      <c r="J2" s="4"/>
      <c r="K2" s="6"/>
      <c r="L2" s="6"/>
      <c r="M2" s="6"/>
      <c r="N2" s="6"/>
      <c r="O2" s="6"/>
      <c r="P2" s="6"/>
      <c r="Q2" s="6"/>
    </row>
    <row r="3" spans="1:17" s="7" customFormat="1" ht="5.0999999999999996" customHeight="1">
      <c r="A3" s="4"/>
      <c r="B3" s="46"/>
      <c r="C3" s="4"/>
      <c r="D3" s="4"/>
      <c r="E3" s="4"/>
      <c r="F3" s="4"/>
      <c r="G3" s="4"/>
      <c r="H3" s="4"/>
      <c r="I3" s="4"/>
      <c r="J3" s="4"/>
      <c r="K3" s="1"/>
      <c r="L3" s="1"/>
      <c r="M3" s="1"/>
      <c r="N3" s="1"/>
      <c r="O3" s="1"/>
      <c r="P3" s="1"/>
      <c r="Q3" s="1"/>
    </row>
    <row r="4" spans="1:17" ht="16.5" customHeight="1">
      <c r="A4" s="5"/>
      <c r="B4" s="60" t="s">
        <v>234</v>
      </c>
      <c r="C4" s="60"/>
      <c r="D4" s="60"/>
      <c r="E4" s="60"/>
      <c r="F4" s="60"/>
      <c r="G4" s="60"/>
      <c r="H4" s="60"/>
      <c r="I4" s="60"/>
      <c r="J4" s="60"/>
      <c r="K4" s="37"/>
      <c r="L4" s="37"/>
      <c r="M4" s="37"/>
      <c r="N4" s="37"/>
      <c r="O4" s="37"/>
      <c r="P4" s="37"/>
      <c r="Q4" s="37"/>
    </row>
    <row r="5" spans="1:17" ht="5.0999999999999996" customHeight="1">
      <c r="A5" s="5"/>
      <c r="B5" s="5"/>
      <c r="C5" s="61"/>
      <c r="D5" s="61"/>
      <c r="E5" s="61"/>
      <c r="F5" s="61"/>
      <c r="G5" s="61"/>
      <c r="H5" s="61"/>
      <c r="I5" s="61"/>
      <c r="J5" s="61"/>
      <c r="K5" s="37"/>
      <c r="L5" s="37"/>
      <c r="M5" s="37"/>
      <c r="N5" s="37"/>
      <c r="O5" s="37"/>
      <c r="P5" s="37"/>
      <c r="Q5" s="37"/>
    </row>
    <row r="6" spans="1:17" ht="16.5" customHeight="1">
      <c r="A6" s="5"/>
      <c r="B6" s="357" t="s">
        <v>235</v>
      </c>
      <c r="C6" s="357"/>
      <c r="D6" s="357"/>
      <c r="E6" s="357"/>
      <c r="F6" s="357"/>
      <c r="G6" s="357"/>
      <c r="H6" s="357"/>
      <c r="I6" s="357"/>
      <c r="J6" s="357"/>
      <c r="K6" s="357"/>
      <c r="L6" s="357"/>
      <c r="M6" s="357"/>
      <c r="N6" s="357"/>
      <c r="O6" s="357"/>
      <c r="P6" s="357"/>
      <c r="Q6" s="37"/>
    </row>
    <row r="7" spans="1:17" ht="16.5" customHeight="1">
      <c r="A7" s="5"/>
      <c r="B7" s="358"/>
      <c r="C7" s="358"/>
      <c r="D7" s="358"/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8"/>
      <c r="P7" s="358"/>
      <c r="Q7" s="37"/>
    </row>
    <row r="8" spans="1:17" ht="16.5" customHeight="1">
      <c r="A8" s="5"/>
      <c r="B8" s="358"/>
      <c r="C8" s="358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8"/>
      <c r="P8" s="358"/>
      <c r="Q8" s="37"/>
    </row>
    <row r="9" spans="1:17" ht="13.5" customHeight="1">
      <c r="A9" s="5"/>
      <c r="B9" s="5"/>
      <c r="C9" s="5"/>
      <c r="D9" s="5"/>
      <c r="E9" s="5"/>
      <c r="F9" s="5"/>
      <c r="G9" s="5"/>
      <c r="H9" s="5"/>
      <c r="I9" s="5"/>
      <c r="J9" s="5"/>
      <c r="K9" s="37"/>
      <c r="L9" s="37"/>
      <c r="M9" s="37"/>
      <c r="N9" s="37"/>
      <c r="O9" s="37"/>
      <c r="P9" s="37"/>
      <c r="Q9" s="37"/>
    </row>
    <row r="10" spans="1:17" ht="16.5" customHeight="1">
      <c r="A10" s="5"/>
      <c r="B10" s="64" t="s">
        <v>236</v>
      </c>
      <c r="C10" s="64"/>
      <c r="D10" s="64"/>
      <c r="E10" s="64"/>
      <c r="F10" s="64"/>
      <c r="G10" s="64"/>
      <c r="H10" s="64"/>
      <c r="I10" s="64"/>
      <c r="J10" s="64"/>
      <c r="K10" s="119"/>
      <c r="L10" s="119"/>
      <c r="M10" s="119"/>
      <c r="N10" s="119"/>
      <c r="O10" s="119"/>
      <c r="P10" s="119"/>
      <c r="Q10" s="37"/>
    </row>
    <row r="11" spans="1:17" ht="5.0999999999999996" customHeight="1">
      <c r="A11" s="5"/>
      <c r="B11" s="5"/>
      <c r="C11" s="61"/>
      <c r="D11" s="61"/>
      <c r="E11" s="61"/>
      <c r="F11" s="61"/>
      <c r="G11" s="61"/>
      <c r="H11" s="61"/>
      <c r="I11" s="61"/>
      <c r="J11" s="61"/>
      <c r="K11" s="37"/>
      <c r="L11" s="37"/>
      <c r="M11" s="37"/>
      <c r="N11" s="37"/>
      <c r="O11" s="37"/>
      <c r="P11" s="37"/>
      <c r="Q11" s="37"/>
    </row>
    <row r="12" spans="1:17" ht="16.5" customHeight="1">
      <c r="A12" s="62"/>
      <c r="B12" s="116" t="s">
        <v>422</v>
      </c>
      <c r="C12" s="60"/>
      <c r="D12" s="60"/>
      <c r="E12" s="60"/>
      <c r="F12" s="60"/>
      <c r="G12" s="60"/>
      <c r="H12" s="60"/>
      <c r="I12" s="60"/>
      <c r="J12" s="5"/>
      <c r="K12" s="37"/>
      <c r="L12" s="37"/>
      <c r="M12" s="37"/>
      <c r="N12" s="37"/>
      <c r="O12" s="37"/>
      <c r="P12" s="37"/>
      <c r="Q12" s="37"/>
    </row>
    <row r="13" spans="1:17" ht="5.0999999999999996" customHeight="1" thickBot="1">
      <c r="A13" s="62"/>
      <c r="B13" s="116"/>
      <c r="C13" s="60"/>
      <c r="D13" s="60"/>
      <c r="E13" s="60"/>
      <c r="F13" s="60"/>
      <c r="G13" s="60"/>
      <c r="H13" s="60"/>
      <c r="I13" s="60"/>
      <c r="J13" s="5"/>
      <c r="K13" s="37"/>
      <c r="L13" s="37"/>
      <c r="M13" s="37"/>
      <c r="N13" s="37"/>
      <c r="O13" s="37"/>
      <c r="P13" s="37"/>
      <c r="Q13" s="37"/>
    </row>
    <row r="14" spans="1:17" ht="16.5" customHeight="1">
      <c r="A14" s="62"/>
      <c r="B14" s="5"/>
      <c r="C14" s="359" t="s">
        <v>423</v>
      </c>
      <c r="D14" s="359"/>
      <c r="E14" s="359"/>
      <c r="F14" s="359"/>
      <c r="G14" s="359"/>
      <c r="H14" s="359"/>
      <c r="I14" s="359"/>
      <c r="J14" s="359"/>
      <c r="K14" s="359"/>
      <c r="L14" s="359"/>
      <c r="M14" s="359"/>
      <c r="N14" s="359"/>
      <c r="O14" s="359"/>
      <c r="P14" s="37"/>
      <c r="Q14" s="37"/>
    </row>
    <row r="15" spans="1:17" ht="16.5" customHeight="1">
      <c r="A15" s="62"/>
      <c r="B15" s="5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7"/>
      <c r="Q15" s="37"/>
    </row>
    <row r="16" spans="1:17" ht="16.5" customHeight="1" thickBot="1">
      <c r="A16" s="62"/>
      <c r="B16" s="5"/>
      <c r="C16" s="361"/>
      <c r="D16" s="361"/>
      <c r="E16" s="361"/>
      <c r="F16" s="361"/>
      <c r="G16" s="361"/>
      <c r="H16" s="361"/>
      <c r="I16" s="361"/>
      <c r="J16" s="361"/>
      <c r="K16" s="361"/>
      <c r="L16" s="361"/>
      <c r="M16" s="361"/>
      <c r="N16" s="361"/>
      <c r="O16" s="361"/>
      <c r="P16" s="37"/>
      <c r="Q16" s="37"/>
    </row>
    <row r="17" spans="1:17" ht="16.5" customHeight="1">
      <c r="A17" s="62"/>
      <c r="B17" s="5"/>
      <c r="C17" s="362" t="s">
        <v>237</v>
      </c>
      <c r="D17" s="362"/>
      <c r="E17" s="362"/>
      <c r="F17" s="362"/>
      <c r="G17" s="362"/>
      <c r="H17" s="362"/>
      <c r="I17" s="362"/>
      <c r="J17" s="362"/>
      <c r="K17" s="362"/>
      <c r="L17" s="362"/>
      <c r="M17" s="362"/>
      <c r="N17" s="362"/>
      <c r="O17" s="362"/>
      <c r="P17" s="37"/>
      <c r="Q17" s="37"/>
    </row>
    <row r="18" spans="1:17" ht="16.5" customHeight="1">
      <c r="A18" s="62"/>
      <c r="B18" s="5"/>
      <c r="C18" s="363"/>
      <c r="D18" s="363"/>
      <c r="E18" s="363"/>
      <c r="F18" s="363"/>
      <c r="G18" s="363"/>
      <c r="H18" s="363"/>
      <c r="I18" s="363"/>
      <c r="J18" s="363"/>
      <c r="K18" s="363"/>
      <c r="L18" s="363"/>
      <c r="M18" s="363"/>
      <c r="N18" s="363"/>
      <c r="O18" s="363"/>
      <c r="P18" s="37"/>
      <c r="Q18" s="37"/>
    </row>
    <row r="19" spans="1:17" ht="16.5" customHeight="1" thickBot="1">
      <c r="A19" s="62"/>
      <c r="B19" s="5"/>
      <c r="C19" s="364"/>
      <c r="D19" s="364"/>
      <c r="E19" s="364"/>
      <c r="F19" s="364"/>
      <c r="G19" s="364"/>
      <c r="H19" s="364"/>
      <c r="I19" s="364"/>
      <c r="J19" s="364"/>
      <c r="K19" s="364"/>
      <c r="L19" s="364"/>
      <c r="M19" s="364"/>
      <c r="N19" s="364"/>
      <c r="O19" s="364"/>
      <c r="P19" s="37"/>
      <c r="Q19" s="37"/>
    </row>
    <row r="20" spans="1:17" ht="13.5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37"/>
      <c r="L20" s="37"/>
      <c r="M20" s="37"/>
      <c r="N20" s="37"/>
      <c r="O20" s="37"/>
      <c r="P20" s="37"/>
      <c r="Q20" s="37"/>
    </row>
    <row r="21" spans="1:17" ht="16.5" customHeight="1">
      <c r="A21" s="62"/>
      <c r="B21" s="116" t="s">
        <v>238</v>
      </c>
      <c r="C21" s="60"/>
      <c r="D21" s="60"/>
      <c r="E21" s="60"/>
      <c r="F21" s="60"/>
      <c r="G21" s="60"/>
      <c r="H21" s="60"/>
      <c r="I21" s="60"/>
      <c r="J21" s="5"/>
      <c r="K21" s="37"/>
      <c r="L21" s="37"/>
      <c r="M21" s="37"/>
      <c r="N21" s="37"/>
      <c r="O21" s="37"/>
      <c r="P21" s="37"/>
      <c r="Q21" s="37"/>
    </row>
    <row r="22" spans="1:17" ht="5.0999999999999996" customHeight="1" thickBot="1">
      <c r="A22" s="62"/>
      <c r="B22" s="116"/>
      <c r="C22" s="60"/>
      <c r="D22" s="60"/>
      <c r="E22" s="60"/>
      <c r="F22" s="60"/>
      <c r="G22" s="60"/>
      <c r="H22" s="60"/>
      <c r="I22" s="60"/>
      <c r="J22" s="5"/>
      <c r="K22" s="37"/>
      <c r="L22" s="37"/>
      <c r="M22" s="37"/>
      <c r="N22" s="37"/>
      <c r="O22" s="37"/>
      <c r="P22" s="37"/>
      <c r="Q22" s="37"/>
    </row>
    <row r="23" spans="1:17" ht="16.5" customHeight="1">
      <c r="A23" s="5"/>
      <c r="B23" s="365" t="s">
        <v>239</v>
      </c>
      <c r="C23" s="365"/>
      <c r="D23" s="365"/>
      <c r="E23" s="365"/>
      <c r="F23" s="366"/>
      <c r="G23" s="369" t="s">
        <v>240</v>
      </c>
      <c r="H23" s="370"/>
      <c r="I23" s="370"/>
      <c r="J23" s="370"/>
      <c r="K23" s="370"/>
      <c r="L23" s="370"/>
      <c r="M23" s="370"/>
      <c r="N23" s="370"/>
      <c r="O23" s="370"/>
      <c r="P23" s="370"/>
      <c r="Q23" s="37"/>
    </row>
    <row r="24" spans="1:17" ht="16.5" customHeight="1" thickBot="1">
      <c r="A24" s="5"/>
      <c r="B24" s="367"/>
      <c r="C24" s="367"/>
      <c r="D24" s="367"/>
      <c r="E24" s="367"/>
      <c r="F24" s="368"/>
      <c r="G24" s="371" t="s">
        <v>241</v>
      </c>
      <c r="H24" s="371"/>
      <c r="I24" s="372" t="s">
        <v>242</v>
      </c>
      <c r="J24" s="373"/>
      <c r="K24" s="372" t="s">
        <v>243</v>
      </c>
      <c r="L24" s="373"/>
      <c r="M24" s="372" t="s">
        <v>244</v>
      </c>
      <c r="N24" s="373"/>
      <c r="O24" s="371" t="s">
        <v>245</v>
      </c>
      <c r="P24" s="372"/>
      <c r="Q24" s="37"/>
    </row>
    <row r="25" spans="1:17" ht="16.5" customHeight="1">
      <c r="A25" s="62"/>
      <c r="B25" s="374" t="s">
        <v>246</v>
      </c>
      <c r="C25" s="374"/>
      <c r="D25" s="374"/>
      <c r="E25" s="374"/>
      <c r="F25" s="375"/>
      <c r="G25" s="378" t="s">
        <v>247</v>
      </c>
      <c r="H25" s="378"/>
      <c r="I25" s="378" t="s">
        <v>248</v>
      </c>
      <c r="J25" s="378"/>
      <c r="K25" s="378" t="s">
        <v>249</v>
      </c>
      <c r="L25" s="378"/>
      <c r="M25" s="378" t="s">
        <v>250</v>
      </c>
      <c r="N25" s="378"/>
      <c r="O25" s="378" t="s">
        <v>251</v>
      </c>
      <c r="P25" s="380"/>
      <c r="Q25" s="37"/>
    </row>
    <row r="26" spans="1:17" ht="16.5" customHeight="1">
      <c r="A26" s="62"/>
      <c r="B26" s="376"/>
      <c r="C26" s="376"/>
      <c r="D26" s="376"/>
      <c r="E26" s="376"/>
      <c r="F26" s="377"/>
      <c r="G26" s="379"/>
      <c r="H26" s="379"/>
      <c r="I26" s="379"/>
      <c r="J26" s="379"/>
      <c r="K26" s="379"/>
      <c r="L26" s="379"/>
      <c r="M26" s="379"/>
      <c r="N26" s="379"/>
      <c r="O26" s="379"/>
      <c r="P26" s="381"/>
      <c r="Q26" s="37"/>
    </row>
    <row r="27" spans="1:17" ht="16.5" customHeight="1">
      <c r="A27" s="62"/>
      <c r="B27" s="382" t="s">
        <v>252</v>
      </c>
      <c r="C27" s="382"/>
      <c r="D27" s="382"/>
      <c r="E27" s="382"/>
      <c r="F27" s="383"/>
      <c r="G27" s="384" t="s">
        <v>253</v>
      </c>
      <c r="H27" s="385"/>
      <c r="I27" s="384" t="s">
        <v>253</v>
      </c>
      <c r="J27" s="385"/>
      <c r="K27" s="384" t="s">
        <v>253</v>
      </c>
      <c r="L27" s="385"/>
      <c r="M27" s="384" t="s">
        <v>253</v>
      </c>
      <c r="N27" s="385"/>
      <c r="O27" s="384" t="s">
        <v>253</v>
      </c>
      <c r="P27" s="388"/>
      <c r="Q27" s="37"/>
    </row>
    <row r="28" spans="1:17" ht="16.5" customHeight="1">
      <c r="A28" s="62"/>
      <c r="B28" s="376"/>
      <c r="C28" s="376"/>
      <c r="D28" s="376"/>
      <c r="E28" s="376"/>
      <c r="F28" s="377"/>
      <c r="G28" s="386"/>
      <c r="H28" s="387"/>
      <c r="I28" s="386"/>
      <c r="J28" s="387"/>
      <c r="K28" s="386"/>
      <c r="L28" s="387"/>
      <c r="M28" s="386"/>
      <c r="N28" s="387"/>
      <c r="O28" s="386"/>
      <c r="P28" s="389"/>
      <c r="Q28" s="37"/>
    </row>
    <row r="29" spans="1:17" ht="16.5" customHeight="1">
      <c r="A29" s="62"/>
      <c r="B29" s="382" t="s">
        <v>254</v>
      </c>
      <c r="C29" s="382"/>
      <c r="D29" s="382"/>
      <c r="E29" s="382"/>
      <c r="F29" s="383"/>
      <c r="G29" s="384" t="s">
        <v>58</v>
      </c>
      <c r="H29" s="385"/>
      <c r="I29" s="384" t="s">
        <v>58</v>
      </c>
      <c r="J29" s="385"/>
      <c r="K29" s="384" t="s">
        <v>58</v>
      </c>
      <c r="L29" s="385"/>
      <c r="M29" s="384" t="s">
        <v>58</v>
      </c>
      <c r="N29" s="385"/>
      <c r="O29" s="384" t="s">
        <v>58</v>
      </c>
      <c r="P29" s="388"/>
      <c r="Q29" s="37"/>
    </row>
    <row r="30" spans="1:17" ht="16.5" customHeight="1" thickBot="1">
      <c r="A30" s="62"/>
      <c r="B30" s="411"/>
      <c r="C30" s="411"/>
      <c r="D30" s="411"/>
      <c r="E30" s="411"/>
      <c r="F30" s="412"/>
      <c r="G30" s="390"/>
      <c r="H30" s="413"/>
      <c r="I30" s="390"/>
      <c r="J30" s="413"/>
      <c r="K30" s="390"/>
      <c r="L30" s="413"/>
      <c r="M30" s="390"/>
      <c r="N30" s="413"/>
      <c r="O30" s="390"/>
      <c r="P30" s="391"/>
      <c r="Q30" s="37"/>
    </row>
    <row r="31" spans="1:17" ht="13.5" customHeight="1">
      <c r="A31" s="62"/>
      <c r="B31" s="5"/>
      <c r="C31" s="5"/>
      <c r="D31" s="5"/>
      <c r="E31" s="5"/>
      <c r="F31" s="62"/>
      <c r="G31" s="5"/>
      <c r="H31" s="5"/>
      <c r="I31" s="5"/>
      <c r="J31" s="5"/>
      <c r="K31" s="37"/>
      <c r="L31" s="37"/>
      <c r="M31" s="37"/>
      <c r="N31" s="37"/>
      <c r="O31" s="37"/>
      <c r="P31" s="37"/>
      <c r="Q31" s="37"/>
    </row>
    <row r="32" spans="1:17" ht="16.5" customHeight="1">
      <c r="A32" s="62"/>
      <c r="B32" s="116" t="s">
        <v>255</v>
      </c>
      <c r="C32" s="60"/>
      <c r="D32" s="60"/>
      <c r="E32" s="60"/>
      <c r="F32" s="60"/>
      <c r="G32" s="60"/>
      <c r="H32" s="60"/>
      <c r="I32" s="60"/>
      <c r="J32" s="5"/>
      <c r="K32" s="37"/>
      <c r="L32" s="37"/>
      <c r="M32" s="37"/>
      <c r="N32" s="37"/>
      <c r="O32" s="37"/>
      <c r="P32" s="37"/>
      <c r="Q32" s="37"/>
    </row>
    <row r="33" spans="1:17" ht="5.0999999999999996" customHeight="1" thickBot="1">
      <c r="A33" s="62"/>
      <c r="B33" s="116"/>
      <c r="C33" s="60"/>
      <c r="D33" s="60"/>
      <c r="E33" s="60"/>
      <c r="F33" s="60"/>
      <c r="G33" s="60"/>
      <c r="H33" s="60"/>
      <c r="I33" s="60"/>
      <c r="J33" s="5"/>
      <c r="K33" s="37"/>
      <c r="L33" s="37"/>
      <c r="M33" s="37"/>
      <c r="N33" s="37"/>
      <c r="O33" s="37"/>
      <c r="P33" s="37"/>
      <c r="Q33" s="37"/>
    </row>
    <row r="34" spans="1:17" ht="16.5" customHeight="1">
      <c r="A34" s="62"/>
      <c r="B34" s="5"/>
      <c r="C34" s="359" t="s">
        <v>256</v>
      </c>
      <c r="D34" s="359"/>
      <c r="E34" s="359"/>
      <c r="F34" s="359"/>
      <c r="G34" s="359"/>
      <c r="H34" s="359"/>
      <c r="I34" s="359"/>
      <c r="J34" s="359"/>
      <c r="K34" s="359"/>
      <c r="L34" s="359"/>
      <c r="M34" s="359"/>
      <c r="N34" s="359"/>
      <c r="O34" s="359"/>
      <c r="P34" s="37"/>
      <c r="Q34" s="37"/>
    </row>
    <row r="35" spans="1:17" ht="16.5" customHeight="1">
      <c r="A35" s="62"/>
      <c r="B35" s="5"/>
      <c r="C35" s="360"/>
      <c r="D35" s="360"/>
      <c r="E35" s="360"/>
      <c r="F35" s="360"/>
      <c r="G35" s="360"/>
      <c r="H35" s="360"/>
      <c r="I35" s="360"/>
      <c r="J35" s="360"/>
      <c r="K35" s="360"/>
      <c r="L35" s="360"/>
      <c r="M35" s="360"/>
      <c r="N35" s="360"/>
      <c r="O35" s="360"/>
      <c r="P35" s="37"/>
      <c r="Q35" s="37"/>
    </row>
    <row r="36" spans="1:17" ht="16.5" customHeight="1" thickBot="1">
      <c r="A36" s="62"/>
      <c r="B36" s="5"/>
      <c r="C36" s="361"/>
      <c r="D36" s="361"/>
      <c r="E36" s="361"/>
      <c r="F36" s="361"/>
      <c r="G36" s="361"/>
      <c r="H36" s="361"/>
      <c r="I36" s="361"/>
      <c r="J36" s="361"/>
      <c r="K36" s="361"/>
      <c r="L36" s="361"/>
      <c r="M36" s="361"/>
      <c r="N36" s="361"/>
      <c r="O36" s="361"/>
      <c r="P36" s="37"/>
      <c r="Q36" s="37"/>
    </row>
    <row r="37" spans="1:17" ht="16.5" customHeight="1">
      <c r="A37" s="62"/>
      <c r="B37" s="5"/>
      <c r="C37" s="362" t="s">
        <v>257</v>
      </c>
      <c r="D37" s="362"/>
      <c r="E37" s="362"/>
      <c r="F37" s="362"/>
      <c r="G37" s="362"/>
      <c r="H37" s="362"/>
      <c r="I37" s="362"/>
      <c r="J37" s="362"/>
      <c r="K37" s="362"/>
      <c r="L37" s="362"/>
      <c r="M37" s="362"/>
      <c r="N37" s="362"/>
      <c r="O37" s="362"/>
      <c r="P37" s="37"/>
      <c r="Q37" s="37"/>
    </row>
    <row r="38" spans="1:17" ht="16.5" customHeight="1">
      <c r="A38" s="62"/>
      <c r="B38" s="5"/>
      <c r="C38" s="363"/>
      <c r="D38" s="363"/>
      <c r="E38" s="363"/>
      <c r="F38" s="363"/>
      <c r="G38" s="363"/>
      <c r="H38" s="363"/>
      <c r="I38" s="363"/>
      <c r="J38" s="363"/>
      <c r="K38" s="363"/>
      <c r="L38" s="363"/>
      <c r="M38" s="363"/>
      <c r="N38" s="363"/>
      <c r="O38" s="363"/>
      <c r="P38" s="37"/>
      <c r="Q38" s="37"/>
    </row>
    <row r="39" spans="1:17" ht="16.5" customHeight="1" thickBot="1">
      <c r="A39" s="62"/>
      <c r="B39" s="5"/>
      <c r="C39" s="364"/>
      <c r="D39" s="364"/>
      <c r="E39" s="364"/>
      <c r="F39" s="364"/>
      <c r="G39" s="364"/>
      <c r="H39" s="364"/>
      <c r="I39" s="364"/>
      <c r="J39" s="364"/>
      <c r="K39" s="364"/>
      <c r="L39" s="364"/>
      <c r="M39" s="364"/>
      <c r="N39" s="364"/>
      <c r="O39" s="364"/>
      <c r="P39" s="37"/>
      <c r="Q39" s="37"/>
    </row>
    <row r="40" spans="1:17" ht="13.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37"/>
      <c r="L40" s="37"/>
      <c r="M40" s="37"/>
      <c r="N40" s="37"/>
      <c r="O40" s="37"/>
      <c r="P40" s="37"/>
      <c r="Q40" s="37"/>
    </row>
    <row r="41" spans="1:17" ht="16.5" customHeight="1">
      <c r="A41" s="62"/>
      <c r="B41" s="116" t="s">
        <v>258</v>
      </c>
      <c r="C41" s="60"/>
      <c r="D41" s="60"/>
      <c r="E41" s="60"/>
      <c r="F41" s="60"/>
      <c r="G41" s="60"/>
      <c r="H41" s="60"/>
      <c r="I41" s="60"/>
      <c r="J41" s="5"/>
      <c r="K41" s="37"/>
      <c r="L41" s="37"/>
      <c r="M41" s="37"/>
      <c r="N41" s="37"/>
      <c r="O41" s="37"/>
      <c r="P41" s="37"/>
      <c r="Q41" s="37"/>
    </row>
    <row r="42" spans="1:17" ht="5.0999999999999996" customHeight="1" thickBot="1">
      <c r="A42" s="62"/>
      <c r="B42" s="116"/>
      <c r="C42" s="60"/>
      <c r="D42" s="60"/>
      <c r="E42" s="60"/>
      <c r="F42" s="60"/>
      <c r="G42" s="60"/>
      <c r="H42" s="60"/>
      <c r="I42" s="60"/>
      <c r="J42" s="5"/>
      <c r="K42" s="37"/>
      <c r="L42" s="37"/>
      <c r="M42" s="37"/>
      <c r="N42" s="37"/>
      <c r="O42" s="37"/>
      <c r="P42" s="37"/>
      <c r="Q42" s="37"/>
    </row>
    <row r="43" spans="1:17" ht="16.5" customHeight="1">
      <c r="A43" s="5"/>
      <c r="B43" s="392" t="s">
        <v>259</v>
      </c>
      <c r="C43" s="393"/>
      <c r="D43" s="393"/>
      <c r="E43" s="394" t="s">
        <v>260</v>
      </c>
      <c r="F43" s="365"/>
      <c r="G43" s="365"/>
      <c r="H43" s="365"/>
      <c r="I43" s="394" t="s">
        <v>261</v>
      </c>
      <c r="J43" s="365"/>
      <c r="K43" s="365"/>
      <c r="L43" s="365"/>
      <c r="M43" s="365"/>
      <c r="N43" s="365"/>
      <c r="O43" s="365"/>
      <c r="P43" s="365"/>
      <c r="Q43" s="37"/>
    </row>
    <row r="44" spans="1:17" ht="16.5" customHeight="1" thickBot="1">
      <c r="A44" s="5"/>
      <c r="B44" s="373"/>
      <c r="C44" s="371"/>
      <c r="D44" s="371"/>
      <c r="E44" s="395"/>
      <c r="F44" s="367"/>
      <c r="G44" s="367"/>
      <c r="H44" s="367"/>
      <c r="I44" s="395"/>
      <c r="J44" s="367"/>
      <c r="K44" s="367"/>
      <c r="L44" s="367"/>
      <c r="M44" s="367"/>
      <c r="N44" s="367"/>
      <c r="O44" s="367"/>
      <c r="P44" s="367"/>
      <c r="Q44" s="37"/>
    </row>
    <row r="45" spans="1:17" ht="16.5" customHeight="1">
      <c r="A45" s="62"/>
      <c r="B45" s="377" t="s">
        <v>262</v>
      </c>
      <c r="C45" s="396"/>
      <c r="D45" s="396"/>
      <c r="E45" s="399" t="s">
        <v>263</v>
      </c>
      <c r="F45" s="400"/>
      <c r="G45" s="400"/>
      <c r="H45" s="401"/>
      <c r="I45" s="405" t="s">
        <v>264</v>
      </c>
      <c r="J45" s="406"/>
      <c r="K45" s="406"/>
      <c r="L45" s="406"/>
      <c r="M45" s="406"/>
      <c r="N45" s="406"/>
      <c r="O45" s="406"/>
      <c r="P45" s="406"/>
      <c r="Q45" s="37"/>
    </row>
    <row r="46" spans="1:17" ht="16.5" customHeight="1">
      <c r="A46" s="62"/>
      <c r="B46" s="377"/>
      <c r="C46" s="396"/>
      <c r="D46" s="396"/>
      <c r="E46" s="402"/>
      <c r="F46" s="403"/>
      <c r="G46" s="403"/>
      <c r="H46" s="404"/>
      <c r="I46" s="407"/>
      <c r="J46" s="408"/>
      <c r="K46" s="408"/>
      <c r="L46" s="408"/>
      <c r="M46" s="408"/>
      <c r="N46" s="408"/>
      <c r="O46" s="408"/>
      <c r="P46" s="408"/>
      <c r="Q46" s="37"/>
    </row>
    <row r="47" spans="1:17" ht="16.5" customHeight="1">
      <c r="A47" s="62"/>
      <c r="B47" s="397"/>
      <c r="C47" s="398"/>
      <c r="D47" s="398"/>
      <c r="E47" s="386"/>
      <c r="F47" s="389"/>
      <c r="G47" s="389"/>
      <c r="H47" s="387"/>
      <c r="I47" s="409"/>
      <c r="J47" s="410"/>
      <c r="K47" s="410"/>
      <c r="L47" s="410"/>
      <c r="M47" s="410"/>
      <c r="N47" s="410"/>
      <c r="O47" s="410"/>
      <c r="P47" s="410"/>
      <c r="Q47" s="37"/>
    </row>
    <row r="48" spans="1:17" ht="16.5" customHeight="1">
      <c r="A48" s="62"/>
      <c r="B48" s="397" t="s">
        <v>265</v>
      </c>
      <c r="C48" s="398"/>
      <c r="D48" s="398"/>
      <c r="E48" s="379" t="s">
        <v>266</v>
      </c>
      <c r="F48" s="379"/>
      <c r="G48" s="379"/>
      <c r="H48" s="379"/>
      <c r="I48" s="414" t="s">
        <v>267</v>
      </c>
      <c r="J48" s="415"/>
      <c r="K48" s="415"/>
      <c r="L48" s="415"/>
      <c r="M48" s="415"/>
      <c r="N48" s="415"/>
      <c r="O48" s="415"/>
      <c r="P48" s="415"/>
      <c r="Q48" s="37"/>
    </row>
    <row r="49" spans="1:17" ht="16.5" customHeight="1">
      <c r="A49" s="62"/>
      <c r="B49" s="397"/>
      <c r="C49" s="398"/>
      <c r="D49" s="398"/>
      <c r="E49" s="379"/>
      <c r="F49" s="379"/>
      <c r="G49" s="379"/>
      <c r="H49" s="379"/>
      <c r="I49" s="407"/>
      <c r="J49" s="408"/>
      <c r="K49" s="408"/>
      <c r="L49" s="408"/>
      <c r="M49" s="408"/>
      <c r="N49" s="408"/>
      <c r="O49" s="408"/>
      <c r="P49" s="408"/>
      <c r="Q49" s="37"/>
    </row>
    <row r="50" spans="1:17" ht="16.5" customHeight="1">
      <c r="A50" s="62"/>
      <c r="B50" s="397"/>
      <c r="C50" s="398"/>
      <c r="D50" s="398"/>
      <c r="E50" s="379"/>
      <c r="F50" s="379"/>
      <c r="G50" s="379"/>
      <c r="H50" s="379"/>
      <c r="I50" s="409"/>
      <c r="J50" s="410"/>
      <c r="K50" s="410"/>
      <c r="L50" s="410"/>
      <c r="M50" s="410"/>
      <c r="N50" s="410"/>
      <c r="O50" s="410"/>
      <c r="P50" s="410"/>
      <c r="Q50" s="37"/>
    </row>
    <row r="51" spans="1:17" ht="16.5" customHeight="1">
      <c r="A51" s="62"/>
      <c r="B51" s="397" t="s">
        <v>268</v>
      </c>
      <c r="C51" s="398"/>
      <c r="D51" s="398"/>
      <c r="E51" s="379" t="s">
        <v>269</v>
      </c>
      <c r="F51" s="379"/>
      <c r="G51" s="379"/>
      <c r="H51" s="379"/>
      <c r="I51" s="414" t="s">
        <v>270</v>
      </c>
      <c r="J51" s="415"/>
      <c r="K51" s="415"/>
      <c r="L51" s="415"/>
      <c r="M51" s="415"/>
      <c r="N51" s="415"/>
      <c r="O51" s="415"/>
      <c r="P51" s="415"/>
      <c r="Q51" s="37"/>
    </row>
    <row r="52" spans="1:17" ht="16.5" customHeight="1">
      <c r="A52" s="62"/>
      <c r="B52" s="397"/>
      <c r="C52" s="398"/>
      <c r="D52" s="398"/>
      <c r="E52" s="379"/>
      <c r="F52" s="379"/>
      <c r="G52" s="379"/>
      <c r="H52" s="379"/>
      <c r="I52" s="407"/>
      <c r="J52" s="408"/>
      <c r="K52" s="408"/>
      <c r="L52" s="408"/>
      <c r="M52" s="408"/>
      <c r="N52" s="408"/>
      <c r="O52" s="408"/>
      <c r="P52" s="408"/>
      <c r="Q52" s="37"/>
    </row>
    <row r="53" spans="1:17" ht="16.5" customHeight="1">
      <c r="A53" s="62"/>
      <c r="B53" s="397"/>
      <c r="C53" s="398"/>
      <c r="D53" s="398"/>
      <c r="E53" s="379"/>
      <c r="F53" s="379"/>
      <c r="G53" s="379"/>
      <c r="H53" s="379"/>
      <c r="I53" s="409"/>
      <c r="J53" s="410"/>
      <c r="K53" s="410"/>
      <c r="L53" s="410"/>
      <c r="M53" s="410"/>
      <c r="N53" s="410"/>
      <c r="O53" s="410"/>
      <c r="P53" s="410"/>
      <c r="Q53" s="37"/>
    </row>
    <row r="54" spans="1:17" ht="16.5" customHeight="1">
      <c r="A54" s="62"/>
      <c r="B54" s="397" t="s">
        <v>405</v>
      </c>
      <c r="C54" s="398"/>
      <c r="D54" s="398"/>
      <c r="E54" s="379" t="s">
        <v>272</v>
      </c>
      <c r="F54" s="379"/>
      <c r="G54" s="379"/>
      <c r="H54" s="379"/>
      <c r="I54" s="414" t="s">
        <v>273</v>
      </c>
      <c r="J54" s="415"/>
      <c r="K54" s="415"/>
      <c r="L54" s="415"/>
      <c r="M54" s="415"/>
      <c r="N54" s="415"/>
      <c r="O54" s="415"/>
      <c r="P54" s="415"/>
      <c r="Q54" s="37"/>
    </row>
    <row r="55" spans="1:17" ht="16.5" customHeight="1">
      <c r="A55" s="62"/>
      <c r="B55" s="397"/>
      <c r="C55" s="398"/>
      <c r="D55" s="398"/>
      <c r="E55" s="379"/>
      <c r="F55" s="379"/>
      <c r="G55" s="379"/>
      <c r="H55" s="379"/>
      <c r="I55" s="407"/>
      <c r="J55" s="408"/>
      <c r="K55" s="408"/>
      <c r="L55" s="408"/>
      <c r="M55" s="408"/>
      <c r="N55" s="408"/>
      <c r="O55" s="408"/>
      <c r="P55" s="408"/>
      <c r="Q55" s="37"/>
    </row>
    <row r="56" spans="1:17" ht="16.5" customHeight="1">
      <c r="A56" s="62"/>
      <c r="B56" s="397"/>
      <c r="C56" s="398"/>
      <c r="D56" s="398"/>
      <c r="E56" s="379"/>
      <c r="F56" s="379"/>
      <c r="G56" s="379"/>
      <c r="H56" s="379"/>
      <c r="I56" s="409"/>
      <c r="J56" s="410"/>
      <c r="K56" s="410"/>
      <c r="L56" s="410"/>
      <c r="M56" s="410"/>
      <c r="N56" s="410"/>
      <c r="O56" s="410"/>
      <c r="P56" s="410"/>
      <c r="Q56" s="37"/>
    </row>
    <row r="57" spans="1:17" ht="16.5" customHeight="1">
      <c r="A57" s="62"/>
      <c r="B57" s="397" t="s">
        <v>340</v>
      </c>
      <c r="C57" s="398"/>
      <c r="D57" s="398"/>
      <c r="E57" s="379" t="s">
        <v>274</v>
      </c>
      <c r="F57" s="379"/>
      <c r="G57" s="379"/>
      <c r="H57" s="379"/>
      <c r="I57" s="414" t="s">
        <v>275</v>
      </c>
      <c r="J57" s="415"/>
      <c r="K57" s="415"/>
      <c r="L57" s="415"/>
      <c r="M57" s="415"/>
      <c r="N57" s="415"/>
      <c r="O57" s="415"/>
      <c r="P57" s="415"/>
      <c r="Q57" s="37"/>
    </row>
    <row r="58" spans="1:17" ht="16.5" customHeight="1">
      <c r="A58" s="62"/>
      <c r="B58" s="383"/>
      <c r="C58" s="416"/>
      <c r="D58" s="416"/>
      <c r="E58" s="419"/>
      <c r="F58" s="419"/>
      <c r="G58" s="419"/>
      <c r="H58" s="419"/>
      <c r="I58" s="407"/>
      <c r="J58" s="408"/>
      <c r="K58" s="408"/>
      <c r="L58" s="408"/>
      <c r="M58" s="408"/>
      <c r="N58" s="408"/>
      <c r="O58" s="408"/>
      <c r="P58" s="408"/>
      <c r="Q58" s="37"/>
    </row>
    <row r="59" spans="1:17" ht="16.5" customHeight="1" thickBot="1">
      <c r="A59" s="62"/>
      <c r="B59" s="417"/>
      <c r="C59" s="418"/>
      <c r="D59" s="418"/>
      <c r="E59" s="420"/>
      <c r="F59" s="420"/>
      <c r="G59" s="420"/>
      <c r="H59" s="420"/>
      <c r="I59" s="421"/>
      <c r="J59" s="422"/>
      <c r="K59" s="422"/>
      <c r="L59" s="422"/>
      <c r="M59" s="422"/>
      <c r="N59" s="422"/>
      <c r="O59" s="422"/>
      <c r="P59" s="422"/>
      <c r="Q59" s="37"/>
    </row>
    <row r="60" spans="1:17" ht="13.5" customHeight="1">
      <c r="A60" s="62"/>
      <c r="B60" s="5"/>
      <c r="C60" s="5"/>
      <c r="D60" s="5"/>
      <c r="E60" s="5"/>
      <c r="F60" s="62"/>
      <c r="G60" s="5"/>
      <c r="H60" s="5"/>
      <c r="I60" s="5"/>
      <c r="J60" s="5"/>
      <c r="K60" s="37"/>
      <c r="L60" s="37"/>
      <c r="M60" s="37"/>
      <c r="N60" s="37"/>
      <c r="O60" s="37"/>
      <c r="P60" s="37"/>
      <c r="Q60" s="37"/>
    </row>
    <row r="61" spans="1:17" ht="16.5" customHeight="1">
      <c r="A61" s="5"/>
      <c r="B61" s="65" t="s">
        <v>276</v>
      </c>
      <c r="C61" s="65"/>
      <c r="D61" s="66"/>
      <c r="E61" s="66"/>
      <c r="F61" s="66"/>
      <c r="G61" s="66"/>
      <c r="H61" s="66"/>
      <c r="I61" s="66"/>
      <c r="J61" s="5"/>
      <c r="K61" s="37"/>
      <c r="L61" s="37"/>
      <c r="M61" s="37"/>
      <c r="N61" s="37"/>
      <c r="O61" s="37"/>
      <c r="P61" s="37"/>
      <c r="Q61" s="37"/>
    </row>
    <row r="62" spans="1:17" ht="5.0999999999999996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37"/>
      <c r="L62" s="37"/>
      <c r="M62" s="37"/>
      <c r="N62" s="37"/>
      <c r="O62" s="37"/>
      <c r="P62" s="37"/>
      <c r="Q62" s="37"/>
    </row>
    <row r="63" spans="1:17" ht="16.5" customHeight="1">
      <c r="A63" s="5"/>
      <c r="B63" s="164" t="s">
        <v>277</v>
      </c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</row>
    <row r="64" spans="1:17" ht="16.5" customHeight="1">
      <c r="A64" s="5"/>
      <c r="B64" s="165" t="s">
        <v>278</v>
      </c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</row>
    <row r="65" ht="13.5" customHeight="1"/>
  </sheetData>
  <mergeCells count="48">
    <mergeCell ref="B54:D56"/>
    <mergeCell ref="E54:H56"/>
    <mergeCell ref="I54:P56"/>
    <mergeCell ref="B57:D59"/>
    <mergeCell ref="E57:H59"/>
    <mergeCell ref="I57:P59"/>
    <mergeCell ref="B48:D50"/>
    <mergeCell ref="E48:H50"/>
    <mergeCell ref="I48:P50"/>
    <mergeCell ref="B51:D53"/>
    <mergeCell ref="E51:H53"/>
    <mergeCell ref="I51:P53"/>
    <mergeCell ref="O29:P30"/>
    <mergeCell ref="B43:D44"/>
    <mergeCell ref="E43:H44"/>
    <mergeCell ref="I43:P44"/>
    <mergeCell ref="B45:D47"/>
    <mergeCell ref="E45:H47"/>
    <mergeCell ref="I45:P47"/>
    <mergeCell ref="B29:F30"/>
    <mergeCell ref="G29:H30"/>
    <mergeCell ref="I29:J30"/>
    <mergeCell ref="K29:L30"/>
    <mergeCell ref="M29:N30"/>
    <mergeCell ref="M25:N26"/>
    <mergeCell ref="O25:P26"/>
    <mergeCell ref="B27:F28"/>
    <mergeCell ref="G27:H28"/>
    <mergeCell ref="I27:J28"/>
    <mergeCell ref="K27:L28"/>
    <mergeCell ref="M27:N28"/>
    <mergeCell ref="O27:P28"/>
    <mergeCell ref="B6:P8"/>
    <mergeCell ref="C14:O16"/>
    <mergeCell ref="C17:O19"/>
    <mergeCell ref="C34:O36"/>
    <mergeCell ref="C37:O39"/>
    <mergeCell ref="B23:F24"/>
    <mergeCell ref="G23:P23"/>
    <mergeCell ref="G24:H24"/>
    <mergeCell ref="I24:J24"/>
    <mergeCell ref="K24:L24"/>
    <mergeCell ref="M24:N24"/>
    <mergeCell ref="O24:P24"/>
    <mergeCell ref="B25:F26"/>
    <mergeCell ref="G25:H26"/>
    <mergeCell ref="I25:J26"/>
    <mergeCell ref="K25:L26"/>
  </mergeCells>
  <phoneticPr fontId="1" type="noConversion"/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rowBreaks count="1" manualBreakCount="1">
    <brk id="40" max="16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V29"/>
  <sheetViews>
    <sheetView showGridLines="0" view="pageBreakPreview" zoomScale="85" zoomScaleNormal="100" zoomScaleSheetLayoutView="85" workbookViewId="0">
      <pane ySplit="6" topLeftCell="A7" activePane="bottomLeft" state="frozen"/>
      <selection pane="bottomLeft"/>
    </sheetView>
  </sheetViews>
  <sheetFormatPr defaultColWidth="9" defaultRowHeight="13.5"/>
  <cols>
    <col min="1" max="1" width="5.75" style="7" customWidth="1"/>
    <col min="2" max="5" width="19.75" style="7" customWidth="1"/>
    <col min="6" max="7" width="12.25" style="7" customWidth="1"/>
    <col min="8" max="10" width="3.625" style="7" customWidth="1"/>
    <col min="11" max="11" width="6.25" style="7" customWidth="1"/>
    <col min="12" max="12" width="12.25" style="7" customWidth="1"/>
    <col min="13" max="16384" width="9" style="7"/>
  </cols>
  <sheetData>
    <row r="1" spans="1:22" s="5" customForma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22" ht="18" customHeight="1">
      <c r="A2" s="423" t="s">
        <v>285</v>
      </c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9"/>
      <c r="N2" s="10"/>
      <c r="O2" s="10"/>
      <c r="P2" s="10"/>
      <c r="Q2" s="10"/>
      <c r="R2" s="10"/>
      <c r="S2" s="10"/>
      <c r="T2" s="10"/>
      <c r="U2" s="10"/>
      <c r="V2" s="10"/>
    </row>
    <row r="3" spans="1:22" ht="5.0999999999999996" customHeight="1" thickBo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22" ht="17.25" thickBot="1">
      <c r="A4" s="1"/>
      <c r="B4" s="1"/>
      <c r="C4" s="1"/>
      <c r="D4" s="1"/>
      <c r="E4" s="1"/>
      <c r="F4" s="1"/>
      <c r="G4" s="1"/>
      <c r="H4" s="1"/>
      <c r="I4" s="1"/>
      <c r="J4" s="1"/>
      <c r="K4" s="68" t="s">
        <v>286</v>
      </c>
      <c r="L4" s="71">
        <v>4</v>
      </c>
    </row>
    <row r="5" spans="1:22" ht="16.5" customHeight="1">
      <c r="A5" s="323" t="s">
        <v>287</v>
      </c>
      <c r="B5" s="321" t="s">
        <v>288</v>
      </c>
      <c r="C5" s="322"/>
      <c r="D5" s="322"/>
      <c r="E5" s="322"/>
      <c r="F5" s="322"/>
      <c r="G5" s="323"/>
      <c r="H5" s="425" t="s">
        <v>289</v>
      </c>
      <c r="I5" s="425"/>
      <c r="J5" s="425"/>
      <c r="K5" s="426"/>
      <c r="L5" s="427" t="s">
        <v>229</v>
      </c>
    </row>
    <row r="6" spans="1:22" ht="14.25" thickBot="1">
      <c r="A6" s="424"/>
      <c r="B6" s="117" t="s">
        <v>290</v>
      </c>
      <c r="C6" s="70" t="s">
        <v>291</v>
      </c>
      <c r="D6" s="70" t="s">
        <v>292</v>
      </c>
      <c r="E6" s="70" t="s">
        <v>293</v>
      </c>
      <c r="F6" s="70" t="s">
        <v>294</v>
      </c>
      <c r="G6" s="70" t="s">
        <v>295</v>
      </c>
      <c r="H6" s="70" t="s">
        <v>296</v>
      </c>
      <c r="I6" s="70" t="s">
        <v>297</v>
      </c>
      <c r="J6" s="70" t="s">
        <v>298</v>
      </c>
      <c r="K6" s="70" t="s">
        <v>299</v>
      </c>
      <c r="L6" s="428"/>
    </row>
    <row r="7" spans="1:22">
      <c r="A7" s="226">
        <f ca="1">HYPERLINK("[" &amp; MID(CELL("filename"),SEARCH("[",CELL("filename"))+1, SEARCH("]",CELL("filename"))-SEARCH("[",CELL("filename"))-1) &amp; "]'요약 통계'!" &amp; ADDRESS(4,ROW()+5,1,TRUE),ROW()-6)</f>
        <v>1</v>
      </c>
      <c r="B7" s="75" t="s">
        <v>820</v>
      </c>
      <c r="C7" s="161" t="s">
        <v>300</v>
      </c>
      <c r="D7" s="75" t="s">
        <v>402</v>
      </c>
      <c r="E7" s="74" t="s">
        <v>301</v>
      </c>
      <c r="F7" s="74" t="s">
        <v>302</v>
      </c>
      <c r="G7" s="74" t="s">
        <v>303</v>
      </c>
      <c r="H7" s="74">
        <v>3</v>
      </c>
      <c r="I7" s="74">
        <v>3</v>
      </c>
      <c r="J7" s="74">
        <v>2</v>
      </c>
      <c r="K7" s="74" t="str">
        <f t="shared" ref="K7:K8" si="0">IF(H7+I7+J7&lt;=2,"-",IF(H7+I7+J7&gt;=7,"상",IF(H7+I7+J7&gt;=5,"중","하")))</f>
        <v>상</v>
      </c>
      <c r="L7" s="76"/>
    </row>
    <row r="8" spans="1:22">
      <c r="A8" s="225">
        <f t="shared" ref="A8:A29" ca="1" si="1">HYPERLINK("[" &amp; MID(CELL("filename"),SEARCH("[",CELL("filename"))+1, SEARCH("]",CELL("filename"))-SEARCH("[",CELL("filename"))-1) &amp; "]'요약 통계'!" &amp; ADDRESS(4,ROW()+5,1,TRUE),ROW()-6)</f>
        <v>2</v>
      </c>
      <c r="B8" s="78" t="s">
        <v>821</v>
      </c>
      <c r="C8" s="78" t="s">
        <v>304</v>
      </c>
      <c r="D8" s="78" t="s">
        <v>305</v>
      </c>
      <c r="E8" s="77" t="s">
        <v>306</v>
      </c>
      <c r="F8" s="77" t="s">
        <v>307</v>
      </c>
      <c r="G8" s="77" t="s">
        <v>308</v>
      </c>
      <c r="H8" s="77">
        <v>3</v>
      </c>
      <c r="I8" s="77">
        <v>3</v>
      </c>
      <c r="J8" s="77">
        <v>2</v>
      </c>
      <c r="K8" s="231" t="str">
        <f t="shared" si="0"/>
        <v>상</v>
      </c>
      <c r="L8" s="79"/>
    </row>
    <row r="9" spans="1:22">
      <c r="A9" s="225">
        <f t="shared" ca="1" si="1"/>
        <v>3</v>
      </c>
      <c r="B9" s="78"/>
      <c r="C9" s="78"/>
      <c r="D9" s="78"/>
      <c r="E9" s="77"/>
      <c r="F9" s="77"/>
      <c r="G9" s="77"/>
      <c r="H9" s="77"/>
      <c r="I9" s="77"/>
      <c r="J9" s="77"/>
      <c r="K9" s="77"/>
      <c r="L9" s="79"/>
    </row>
    <row r="10" spans="1:22">
      <c r="A10" s="225">
        <f t="shared" ca="1" si="1"/>
        <v>4</v>
      </c>
      <c r="B10" s="78"/>
      <c r="C10" s="78"/>
      <c r="D10" s="78"/>
      <c r="E10" s="77"/>
      <c r="F10" s="77"/>
      <c r="G10" s="77"/>
      <c r="H10" s="77"/>
      <c r="I10" s="77"/>
      <c r="J10" s="77"/>
      <c r="K10" s="77"/>
      <c r="L10" s="79"/>
    </row>
    <row r="11" spans="1:22">
      <c r="A11" s="225">
        <f t="shared" ca="1" si="1"/>
        <v>5</v>
      </c>
      <c r="B11" s="78"/>
      <c r="C11" s="78"/>
      <c r="D11" s="78"/>
      <c r="E11" s="77"/>
      <c r="F11" s="77"/>
      <c r="G11" s="77"/>
      <c r="H11" s="77"/>
      <c r="I11" s="77"/>
      <c r="J11" s="77"/>
      <c r="K11" s="77"/>
      <c r="L11" s="79"/>
    </row>
    <row r="12" spans="1:22">
      <c r="A12" s="225">
        <f t="shared" ca="1" si="1"/>
        <v>6</v>
      </c>
      <c r="B12" s="78"/>
      <c r="C12" s="78"/>
      <c r="D12" s="78"/>
      <c r="E12" s="77"/>
      <c r="F12" s="77"/>
      <c r="G12" s="77"/>
      <c r="H12" s="77"/>
      <c r="I12" s="77"/>
      <c r="J12" s="77"/>
      <c r="K12" s="77"/>
      <c r="L12" s="79"/>
    </row>
    <row r="13" spans="1:22">
      <c r="A13" s="225">
        <f t="shared" ca="1" si="1"/>
        <v>7</v>
      </c>
      <c r="B13" s="78"/>
      <c r="C13" s="78"/>
      <c r="D13" s="78"/>
      <c r="E13" s="77"/>
      <c r="F13" s="77"/>
      <c r="G13" s="77"/>
      <c r="H13" s="77"/>
      <c r="I13" s="77"/>
      <c r="J13" s="77"/>
      <c r="K13" s="77"/>
      <c r="L13" s="79"/>
    </row>
    <row r="14" spans="1:22">
      <c r="A14" s="225">
        <f t="shared" ca="1" si="1"/>
        <v>8</v>
      </c>
      <c r="B14" s="78"/>
      <c r="C14" s="78"/>
      <c r="D14" s="78"/>
      <c r="E14" s="77"/>
      <c r="F14" s="77"/>
      <c r="G14" s="77"/>
      <c r="H14" s="77"/>
      <c r="I14" s="77"/>
      <c r="J14" s="77"/>
      <c r="K14" s="77"/>
      <c r="L14" s="79"/>
    </row>
    <row r="15" spans="1:22">
      <c r="A15" s="225">
        <f t="shared" ca="1" si="1"/>
        <v>9</v>
      </c>
      <c r="B15" s="78"/>
      <c r="C15" s="78"/>
      <c r="D15" s="78"/>
      <c r="E15" s="77"/>
      <c r="F15" s="77"/>
      <c r="G15" s="77"/>
      <c r="H15" s="77"/>
      <c r="I15" s="77"/>
      <c r="J15" s="77"/>
      <c r="K15" s="77"/>
      <c r="L15" s="79"/>
    </row>
    <row r="16" spans="1:22">
      <c r="A16" s="225">
        <f t="shared" ca="1" si="1"/>
        <v>10</v>
      </c>
      <c r="B16" s="78"/>
      <c r="C16" s="78"/>
      <c r="D16" s="78"/>
      <c r="E16" s="77"/>
      <c r="F16" s="77"/>
      <c r="G16" s="77"/>
      <c r="H16" s="77"/>
      <c r="I16" s="77"/>
      <c r="J16" s="77"/>
      <c r="K16" s="77"/>
      <c r="L16" s="79"/>
    </row>
    <row r="17" spans="1:12">
      <c r="A17" s="225">
        <f t="shared" ca="1" si="1"/>
        <v>11</v>
      </c>
      <c r="B17" s="78"/>
      <c r="C17" s="78"/>
      <c r="D17" s="78"/>
      <c r="E17" s="77"/>
      <c r="F17" s="77"/>
      <c r="G17" s="77"/>
      <c r="H17" s="77"/>
      <c r="I17" s="77"/>
      <c r="J17" s="77"/>
      <c r="K17" s="77"/>
      <c r="L17" s="79"/>
    </row>
    <row r="18" spans="1:12">
      <c r="A18" s="225">
        <f t="shared" ca="1" si="1"/>
        <v>12</v>
      </c>
      <c r="B18" s="78"/>
      <c r="C18" s="78"/>
      <c r="D18" s="78"/>
      <c r="E18" s="77"/>
      <c r="F18" s="77"/>
      <c r="G18" s="77"/>
      <c r="H18" s="77"/>
      <c r="I18" s="77"/>
      <c r="J18" s="77"/>
      <c r="K18" s="77"/>
      <c r="L18" s="79"/>
    </row>
    <row r="19" spans="1:12">
      <c r="A19" s="225">
        <f t="shared" ca="1" si="1"/>
        <v>13</v>
      </c>
      <c r="B19" s="78"/>
      <c r="C19" s="78"/>
      <c r="D19" s="78"/>
      <c r="E19" s="77"/>
      <c r="F19" s="77"/>
      <c r="G19" s="77"/>
      <c r="H19" s="77"/>
      <c r="I19" s="77"/>
      <c r="J19" s="77"/>
      <c r="K19" s="77"/>
      <c r="L19" s="79"/>
    </row>
    <row r="20" spans="1:12">
      <c r="A20" s="225">
        <f t="shared" ca="1" si="1"/>
        <v>14</v>
      </c>
      <c r="B20" s="78"/>
      <c r="C20" s="78"/>
      <c r="D20" s="78"/>
      <c r="E20" s="77"/>
      <c r="F20" s="77"/>
      <c r="G20" s="77"/>
      <c r="H20" s="77"/>
      <c r="I20" s="77"/>
      <c r="J20" s="77"/>
      <c r="K20" s="77"/>
      <c r="L20" s="79"/>
    </row>
    <row r="21" spans="1:12">
      <c r="A21" s="225">
        <f t="shared" ca="1" si="1"/>
        <v>15</v>
      </c>
      <c r="B21" s="78"/>
      <c r="C21" s="78"/>
      <c r="D21" s="78"/>
      <c r="E21" s="77"/>
      <c r="F21" s="77"/>
      <c r="G21" s="77"/>
      <c r="H21" s="77"/>
      <c r="I21" s="77"/>
      <c r="J21" s="77"/>
      <c r="K21" s="77"/>
      <c r="L21" s="79"/>
    </row>
    <row r="22" spans="1:12">
      <c r="A22" s="225">
        <f t="shared" ca="1" si="1"/>
        <v>16</v>
      </c>
      <c r="B22" s="78"/>
      <c r="C22" s="78"/>
      <c r="D22" s="78"/>
      <c r="E22" s="77"/>
      <c r="F22" s="77"/>
      <c r="G22" s="77"/>
      <c r="H22" s="77"/>
      <c r="I22" s="77"/>
      <c r="J22" s="77"/>
      <c r="K22" s="77"/>
      <c r="L22" s="79"/>
    </row>
    <row r="23" spans="1:12">
      <c r="A23" s="225">
        <f t="shared" ca="1" si="1"/>
        <v>17</v>
      </c>
      <c r="B23" s="78"/>
      <c r="C23" s="78"/>
      <c r="D23" s="78"/>
      <c r="E23" s="77"/>
      <c r="F23" s="77"/>
      <c r="G23" s="77"/>
      <c r="H23" s="77"/>
      <c r="I23" s="77"/>
      <c r="J23" s="77"/>
      <c r="K23" s="77"/>
      <c r="L23" s="79"/>
    </row>
    <row r="24" spans="1:12">
      <c r="A24" s="225">
        <f t="shared" ca="1" si="1"/>
        <v>18</v>
      </c>
      <c r="B24" s="78"/>
      <c r="C24" s="78"/>
      <c r="D24" s="78"/>
      <c r="E24" s="77"/>
      <c r="F24" s="77"/>
      <c r="G24" s="77"/>
      <c r="H24" s="77"/>
      <c r="I24" s="77"/>
      <c r="J24" s="77"/>
      <c r="K24" s="77"/>
      <c r="L24" s="79"/>
    </row>
    <row r="25" spans="1:12">
      <c r="A25" s="225">
        <f t="shared" ca="1" si="1"/>
        <v>19</v>
      </c>
      <c r="B25" s="78"/>
      <c r="C25" s="78"/>
      <c r="D25" s="78"/>
      <c r="E25" s="77"/>
      <c r="F25" s="77"/>
      <c r="G25" s="77"/>
      <c r="H25" s="77"/>
      <c r="I25" s="77"/>
      <c r="J25" s="77"/>
      <c r="K25" s="77"/>
      <c r="L25" s="79"/>
    </row>
    <row r="26" spans="1:12">
      <c r="A26" s="225">
        <f t="shared" ca="1" si="1"/>
        <v>20</v>
      </c>
      <c r="B26" s="78"/>
      <c r="C26" s="78"/>
      <c r="D26" s="78"/>
      <c r="E26" s="77"/>
      <c r="F26" s="77"/>
      <c r="G26" s="77"/>
      <c r="H26" s="77"/>
      <c r="I26" s="77"/>
      <c r="J26" s="77"/>
      <c r="K26" s="77"/>
      <c r="L26" s="79"/>
    </row>
    <row r="27" spans="1:12">
      <c r="A27" s="225">
        <f t="shared" ca="1" si="1"/>
        <v>21</v>
      </c>
      <c r="B27" s="78"/>
      <c r="C27" s="78"/>
      <c r="D27" s="78"/>
      <c r="E27" s="77"/>
      <c r="F27" s="77"/>
      <c r="G27" s="77"/>
      <c r="H27" s="77"/>
      <c r="I27" s="77"/>
      <c r="J27" s="77"/>
      <c r="K27" s="77"/>
      <c r="L27" s="79"/>
    </row>
    <row r="28" spans="1:12">
      <c r="A28" s="225">
        <f t="shared" ca="1" si="1"/>
        <v>22</v>
      </c>
      <c r="B28" s="78"/>
      <c r="C28" s="78"/>
      <c r="D28" s="78"/>
      <c r="E28" s="77"/>
      <c r="F28" s="77"/>
      <c r="G28" s="77"/>
      <c r="H28" s="77"/>
      <c r="I28" s="77"/>
      <c r="J28" s="77"/>
      <c r="K28" s="77"/>
      <c r="L28" s="79"/>
    </row>
    <row r="29" spans="1:12" ht="14.25" thickBot="1">
      <c r="A29" s="227">
        <f t="shared" ca="1" si="1"/>
        <v>23</v>
      </c>
      <c r="B29" s="228"/>
      <c r="C29" s="228"/>
      <c r="D29" s="228"/>
      <c r="E29" s="229"/>
      <c r="F29" s="229"/>
      <c r="G29" s="229"/>
      <c r="H29" s="229"/>
      <c r="I29" s="229"/>
      <c r="J29" s="229"/>
      <c r="K29" s="229"/>
      <c r="L29" s="230"/>
    </row>
  </sheetData>
  <mergeCells count="5">
    <mergeCell ref="A2:L2"/>
    <mergeCell ref="A5:A6"/>
    <mergeCell ref="H5:K5"/>
    <mergeCell ref="L5:L6"/>
    <mergeCell ref="B5:G5"/>
  </mergeCells>
  <phoneticPr fontId="1" type="noConversion"/>
  <dataValidations count="1">
    <dataValidation type="list" showInputMessage="1" showErrorMessage="1" sqref="L4 L65490 L131026 L196562 L262098 L327634 L393170 L458706 L524242 L589778 L655314 L720850 L786386 L851922 L917458 L982994" xr:uid="{00000000-0002-0000-0600-000000000000}">
      <formula1>"-,1,2,3,4,5,6,7,8,9"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9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s_copy">
                <anchor moveWithCells="1" sizeWithCells="1">
                  <from>
                    <xdr:col>9</xdr:col>
                    <xdr:colOff>266700</xdr:colOff>
                    <xdr:row>0</xdr:row>
                    <xdr:rowOff>0</xdr:rowOff>
                  </from>
                  <to>
                    <xdr:col>11</xdr:col>
                    <xdr:colOff>942975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J44"/>
  <sheetViews>
    <sheetView showGridLines="0" view="pageBreakPreview" zoomScale="85" zoomScaleNormal="85" zoomScaleSheetLayoutView="85" workbookViewId="0"/>
  </sheetViews>
  <sheetFormatPr defaultColWidth="9" defaultRowHeight="13.5" customHeight="1"/>
  <cols>
    <col min="1" max="2" width="12.5" style="5" customWidth="1"/>
    <col min="3" max="10" width="9.5" style="5" customWidth="1"/>
    <col min="11" max="16384" width="9" style="5"/>
  </cols>
  <sheetData>
    <row r="1" spans="1:10">
      <c r="A1" s="4"/>
      <c r="B1" s="4"/>
      <c r="C1" s="4"/>
      <c r="D1" s="4"/>
      <c r="E1" s="4"/>
      <c r="F1" s="4"/>
      <c r="G1" s="4"/>
      <c r="H1" s="4"/>
      <c r="I1" s="4"/>
      <c r="J1" s="4"/>
    </row>
    <row r="2" spans="1:10" ht="17.25">
      <c r="A2" s="423" t="s">
        <v>312</v>
      </c>
      <c r="B2" s="445"/>
      <c r="C2" s="445"/>
      <c r="D2" s="445"/>
      <c r="E2" s="445"/>
      <c r="F2" s="445"/>
      <c r="G2" s="445"/>
      <c r="H2" s="445"/>
      <c r="I2" s="445"/>
      <c r="J2" s="445"/>
    </row>
    <row r="3" spans="1:10" ht="4.5" customHeight="1" thickBot="1">
      <c r="A3" s="433"/>
      <c r="B3" s="433"/>
      <c r="C3" s="433"/>
      <c r="D3" s="433"/>
      <c r="E3" s="433"/>
      <c r="F3" s="433"/>
      <c r="G3" s="433"/>
      <c r="H3" s="433"/>
      <c r="I3" s="433"/>
      <c r="J3" s="433"/>
    </row>
    <row r="4" spans="1:10" ht="17.25" customHeight="1" thickBot="1">
      <c r="A4" s="446" t="s">
        <v>283</v>
      </c>
      <c r="B4" s="447"/>
      <c r="C4" s="172" t="s">
        <v>313</v>
      </c>
      <c r="D4" s="172" t="s">
        <v>314</v>
      </c>
      <c r="E4" s="172" t="s">
        <v>265</v>
      </c>
      <c r="F4" s="172" t="s">
        <v>315</v>
      </c>
      <c r="G4" s="172" t="s">
        <v>316</v>
      </c>
      <c r="H4" s="173" t="s">
        <v>317</v>
      </c>
      <c r="I4" s="174" t="s">
        <v>318</v>
      </c>
      <c r="J4" s="174" t="s">
        <v>319</v>
      </c>
    </row>
    <row r="5" spans="1:10" ht="16.5" customHeight="1" thickBot="1">
      <c r="A5" s="448" t="s">
        <v>822</v>
      </c>
      <c r="B5" s="449"/>
      <c r="C5" s="175">
        <f t="array" aca="1" ref="C5" ca="1">MAX(점검대상!$A:$A)</f>
        <v>23</v>
      </c>
      <c r="D5" s="175">
        <f t="array" aca="1" ref="D5" ca="1">'요약 통계'!$G26</f>
        <v>40</v>
      </c>
      <c r="E5" s="175">
        <f t="array" aca="1" ref="E5" ca="1">'요약 통계'!$H26</f>
        <v>0</v>
      </c>
      <c r="F5" s="175">
        <f t="array" aca="1" ref="F5" ca="1">'요약 통계'!$I26</f>
        <v>1</v>
      </c>
      <c r="G5" s="175">
        <f t="array" aca="1" ref="G5" ca="1">SUMPRODUCT(('요약 통계'!$E$6:$E$25)*('요약 통계'!$G$6:$G$25))</f>
        <v>180</v>
      </c>
      <c r="H5" s="175" cm="1">
        <f t="array" aca="1" ref="H5" ca="1">SUMPRODUCT(('요약 통계'!$E$6:$E$25)*('요약 통계'!$H$6:$H$25))</f>
        <v>0</v>
      </c>
      <c r="I5" s="176">
        <f ca="1">IF(G5=0,"N/A",H5/G5)</f>
        <v>0</v>
      </c>
      <c r="J5" s="177" t="str">
        <f ca="1">IF($I$5&gt;=0.9,"우수",IF($I$5&gt;=0.8,"양호",IF($I$5&gt;=0.7,"보통",IF($I$5&gt;=0.6,"미흡","취약"))))</f>
        <v>취약</v>
      </c>
    </row>
    <row r="6" spans="1:10">
      <c r="A6" s="48"/>
      <c r="B6" s="4"/>
      <c r="C6" s="4"/>
      <c r="D6" s="4"/>
      <c r="E6" s="4"/>
      <c r="F6" s="4"/>
      <c r="G6" s="4"/>
      <c r="H6" s="4"/>
      <c r="I6" s="4"/>
      <c r="J6" s="4"/>
    </row>
    <row r="7" spans="1:10" ht="17.25">
      <c r="A7" s="423" t="s">
        <v>403</v>
      </c>
      <c r="B7" s="445"/>
      <c r="C7" s="445"/>
      <c r="D7" s="445"/>
      <c r="E7" s="445"/>
      <c r="F7" s="445"/>
      <c r="G7" s="445"/>
      <c r="H7" s="445"/>
      <c r="I7" s="445"/>
      <c r="J7" s="445"/>
    </row>
    <row r="8" spans="1:10" ht="4.5" customHeight="1" thickBot="1">
      <c r="A8" s="433"/>
      <c r="B8" s="433"/>
      <c r="C8" s="433"/>
      <c r="D8" s="433"/>
      <c r="E8" s="433"/>
      <c r="F8" s="433"/>
      <c r="G8" s="433"/>
      <c r="H8" s="433"/>
      <c r="I8" s="433"/>
      <c r="J8" s="433"/>
    </row>
    <row r="9" spans="1:10">
      <c r="A9" s="434" t="s">
        <v>310</v>
      </c>
      <c r="B9" s="435"/>
      <c r="C9" s="435" t="s">
        <v>320</v>
      </c>
      <c r="D9" s="435"/>
      <c r="E9" s="435"/>
      <c r="F9" s="435"/>
      <c r="G9" s="435"/>
      <c r="H9" s="435" t="s">
        <v>321</v>
      </c>
      <c r="I9" s="435"/>
      <c r="J9" s="438"/>
    </row>
    <row r="10" spans="1:10" ht="14.25" thickBot="1">
      <c r="A10" s="436"/>
      <c r="B10" s="437"/>
      <c r="C10" s="58" t="s">
        <v>322</v>
      </c>
      <c r="D10" s="58" t="s">
        <v>323</v>
      </c>
      <c r="E10" s="58" t="s">
        <v>324</v>
      </c>
      <c r="F10" s="58" t="s">
        <v>315</v>
      </c>
      <c r="G10" s="58" t="s">
        <v>325</v>
      </c>
      <c r="H10" s="58" t="s">
        <v>326</v>
      </c>
      <c r="I10" s="58" t="s">
        <v>327</v>
      </c>
      <c r="J10" s="59" t="s">
        <v>328</v>
      </c>
    </row>
    <row r="11" spans="1:10">
      <c r="A11" s="450" t="s">
        <v>823</v>
      </c>
      <c r="B11" s="451"/>
      <c r="C11" s="80">
        <f>COUNTIF('통합 점검결과'!$I:$I,'보안수준 통계'!$A11)</f>
        <v>1</v>
      </c>
      <c r="D11" s="80">
        <f>C11-G11</f>
        <v>1</v>
      </c>
      <c r="E11" s="80">
        <f>COUNTIFS('통합 점검결과'!$I:$I,'보안수준 통계'!$A11,'통합 점검결과'!$M:$M,$E$10)</f>
        <v>0</v>
      </c>
      <c r="F11" s="80">
        <f>COUNTIFS('통합 점검결과'!$I:$I,'보안수준 통계'!$A11,'통합 점검결과'!$M:$M,$F$10)</f>
        <v>1</v>
      </c>
      <c r="G11" s="80">
        <f>COUNTIFS('통합 점검결과'!$I:$I,'보안수준 통계'!$A11,'통합 점검결과'!$M:$M,"N/A")</f>
        <v>0</v>
      </c>
      <c r="H11" s="80" cm="1">
        <f t="array" aca="1" ref="H11" ca="1">SUMPRODUCT(('요약 통계'!$A$6:$A$25=$A11)*('요약 통계'!$E$6:$E$25)*('요약 통계'!$G$6:$G$25))</f>
        <v>118</v>
      </c>
      <c r="I11" s="80" cm="1">
        <f t="array" aca="1" ref="I11" ca="1">SUMPRODUCT(('요약 통계'!$A$6:$A$25=$A11)*('요약 통계'!$E$6:$E$25)*('요약 통계'!$H$6:$H$25))</f>
        <v>0</v>
      </c>
      <c r="J11" s="178">
        <f ca="1">IF(H11=0,"N/A",I11/H11)</f>
        <v>0</v>
      </c>
    </row>
    <row r="12" spans="1:10">
      <c r="A12" s="452" t="s">
        <v>824</v>
      </c>
      <c r="B12" s="453"/>
      <c r="C12" s="81">
        <f>COUNTIF('통합 점검결과'!$I:$I,'보안수준 통계'!$A12)</f>
        <v>0</v>
      </c>
      <c r="D12" s="81">
        <f t="shared" ref="D12:D13" si="0">C12-G12</f>
        <v>0</v>
      </c>
      <c r="E12" s="81">
        <f>COUNTIFS('통합 점검결과'!$I:$I,'보안수준 통계'!$A12,'통합 점검결과'!$M:$M,$E$10)</f>
        <v>0</v>
      </c>
      <c r="F12" s="81">
        <f>COUNTIFS('통합 점검결과'!$I:$I,'보안수준 통계'!$A12,'통합 점검결과'!$M:$M,$F$10)</f>
        <v>0</v>
      </c>
      <c r="G12" s="81">
        <f>COUNTIFS('통합 점검결과'!$I:$I,'보안수준 통계'!$A12,'통합 점검결과'!$M:$M,"N/A")</f>
        <v>0</v>
      </c>
      <c r="H12" s="81" cm="1">
        <f t="array" aca="1" ref="H12" ca="1">SUMPRODUCT(('요약 통계'!$A$6:$A$25=$A12)*('요약 통계'!$E$6:$E$25)*('요약 통계'!$G$6:$G$25))</f>
        <v>12</v>
      </c>
      <c r="I12" s="82" cm="1">
        <f t="array" aca="1" ref="I12" ca="1">SUMPRODUCT(('요약 통계'!$A$6:$A$25=$A12)*('요약 통계'!$E$6:$E$25)*('요약 통계'!$H$6:$H$25))</f>
        <v>0</v>
      </c>
      <c r="J12" s="179">
        <f t="shared" ref="J12:J13" ca="1" si="1">IF(H12=0,"N/A",I12/H12)</f>
        <v>0</v>
      </c>
    </row>
    <row r="13" spans="1:10">
      <c r="A13" s="452" t="s">
        <v>825</v>
      </c>
      <c r="B13" s="453"/>
      <c r="C13" s="81">
        <f>COUNTIF('통합 점검결과'!$I:$I,'보안수준 통계'!$A13)</f>
        <v>0</v>
      </c>
      <c r="D13" s="81">
        <f t="shared" si="0"/>
        <v>0</v>
      </c>
      <c r="E13" s="81">
        <f>COUNTIFS('통합 점검결과'!$I:$I,'보안수준 통계'!$A13,'통합 점검결과'!$M:$M,$E$10)</f>
        <v>0</v>
      </c>
      <c r="F13" s="81">
        <f>COUNTIFS('통합 점검결과'!$I:$I,'보안수준 통계'!$A13,'통합 점검결과'!$M:$M,$F$10)</f>
        <v>0</v>
      </c>
      <c r="G13" s="81">
        <f>COUNTIFS('통합 점검결과'!$I:$I,'보안수준 통계'!$A13,'통합 점검결과'!$M:$M,"N/A")</f>
        <v>0</v>
      </c>
      <c r="H13" s="81" cm="1">
        <f t="array" aca="1" ref="H13" ca="1">SUMPRODUCT(('요약 통계'!$A$6:$A$25=$A13)*('요약 통계'!$E$6:$E$25)*('요약 통계'!$G$6:$G$25))</f>
        <v>20</v>
      </c>
      <c r="I13" s="82" cm="1">
        <f t="array" aca="1" ref="I13" ca="1">SUMPRODUCT(('요약 통계'!$A$6:$A$25=$A13)*('요약 통계'!$E$6:$E$25)*('요약 통계'!$H$6:$H$25))</f>
        <v>0</v>
      </c>
      <c r="J13" s="179">
        <f t="shared" ca="1" si="1"/>
        <v>0</v>
      </c>
    </row>
    <row r="14" spans="1:10">
      <c r="A14" s="452" t="s">
        <v>826</v>
      </c>
      <c r="B14" s="453"/>
      <c r="C14" s="81">
        <f>COUNTIF('통합 점검결과'!$I:$I,'보안수준 통계'!$A14)</f>
        <v>0</v>
      </c>
      <c r="D14" s="81">
        <f>C14-G14</f>
        <v>0</v>
      </c>
      <c r="E14" s="81">
        <f>COUNTIFS('통합 점검결과'!$I:$I,'보안수준 통계'!$A14,'통합 점검결과'!$M:$M,$E$10)</f>
        <v>0</v>
      </c>
      <c r="F14" s="81">
        <f>COUNTIFS('통합 점검결과'!$I:$I,'보안수준 통계'!$A14,'통합 점검결과'!$M:$M,$F$10)</f>
        <v>0</v>
      </c>
      <c r="G14" s="81">
        <f>COUNTIFS('통합 점검결과'!$I:$I,'보안수준 통계'!$A14,'통합 점검결과'!$M:$M,"N/A")</f>
        <v>0</v>
      </c>
      <c r="H14" s="81" cm="1">
        <f t="array" aca="1" ref="H14" ca="1">SUMPRODUCT(('요약 통계'!$A$6:$A$25=$A14)*('요약 통계'!$E$6:$E$25)*('요약 통계'!$G$6:$G$25))</f>
        <v>10</v>
      </c>
      <c r="I14" s="82" cm="1">
        <f t="array" aca="1" ref="I14" ca="1">SUMPRODUCT(('요약 통계'!$A$6:$A$25=$A14)*('요약 통계'!$E$6:$E$25)*('요약 통계'!$H$6:$H$25))</f>
        <v>0</v>
      </c>
      <c r="J14" s="179">
        <f ca="1">IF(H14=0,"N/A",I14/H14)</f>
        <v>0</v>
      </c>
    </row>
    <row r="15" spans="1:10" ht="14.25" thickBot="1">
      <c r="A15" s="452" t="s">
        <v>827</v>
      </c>
      <c r="B15" s="453"/>
      <c r="C15" s="81">
        <f>COUNTIF('통합 점검결과'!$I:$I,'보안수준 통계'!$A15)</f>
        <v>0</v>
      </c>
      <c r="D15" s="81">
        <f>C15-G15</f>
        <v>0</v>
      </c>
      <c r="E15" s="81">
        <f>COUNTIFS('통합 점검결과'!$I:$I,'보안수준 통계'!$A15,'통합 점검결과'!$M:$M,$E$10)</f>
        <v>0</v>
      </c>
      <c r="F15" s="81">
        <f>COUNTIFS('통합 점검결과'!$I:$I,'보안수준 통계'!$A15,'통합 점검결과'!$M:$M,$F$10)</f>
        <v>0</v>
      </c>
      <c r="G15" s="81">
        <f>COUNTIFS('통합 점검결과'!$I:$I,'보안수준 통계'!$A15,'통합 점검결과'!$M:$M,"N/A")</f>
        <v>0</v>
      </c>
      <c r="H15" s="81" cm="1">
        <f t="array" aca="1" ref="H15" ca="1">SUMPRODUCT(('요약 통계'!$A$6:$A$25=$A15)*('요약 통계'!$E$6:$E$25)*('요약 통계'!$G$6:$G$25))</f>
        <v>20</v>
      </c>
      <c r="I15" s="82" cm="1">
        <f t="array" aca="1" ref="I15" ca="1">SUMPRODUCT(('요약 통계'!$A$6:$A$25=$A15)*('요약 통계'!$E$6:$E$25)*('요약 통계'!$H$6:$H$25))</f>
        <v>0</v>
      </c>
      <c r="J15" s="179">
        <f ca="1">IF(H15=0,"N/A",I15/H15)</f>
        <v>0</v>
      </c>
    </row>
    <row r="16" spans="1:10" ht="14.25" thickBot="1">
      <c r="A16" s="429" t="s">
        <v>311</v>
      </c>
      <c r="B16" s="430"/>
      <c r="C16" s="100">
        <f t="shared" ref="C16:G16" si="2">SUM(C11:C15)</f>
        <v>1</v>
      </c>
      <c r="D16" s="100">
        <f t="shared" si="2"/>
        <v>1</v>
      </c>
      <c r="E16" s="100">
        <f>SUM(E11:E15)</f>
        <v>0</v>
      </c>
      <c r="F16" s="100">
        <f t="shared" si="2"/>
        <v>1</v>
      </c>
      <c r="G16" s="100">
        <f t="shared" si="2"/>
        <v>0</v>
      </c>
      <c r="H16" s="100">
        <f ca="1">SUM(H11:H15)</f>
        <v>180</v>
      </c>
      <c r="I16" s="100">
        <f ca="1">SUM(I11:I15)</f>
        <v>0</v>
      </c>
      <c r="J16" s="180">
        <f ca="1">IF(H16=0,"N/A",I16/H16)</f>
        <v>0</v>
      </c>
    </row>
    <row r="17" spans="1:10">
      <c r="A17" s="48"/>
      <c r="B17" s="4"/>
      <c r="C17" s="4"/>
      <c r="D17" s="4"/>
      <c r="E17" s="4"/>
      <c r="F17" s="4"/>
      <c r="G17" s="4"/>
      <c r="H17" s="4"/>
      <c r="I17" s="4"/>
      <c r="J17" s="4"/>
    </row>
    <row r="18" spans="1:10" ht="17.25" customHeight="1">
      <c r="A18" s="431" t="s">
        <v>329</v>
      </c>
      <c r="B18" s="431"/>
      <c r="C18" s="431"/>
      <c r="D18" s="431"/>
      <c r="E18" s="431"/>
      <c r="F18" s="431"/>
      <c r="G18" s="431"/>
      <c r="H18" s="431"/>
      <c r="I18" s="431"/>
      <c r="J18" s="431"/>
    </row>
    <row r="19" spans="1:10" ht="4.5" customHeight="1">
      <c r="H19" s="34"/>
      <c r="I19" s="34"/>
      <c r="J19" s="34"/>
    </row>
    <row r="20" spans="1:10">
      <c r="A20" s="4"/>
      <c r="B20" s="4"/>
      <c r="C20" s="4"/>
      <c r="D20" s="4"/>
      <c r="E20" s="4"/>
      <c r="F20" s="4"/>
      <c r="G20" s="4"/>
      <c r="H20" s="34"/>
      <c r="I20" s="34"/>
      <c r="J20" s="34"/>
    </row>
    <row r="21" spans="1:10">
      <c r="A21" s="4"/>
      <c r="B21" s="4"/>
      <c r="C21" s="4"/>
      <c r="D21" s="4"/>
      <c r="E21" s="4"/>
      <c r="F21" s="4"/>
      <c r="G21" s="4"/>
      <c r="H21" s="34"/>
      <c r="I21" s="34"/>
      <c r="J21" s="34"/>
    </row>
    <row r="22" spans="1:10">
      <c r="H22" s="34"/>
      <c r="I22" s="34"/>
      <c r="J22" s="34"/>
    </row>
    <row r="23" spans="1:10">
      <c r="H23" s="34"/>
      <c r="I23" s="34"/>
      <c r="J23" s="34"/>
    </row>
    <row r="24" spans="1:10">
      <c r="H24" s="34"/>
      <c r="I24" s="34"/>
      <c r="J24" s="34"/>
    </row>
    <row r="25" spans="1:10">
      <c r="H25" s="34"/>
      <c r="I25" s="34"/>
      <c r="J25" s="34"/>
    </row>
    <row r="26" spans="1:10">
      <c r="H26" s="34"/>
      <c r="I26" s="34"/>
      <c r="J26" s="34"/>
    </row>
    <row r="27" spans="1:10">
      <c r="H27" s="34"/>
      <c r="I27" s="34"/>
      <c r="J27" s="34"/>
    </row>
    <row r="28" spans="1:10">
      <c r="H28" s="34"/>
      <c r="I28" s="34"/>
      <c r="J28" s="34"/>
    </row>
    <row r="29" spans="1:10">
      <c r="H29" s="34"/>
      <c r="I29" s="34"/>
      <c r="J29" s="34"/>
    </row>
    <row r="30" spans="1:10">
      <c r="H30" s="34"/>
      <c r="I30" s="34"/>
      <c r="J30" s="34"/>
    </row>
    <row r="31" spans="1:10">
      <c r="H31" s="34"/>
      <c r="I31" s="34"/>
      <c r="J31" s="34"/>
    </row>
    <row r="32" spans="1:10">
      <c r="H32" s="34"/>
      <c r="I32" s="34"/>
      <c r="J32" s="34"/>
    </row>
    <row r="33" spans="1:10">
      <c r="H33" s="34"/>
      <c r="I33" s="34"/>
      <c r="J33" s="34"/>
    </row>
    <row r="34" spans="1:10">
      <c r="H34" s="34"/>
      <c r="I34" s="34"/>
      <c r="J34" s="34"/>
    </row>
    <row r="35" spans="1:10">
      <c r="H35" s="34"/>
      <c r="I35" s="34"/>
      <c r="J35" s="34"/>
    </row>
    <row r="36" spans="1:10">
      <c r="A36" s="4"/>
      <c r="B36" s="4"/>
      <c r="C36" s="4"/>
      <c r="D36" s="4"/>
      <c r="E36" s="4"/>
      <c r="F36" s="4"/>
      <c r="G36" s="4"/>
      <c r="H36" s="4"/>
    </row>
    <row r="37" spans="1:10" ht="17.25">
      <c r="A37" s="423" t="s">
        <v>330</v>
      </c>
      <c r="B37" s="432"/>
      <c r="C37" s="432"/>
      <c r="D37" s="432"/>
      <c r="E37" s="432"/>
      <c r="F37" s="432"/>
      <c r="G37" s="432"/>
      <c r="H37" s="432"/>
      <c r="I37" s="432"/>
      <c r="J37" s="432"/>
    </row>
    <row r="38" spans="1:10" ht="4.5" customHeight="1" thickBot="1">
      <c r="A38" s="433"/>
      <c r="B38" s="433"/>
      <c r="C38" s="433"/>
      <c r="D38" s="433"/>
      <c r="E38" s="433"/>
      <c r="F38" s="433"/>
      <c r="G38" s="433"/>
      <c r="H38" s="433"/>
      <c r="I38" s="433"/>
      <c r="J38" s="433"/>
    </row>
    <row r="39" spans="1:10">
      <c r="A39" s="434" t="s">
        <v>331</v>
      </c>
      <c r="B39" s="435"/>
      <c r="C39" s="435" t="s">
        <v>320</v>
      </c>
      <c r="D39" s="435"/>
      <c r="E39" s="435"/>
      <c r="F39" s="435"/>
      <c r="G39" s="435"/>
      <c r="H39" s="435" t="s">
        <v>321</v>
      </c>
      <c r="I39" s="435"/>
      <c r="J39" s="438"/>
    </row>
    <row r="40" spans="1:10" ht="14.25" thickBot="1">
      <c r="A40" s="436"/>
      <c r="B40" s="437"/>
      <c r="C40" s="58" t="s">
        <v>322</v>
      </c>
      <c r="D40" s="58" t="s">
        <v>323</v>
      </c>
      <c r="E40" s="58" t="s">
        <v>324</v>
      </c>
      <c r="F40" s="58" t="s">
        <v>315</v>
      </c>
      <c r="G40" s="58" t="s">
        <v>325</v>
      </c>
      <c r="H40" s="58" t="s">
        <v>326</v>
      </c>
      <c r="I40" s="58" t="s">
        <v>327</v>
      </c>
      <c r="J40" s="59" t="s">
        <v>328</v>
      </c>
    </row>
    <row r="41" spans="1:10" ht="14.25" customHeight="1">
      <c r="A41" s="439" t="str">
        <f ca="1">INDIRECT(ADDRESS(ROW()-34,2,1,TRUE,"점검대상"))</f>
        <v>클라우드관리체계(샘플)</v>
      </c>
      <c r="B41" s="440"/>
      <c r="C41" s="98">
        <f ca="1">COUNTIF('통합 점검결과'!$B:$B,$A41)</f>
        <v>1</v>
      </c>
      <c r="D41" s="98">
        <f ca="1">C41-G41</f>
        <v>1</v>
      </c>
      <c r="E41" s="98">
        <f ca="1">COUNTIFS('통합 점검결과'!$B:$B,$A41,'통합 점검결과'!$M:$M,$E$40)</f>
        <v>0</v>
      </c>
      <c r="F41" s="98">
        <f ca="1">COUNTIFS('통합 점검결과'!$B:$B,$A41,'통합 점검결과'!$M:$M,$F$40)</f>
        <v>1</v>
      </c>
      <c r="G41" s="98">
        <f ca="1">COUNTIFS('통합 점검결과'!$B:$B,$A41,'통합 점검결과'!$M:$M,"N/A")</f>
        <v>0</v>
      </c>
      <c r="H41" s="98">
        <f ca="1">SUMIFS('통합 점검결과'!$L:$L,'통합 점검결과'!$B:$B,'보안수준 통계'!$A41)-SUMIFS('통합 점검결과'!$L:$L,'통합 점검결과'!$B:$B,'보안수준 통계'!$A41,'통합 점검결과'!$M:$M,"N/A")</f>
        <v>5</v>
      </c>
      <c r="I41" s="99">
        <f ca="1">SUMIFS('통합 점검결과'!$L:$L,'통합 점검결과'!$B:$B,'보안수준 통계'!$A41,'통합 점검결과'!$M:$M,"양호")</f>
        <v>0</v>
      </c>
      <c r="J41" s="178">
        <f ca="1">IF(H41=0,"N/A",I41/H41)</f>
        <v>0</v>
      </c>
    </row>
    <row r="42" spans="1:10" ht="14.25" customHeight="1">
      <c r="A42" s="441" t="str">
        <f t="shared" ref="A42:A43" ca="1" si="3">INDIRECT(ADDRESS(ROW()-34,2,1,TRUE,"점검대상"))</f>
        <v>클라우드관리체계(샘플)_이행</v>
      </c>
      <c r="B42" s="442"/>
      <c r="C42" s="81">
        <f ca="1">COUNTIF('통합 점검결과'!$B:$B,$A42)</f>
        <v>0</v>
      </c>
      <c r="D42" s="81">
        <f ca="1">C42-G42</f>
        <v>0</v>
      </c>
      <c r="E42" s="81">
        <f ca="1">COUNTIFS('통합 점검결과'!$B:$B,$A42,'통합 점검결과'!$M:$M,$E$40)</f>
        <v>0</v>
      </c>
      <c r="F42" s="81">
        <f ca="1">COUNTIFS('통합 점검결과'!$B:$B,$A42,'통합 점검결과'!$M:$M,$F$40)</f>
        <v>0</v>
      </c>
      <c r="G42" s="81">
        <f ca="1">COUNTIFS('통합 점검결과'!$B:$B,$A42,'통합 점검결과'!$M:$M,"N/A")</f>
        <v>0</v>
      </c>
      <c r="H42" s="81">
        <f ca="1">SUMIFS('통합 점검결과'!$L:$L,'통합 점검결과'!$B:$B,'보안수준 통계'!$A42)-SUMIFS('통합 점검결과'!$L:$L,'통합 점검결과'!$B:$B,'보안수준 통계'!$A42,'통합 점검결과'!$M:$M,"N/A")</f>
        <v>0</v>
      </c>
      <c r="I42" s="82">
        <f ca="1">SUMIFS('통합 점검결과'!$L:$L,'통합 점검결과'!$B:$B,'보안수준 통계'!$A42,'통합 점검결과'!$M:$M,"양호")</f>
        <v>0</v>
      </c>
      <c r="J42" s="179" t="str">
        <f ca="1">IF(H42=0,"N/A",I42/H42)</f>
        <v>N/A</v>
      </c>
    </row>
    <row r="43" spans="1:10" ht="14.25" customHeight="1" thickBot="1">
      <c r="A43" s="443">
        <f t="shared" ca="1" si="3"/>
        <v>0</v>
      </c>
      <c r="B43" s="444"/>
      <c r="C43" s="81">
        <f ca="1">COUNTIF('통합 점검결과'!$B:$B,$A43)</f>
        <v>0</v>
      </c>
      <c r="D43" s="81">
        <f ca="1">C43-G43</f>
        <v>0</v>
      </c>
      <c r="E43" s="81">
        <f ca="1">COUNTIFS('통합 점검결과'!$B:$B,$A43,'통합 점검결과'!$M:$M,$E$40)</f>
        <v>0</v>
      </c>
      <c r="F43" s="81">
        <f ca="1">COUNTIFS('통합 점검결과'!$B:$B,$A43,'통합 점검결과'!$M:$M,$F$40)</f>
        <v>0</v>
      </c>
      <c r="G43" s="81">
        <f ca="1">COUNTIFS('통합 점검결과'!$B:$B,$A43,'통합 점검결과'!$M:$M,"N/A")</f>
        <v>0</v>
      </c>
      <c r="H43" s="81">
        <f ca="1">SUMIFS('통합 점검결과'!$L:$L,'통합 점검결과'!$B:$B,'보안수준 통계'!$A43)-SUMIFS('통합 점검결과'!$L:$L,'통합 점검결과'!$B:$B,'보안수준 통계'!$A43,'통합 점검결과'!$M:$M,"N/A")</f>
        <v>0</v>
      </c>
      <c r="I43" s="82">
        <f ca="1">SUMIFS('통합 점검결과'!$L:$L,'통합 점검결과'!$B:$B,'보안수준 통계'!$A43,'통합 점검결과'!$M:$M,"양호")</f>
        <v>0</v>
      </c>
      <c r="J43" s="179" t="str">
        <f ca="1">IF(H43=0,"N/A",I43/H43)</f>
        <v>N/A</v>
      </c>
    </row>
    <row r="44" spans="1:10" ht="14.25" thickBot="1">
      <c r="A44" s="429" t="s">
        <v>311</v>
      </c>
      <c r="B44" s="430"/>
      <c r="C44" s="100">
        <f t="shared" ref="C44:I44" ca="1" si="4">SUM(C41:C43)</f>
        <v>1</v>
      </c>
      <c r="D44" s="100">
        <f t="shared" ca="1" si="4"/>
        <v>1</v>
      </c>
      <c r="E44" s="100">
        <f t="shared" ca="1" si="4"/>
        <v>0</v>
      </c>
      <c r="F44" s="100">
        <f t="shared" ca="1" si="4"/>
        <v>1</v>
      </c>
      <c r="G44" s="100">
        <f t="shared" ca="1" si="4"/>
        <v>0</v>
      </c>
      <c r="H44" s="100">
        <f t="shared" ca="1" si="4"/>
        <v>5</v>
      </c>
      <c r="I44" s="100">
        <f t="shared" ca="1" si="4"/>
        <v>0</v>
      </c>
      <c r="J44" s="180">
        <f ca="1">IF(H44=0,"N/A",I44/H44)</f>
        <v>0</v>
      </c>
    </row>
  </sheetData>
  <mergeCells count="25">
    <mergeCell ref="A2:J2"/>
    <mergeCell ref="A3:J3"/>
    <mergeCell ref="A4:B4"/>
    <mergeCell ref="A5:B5"/>
    <mergeCell ref="A16:B16"/>
    <mergeCell ref="A7:J7"/>
    <mergeCell ref="A8:J8"/>
    <mergeCell ref="A9:B10"/>
    <mergeCell ref="C9:G9"/>
    <mergeCell ref="H9:J9"/>
    <mergeCell ref="A11:B11"/>
    <mergeCell ref="A14:B14"/>
    <mergeCell ref="A15:B15"/>
    <mergeCell ref="A12:B12"/>
    <mergeCell ref="A13:B13"/>
    <mergeCell ref="A44:B44"/>
    <mergeCell ref="A18:J18"/>
    <mergeCell ref="A37:J37"/>
    <mergeCell ref="A38:J38"/>
    <mergeCell ref="A39:B40"/>
    <mergeCell ref="C39:G39"/>
    <mergeCell ref="H39:J39"/>
    <mergeCell ref="A41:B41"/>
    <mergeCell ref="A42:B42"/>
    <mergeCell ref="A43:B43"/>
  </mergeCells>
  <phoneticPr fontId="1" type="noConversion"/>
  <printOptions horizontalCentered="1"/>
  <pageMargins left="0.39370078740157483" right="0.39370078740157483" top="0.59055118110236227" bottom="0.59055118110236227" header="0.19685039370078741" footer="0.19685039370078741"/>
  <pageSetup paperSize="9" scale="86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O81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0" width="6.75" style="8" customWidth="1"/>
    <col min="11" max="11" width="9.25" style="8" hidden="1" customWidth="1"/>
    <col min="12" max="14" width="9.25" style="8" customWidth="1"/>
    <col min="15" max="15" width="2.625" style="8" customWidth="1"/>
    <col min="16" max="208" width="9" style="8"/>
    <col min="209" max="209" width="2.625" style="8" customWidth="1"/>
    <col min="210" max="210" width="9.25" style="8" bestFit="1" customWidth="1"/>
    <col min="211" max="211" width="9" style="8"/>
    <col min="212" max="212" width="40.5" style="8" customWidth="1"/>
    <col min="213" max="214" width="6.125" style="8" customWidth="1"/>
    <col min="215" max="220" width="6.75" style="8" customWidth="1"/>
    <col min="221" max="270" width="9.25" style="8" customWidth="1"/>
    <col min="271" max="271" width="2.625" style="8" customWidth="1"/>
    <col min="272" max="464" width="9" style="8"/>
    <col min="465" max="465" width="2.625" style="8" customWidth="1"/>
    <col min="466" max="466" width="9.25" style="8" bestFit="1" customWidth="1"/>
    <col min="467" max="467" width="9" style="8"/>
    <col min="468" max="468" width="40.5" style="8" customWidth="1"/>
    <col min="469" max="470" width="6.125" style="8" customWidth="1"/>
    <col min="471" max="476" width="6.75" style="8" customWidth="1"/>
    <col min="477" max="526" width="9.25" style="8" customWidth="1"/>
    <col min="527" max="527" width="2.625" style="8" customWidth="1"/>
    <col min="528" max="720" width="9" style="8"/>
    <col min="721" max="721" width="2.625" style="8" customWidth="1"/>
    <col min="722" max="722" width="9.25" style="8" bestFit="1" customWidth="1"/>
    <col min="723" max="723" width="9" style="8"/>
    <col min="724" max="724" width="40.5" style="8" customWidth="1"/>
    <col min="725" max="726" width="6.125" style="8" customWidth="1"/>
    <col min="727" max="732" width="6.75" style="8" customWidth="1"/>
    <col min="733" max="782" width="9.25" style="8" customWidth="1"/>
    <col min="783" max="783" width="2.625" style="8" customWidth="1"/>
    <col min="784" max="976" width="9" style="8"/>
    <col min="977" max="977" width="2.625" style="8" customWidth="1"/>
    <col min="978" max="978" width="9.25" style="8" bestFit="1" customWidth="1"/>
    <col min="979" max="979" width="9" style="8"/>
    <col min="980" max="980" width="40.5" style="8" customWidth="1"/>
    <col min="981" max="982" width="6.125" style="8" customWidth="1"/>
    <col min="983" max="988" width="6.75" style="8" customWidth="1"/>
    <col min="989" max="1038" width="9.25" style="8" customWidth="1"/>
    <col min="1039" max="1039" width="2.625" style="8" customWidth="1"/>
    <col min="1040" max="1232" width="9" style="8"/>
    <col min="1233" max="1233" width="2.625" style="8" customWidth="1"/>
    <col min="1234" max="1234" width="9.25" style="8" bestFit="1" customWidth="1"/>
    <col min="1235" max="1235" width="9" style="8"/>
    <col min="1236" max="1236" width="40.5" style="8" customWidth="1"/>
    <col min="1237" max="1238" width="6.125" style="8" customWidth="1"/>
    <col min="1239" max="1244" width="6.75" style="8" customWidth="1"/>
    <col min="1245" max="1294" width="9.25" style="8" customWidth="1"/>
    <col min="1295" max="1295" width="2.625" style="8" customWidth="1"/>
    <col min="1296" max="1488" width="9" style="8"/>
    <col min="1489" max="1489" width="2.625" style="8" customWidth="1"/>
    <col min="1490" max="1490" width="9.25" style="8" bestFit="1" customWidth="1"/>
    <col min="1491" max="1491" width="9" style="8"/>
    <col min="1492" max="1492" width="40.5" style="8" customWidth="1"/>
    <col min="1493" max="1494" width="6.125" style="8" customWidth="1"/>
    <col min="1495" max="1500" width="6.75" style="8" customWidth="1"/>
    <col min="1501" max="1550" width="9.25" style="8" customWidth="1"/>
    <col min="1551" max="1551" width="2.625" style="8" customWidth="1"/>
    <col min="1552" max="1744" width="9" style="8"/>
    <col min="1745" max="1745" width="2.625" style="8" customWidth="1"/>
    <col min="1746" max="1746" width="9.25" style="8" bestFit="1" customWidth="1"/>
    <col min="1747" max="1747" width="9" style="8"/>
    <col min="1748" max="1748" width="40.5" style="8" customWidth="1"/>
    <col min="1749" max="1750" width="6.125" style="8" customWidth="1"/>
    <col min="1751" max="1756" width="6.75" style="8" customWidth="1"/>
    <col min="1757" max="1806" width="9.25" style="8" customWidth="1"/>
    <col min="1807" max="1807" width="2.625" style="8" customWidth="1"/>
    <col min="1808" max="2000" width="9" style="8"/>
    <col min="2001" max="2001" width="2.625" style="8" customWidth="1"/>
    <col min="2002" max="2002" width="9.25" style="8" bestFit="1" customWidth="1"/>
    <col min="2003" max="2003" width="9" style="8"/>
    <col min="2004" max="2004" width="40.5" style="8" customWidth="1"/>
    <col min="2005" max="2006" width="6.125" style="8" customWidth="1"/>
    <col min="2007" max="2012" width="6.75" style="8" customWidth="1"/>
    <col min="2013" max="2062" width="9.25" style="8" customWidth="1"/>
    <col min="2063" max="2063" width="2.625" style="8" customWidth="1"/>
    <col min="2064" max="2256" width="9" style="8"/>
    <col min="2257" max="2257" width="2.625" style="8" customWidth="1"/>
    <col min="2258" max="2258" width="9.25" style="8" bestFit="1" customWidth="1"/>
    <col min="2259" max="2259" width="9" style="8"/>
    <col min="2260" max="2260" width="40.5" style="8" customWidth="1"/>
    <col min="2261" max="2262" width="6.125" style="8" customWidth="1"/>
    <col min="2263" max="2268" width="6.75" style="8" customWidth="1"/>
    <col min="2269" max="2318" width="9.25" style="8" customWidth="1"/>
    <col min="2319" max="2319" width="2.625" style="8" customWidth="1"/>
    <col min="2320" max="2512" width="9" style="8"/>
    <col min="2513" max="2513" width="2.625" style="8" customWidth="1"/>
    <col min="2514" max="2514" width="9.25" style="8" bestFit="1" customWidth="1"/>
    <col min="2515" max="2515" width="9" style="8"/>
    <col min="2516" max="2516" width="40.5" style="8" customWidth="1"/>
    <col min="2517" max="2518" width="6.125" style="8" customWidth="1"/>
    <col min="2519" max="2524" width="6.75" style="8" customWidth="1"/>
    <col min="2525" max="2574" width="9.25" style="8" customWidth="1"/>
    <col min="2575" max="2575" width="2.625" style="8" customWidth="1"/>
    <col min="2576" max="2768" width="9" style="8"/>
    <col min="2769" max="2769" width="2.625" style="8" customWidth="1"/>
    <col min="2770" max="2770" width="9.25" style="8" bestFit="1" customWidth="1"/>
    <col min="2771" max="2771" width="9" style="8"/>
    <col min="2772" max="2772" width="40.5" style="8" customWidth="1"/>
    <col min="2773" max="2774" width="6.125" style="8" customWidth="1"/>
    <col min="2775" max="2780" width="6.75" style="8" customWidth="1"/>
    <col min="2781" max="2830" width="9.25" style="8" customWidth="1"/>
    <col min="2831" max="2831" width="2.625" style="8" customWidth="1"/>
    <col min="2832" max="3024" width="9" style="8"/>
    <col min="3025" max="3025" width="2.625" style="8" customWidth="1"/>
    <col min="3026" max="3026" width="9.25" style="8" bestFit="1" customWidth="1"/>
    <col min="3027" max="3027" width="9" style="8"/>
    <col min="3028" max="3028" width="40.5" style="8" customWidth="1"/>
    <col min="3029" max="3030" width="6.125" style="8" customWidth="1"/>
    <col min="3031" max="3036" width="6.75" style="8" customWidth="1"/>
    <col min="3037" max="3086" width="9.25" style="8" customWidth="1"/>
    <col min="3087" max="3087" width="2.625" style="8" customWidth="1"/>
    <col min="3088" max="3280" width="9" style="8"/>
    <col min="3281" max="3281" width="2.625" style="8" customWidth="1"/>
    <col min="3282" max="3282" width="9.25" style="8" bestFit="1" customWidth="1"/>
    <col min="3283" max="3283" width="9" style="8"/>
    <col min="3284" max="3284" width="40.5" style="8" customWidth="1"/>
    <col min="3285" max="3286" width="6.125" style="8" customWidth="1"/>
    <col min="3287" max="3292" width="6.75" style="8" customWidth="1"/>
    <col min="3293" max="3342" width="9.25" style="8" customWidth="1"/>
    <col min="3343" max="3343" width="2.625" style="8" customWidth="1"/>
    <col min="3344" max="3536" width="9" style="8"/>
    <col min="3537" max="3537" width="2.625" style="8" customWidth="1"/>
    <col min="3538" max="3538" width="9.25" style="8" bestFit="1" customWidth="1"/>
    <col min="3539" max="3539" width="9" style="8"/>
    <col min="3540" max="3540" width="40.5" style="8" customWidth="1"/>
    <col min="3541" max="3542" width="6.125" style="8" customWidth="1"/>
    <col min="3543" max="3548" width="6.75" style="8" customWidth="1"/>
    <col min="3549" max="3598" width="9.25" style="8" customWidth="1"/>
    <col min="3599" max="3599" width="2.625" style="8" customWidth="1"/>
    <col min="3600" max="3792" width="9" style="8"/>
    <col min="3793" max="3793" width="2.625" style="8" customWidth="1"/>
    <col min="3794" max="3794" width="9.25" style="8" bestFit="1" customWidth="1"/>
    <col min="3795" max="3795" width="9" style="8"/>
    <col min="3796" max="3796" width="40.5" style="8" customWidth="1"/>
    <col min="3797" max="3798" width="6.125" style="8" customWidth="1"/>
    <col min="3799" max="3804" width="6.75" style="8" customWidth="1"/>
    <col min="3805" max="3854" width="9.25" style="8" customWidth="1"/>
    <col min="3855" max="3855" width="2.625" style="8" customWidth="1"/>
    <col min="3856" max="4048" width="9" style="8"/>
    <col min="4049" max="4049" width="2.625" style="8" customWidth="1"/>
    <col min="4050" max="4050" width="9.25" style="8" bestFit="1" customWidth="1"/>
    <col min="4051" max="4051" width="9" style="8"/>
    <col min="4052" max="4052" width="40.5" style="8" customWidth="1"/>
    <col min="4053" max="4054" width="6.125" style="8" customWidth="1"/>
    <col min="4055" max="4060" width="6.75" style="8" customWidth="1"/>
    <col min="4061" max="4110" width="9.25" style="8" customWidth="1"/>
    <col min="4111" max="4111" width="2.625" style="8" customWidth="1"/>
    <col min="4112" max="4304" width="9" style="8"/>
    <col min="4305" max="4305" width="2.625" style="8" customWidth="1"/>
    <col min="4306" max="4306" width="9.25" style="8" bestFit="1" customWidth="1"/>
    <col min="4307" max="4307" width="9" style="8"/>
    <col min="4308" max="4308" width="40.5" style="8" customWidth="1"/>
    <col min="4309" max="4310" width="6.125" style="8" customWidth="1"/>
    <col min="4311" max="4316" width="6.75" style="8" customWidth="1"/>
    <col min="4317" max="4366" width="9.25" style="8" customWidth="1"/>
    <col min="4367" max="4367" width="2.625" style="8" customWidth="1"/>
    <col min="4368" max="4560" width="9" style="8"/>
    <col min="4561" max="4561" width="2.625" style="8" customWidth="1"/>
    <col min="4562" max="4562" width="9.25" style="8" bestFit="1" customWidth="1"/>
    <col min="4563" max="4563" width="9" style="8"/>
    <col min="4564" max="4564" width="40.5" style="8" customWidth="1"/>
    <col min="4565" max="4566" width="6.125" style="8" customWidth="1"/>
    <col min="4567" max="4572" width="6.75" style="8" customWidth="1"/>
    <col min="4573" max="4622" width="9.25" style="8" customWidth="1"/>
    <col min="4623" max="4623" width="2.625" style="8" customWidth="1"/>
    <col min="4624" max="4816" width="9" style="8"/>
    <col min="4817" max="4817" width="2.625" style="8" customWidth="1"/>
    <col min="4818" max="4818" width="9.25" style="8" bestFit="1" customWidth="1"/>
    <col min="4819" max="4819" width="9" style="8"/>
    <col min="4820" max="4820" width="40.5" style="8" customWidth="1"/>
    <col min="4821" max="4822" width="6.125" style="8" customWidth="1"/>
    <col min="4823" max="4828" width="6.75" style="8" customWidth="1"/>
    <col min="4829" max="4878" width="9.25" style="8" customWidth="1"/>
    <col min="4879" max="4879" width="2.625" style="8" customWidth="1"/>
    <col min="4880" max="5072" width="9" style="8"/>
    <col min="5073" max="5073" width="2.625" style="8" customWidth="1"/>
    <col min="5074" max="5074" width="9.25" style="8" bestFit="1" customWidth="1"/>
    <col min="5075" max="5075" width="9" style="8"/>
    <col min="5076" max="5076" width="40.5" style="8" customWidth="1"/>
    <col min="5077" max="5078" width="6.125" style="8" customWidth="1"/>
    <col min="5079" max="5084" width="6.75" style="8" customWidth="1"/>
    <col min="5085" max="5134" width="9.25" style="8" customWidth="1"/>
    <col min="5135" max="5135" width="2.625" style="8" customWidth="1"/>
    <col min="5136" max="5328" width="9" style="8"/>
    <col min="5329" max="5329" width="2.625" style="8" customWidth="1"/>
    <col min="5330" max="5330" width="9.25" style="8" bestFit="1" customWidth="1"/>
    <col min="5331" max="5331" width="9" style="8"/>
    <col min="5332" max="5332" width="40.5" style="8" customWidth="1"/>
    <col min="5333" max="5334" width="6.125" style="8" customWidth="1"/>
    <col min="5335" max="5340" width="6.75" style="8" customWidth="1"/>
    <col min="5341" max="5390" width="9.25" style="8" customWidth="1"/>
    <col min="5391" max="5391" width="2.625" style="8" customWidth="1"/>
    <col min="5392" max="5584" width="9" style="8"/>
    <col min="5585" max="5585" width="2.625" style="8" customWidth="1"/>
    <col min="5586" max="5586" width="9.25" style="8" bestFit="1" customWidth="1"/>
    <col min="5587" max="5587" width="9" style="8"/>
    <col min="5588" max="5588" width="40.5" style="8" customWidth="1"/>
    <col min="5589" max="5590" width="6.125" style="8" customWidth="1"/>
    <col min="5591" max="5596" width="6.75" style="8" customWidth="1"/>
    <col min="5597" max="5646" width="9.25" style="8" customWidth="1"/>
    <col min="5647" max="5647" width="2.625" style="8" customWidth="1"/>
    <col min="5648" max="5840" width="9" style="8"/>
    <col min="5841" max="5841" width="2.625" style="8" customWidth="1"/>
    <col min="5842" max="5842" width="9.25" style="8" bestFit="1" customWidth="1"/>
    <col min="5843" max="5843" width="9" style="8"/>
    <col min="5844" max="5844" width="40.5" style="8" customWidth="1"/>
    <col min="5845" max="5846" width="6.125" style="8" customWidth="1"/>
    <col min="5847" max="5852" width="6.75" style="8" customWidth="1"/>
    <col min="5853" max="5902" width="9.25" style="8" customWidth="1"/>
    <col min="5903" max="5903" width="2.625" style="8" customWidth="1"/>
    <col min="5904" max="6096" width="9" style="8"/>
    <col min="6097" max="6097" width="2.625" style="8" customWidth="1"/>
    <col min="6098" max="6098" width="9.25" style="8" bestFit="1" customWidth="1"/>
    <col min="6099" max="6099" width="9" style="8"/>
    <col min="6100" max="6100" width="40.5" style="8" customWidth="1"/>
    <col min="6101" max="6102" width="6.125" style="8" customWidth="1"/>
    <col min="6103" max="6108" width="6.75" style="8" customWidth="1"/>
    <col min="6109" max="6158" width="9.25" style="8" customWidth="1"/>
    <col min="6159" max="6159" width="2.625" style="8" customWidth="1"/>
    <col min="6160" max="6352" width="9" style="8"/>
    <col min="6353" max="6353" width="2.625" style="8" customWidth="1"/>
    <col min="6354" max="6354" width="9.25" style="8" bestFit="1" customWidth="1"/>
    <col min="6355" max="6355" width="9" style="8"/>
    <col min="6356" max="6356" width="40.5" style="8" customWidth="1"/>
    <col min="6357" max="6358" width="6.125" style="8" customWidth="1"/>
    <col min="6359" max="6364" width="6.75" style="8" customWidth="1"/>
    <col min="6365" max="6414" width="9.25" style="8" customWidth="1"/>
    <col min="6415" max="6415" width="2.625" style="8" customWidth="1"/>
    <col min="6416" max="6608" width="9" style="8"/>
    <col min="6609" max="6609" width="2.625" style="8" customWidth="1"/>
    <col min="6610" max="6610" width="9.25" style="8" bestFit="1" customWidth="1"/>
    <col min="6611" max="6611" width="9" style="8"/>
    <col min="6612" max="6612" width="40.5" style="8" customWidth="1"/>
    <col min="6613" max="6614" width="6.125" style="8" customWidth="1"/>
    <col min="6615" max="6620" width="6.75" style="8" customWidth="1"/>
    <col min="6621" max="6670" width="9.25" style="8" customWidth="1"/>
    <col min="6671" max="6671" width="2.625" style="8" customWidth="1"/>
    <col min="6672" max="6864" width="9" style="8"/>
    <col min="6865" max="6865" width="2.625" style="8" customWidth="1"/>
    <col min="6866" max="6866" width="9.25" style="8" bestFit="1" customWidth="1"/>
    <col min="6867" max="6867" width="9" style="8"/>
    <col min="6868" max="6868" width="40.5" style="8" customWidth="1"/>
    <col min="6869" max="6870" width="6.125" style="8" customWidth="1"/>
    <col min="6871" max="6876" width="6.75" style="8" customWidth="1"/>
    <col min="6877" max="6926" width="9.25" style="8" customWidth="1"/>
    <col min="6927" max="6927" width="2.625" style="8" customWidth="1"/>
    <col min="6928" max="7120" width="9" style="8"/>
    <col min="7121" max="7121" width="2.625" style="8" customWidth="1"/>
    <col min="7122" max="7122" width="9.25" style="8" bestFit="1" customWidth="1"/>
    <col min="7123" max="7123" width="9" style="8"/>
    <col min="7124" max="7124" width="40.5" style="8" customWidth="1"/>
    <col min="7125" max="7126" width="6.125" style="8" customWidth="1"/>
    <col min="7127" max="7132" width="6.75" style="8" customWidth="1"/>
    <col min="7133" max="7182" width="9.25" style="8" customWidth="1"/>
    <col min="7183" max="7183" width="2.625" style="8" customWidth="1"/>
    <col min="7184" max="7376" width="9" style="8"/>
    <col min="7377" max="7377" width="2.625" style="8" customWidth="1"/>
    <col min="7378" max="7378" width="9.25" style="8" bestFit="1" customWidth="1"/>
    <col min="7379" max="7379" width="9" style="8"/>
    <col min="7380" max="7380" width="40.5" style="8" customWidth="1"/>
    <col min="7381" max="7382" width="6.125" style="8" customWidth="1"/>
    <col min="7383" max="7388" width="6.75" style="8" customWidth="1"/>
    <col min="7389" max="7438" width="9.25" style="8" customWidth="1"/>
    <col min="7439" max="7439" width="2.625" style="8" customWidth="1"/>
    <col min="7440" max="7632" width="9" style="8"/>
    <col min="7633" max="7633" width="2.625" style="8" customWidth="1"/>
    <col min="7634" max="7634" width="9.25" style="8" bestFit="1" customWidth="1"/>
    <col min="7635" max="7635" width="9" style="8"/>
    <col min="7636" max="7636" width="40.5" style="8" customWidth="1"/>
    <col min="7637" max="7638" width="6.125" style="8" customWidth="1"/>
    <col min="7639" max="7644" width="6.75" style="8" customWidth="1"/>
    <col min="7645" max="7694" width="9.25" style="8" customWidth="1"/>
    <col min="7695" max="7695" width="2.625" style="8" customWidth="1"/>
    <col min="7696" max="7888" width="9" style="8"/>
    <col min="7889" max="7889" width="2.625" style="8" customWidth="1"/>
    <col min="7890" max="7890" width="9.25" style="8" bestFit="1" customWidth="1"/>
    <col min="7891" max="7891" width="9" style="8"/>
    <col min="7892" max="7892" width="40.5" style="8" customWidth="1"/>
    <col min="7893" max="7894" width="6.125" style="8" customWidth="1"/>
    <col min="7895" max="7900" width="6.75" style="8" customWidth="1"/>
    <col min="7901" max="7950" width="9.25" style="8" customWidth="1"/>
    <col min="7951" max="7951" width="2.625" style="8" customWidth="1"/>
    <col min="7952" max="8144" width="9" style="8"/>
    <col min="8145" max="8145" width="2.625" style="8" customWidth="1"/>
    <col min="8146" max="8146" width="9.25" style="8" bestFit="1" customWidth="1"/>
    <col min="8147" max="8147" width="9" style="8"/>
    <col min="8148" max="8148" width="40.5" style="8" customWidth="1"/>
    <col min="8149" max="8150" width="6.125" style="8" customWidth="1"/>
    <col min="8151" max="8156" width="6.75" style="8" customWidth="1"/>
    <col min="8157" max="8206" width="9.25" style="8" customWidth="1"/>
    <col min="8207" max="8207" width="2.625" style="8" customWidth="1"/>
    <col min="8208" max="8400" width="9" style="8"/>
    <col min="8401" max="8401" width="2.625" style="8" customWidth="1"/>
    <col min="8402" max="8402" width="9.25" style="8" bestFit="1" customWidth="1"/>
    <col min="8403" max="8403" width="9" style="8"/>
    <col min="8404" max="8404" width="40.5" style="8" customWidth="1"/>
    <col min="8405" max="8406" width="6.125" style="8" customWidth="1"/>
    <col min="8407" max="8412" width="6.75" style="8" customWidth="1"/>
    <col min="8413" max="8462" width="9.25" style="8" customWidth="1"/>
    <col min="8463" max="8463" width="2.625" style="8" customWidth="1"/>
    <col min="8464" max="8656" width="9" style="8"/>
    <col min="8657" max="8657" width="2.625" style="8" customWidth="1"/>
    <col min="8658" max="8658" width="9.25" style="8" bestFit="1" customWidth="1"/>
    <col min="8659" max="8659" width="9" style="8"/>
    <col min="8660" max="8660" width="40.5" style="8" customWidth="1"/>
    <col min="8661" max="8662" width="6.125" style="8" customWidth="1"/>
    <col min="8663" max="8668" width="6.75" style="8" customWidth="1"/>
    <col min="8669" max="8718" width="9.25" style="8" customWidth="1"/>
    <col min="8719" max="8719" width="2.625" style="8" customWidth="1"/>
    <col min="8720" max="8912" width="9" style="8"/>
    <col min="8913" max="8913" width="2.625" style="8" customWidth="1"/>
    <col min="8914" max="8914" width="9.25" style="8" bestFit="1" customWidth="1"/>
    <col min="8915" max="8915" width="9" style="8"/>
    <col min="8916" max="8916" width="40.5" style="8" customWidth="1"/>
    <col min="8917" max="8918" width="6.125" style="8" customWidth="1"/>
    <col min="8919" max="8924" width="6.75" style="8" customWidth="1"/>
    <col min="8925" max="8974" width="9.25" style="8" customWidth="1"/>
    <col min="8975" max="8975" width="2.625" style="8" customWidth="1"/>
    <col min="8976" max="9168" width="9" style="8"/>
    <col min="9169" max="9169" width="2.625" style="8" customWidth="1"/>
    <col min="9170" max="9170" width="9.25" style="8" bestFit="1" customWidth="1"/>
    <col min="9171" max="9171" width="9" style="8"/>
    <col min="9172" max="9172" width="40.5" style="8" customWidth="1"/>
    <col min="9173" max="9174" width="6.125" style="8" customWidth="1"/>
    <col min="9175" max="9180" width="6.75" style="8" customWidth="1"/>
    <col min="9181" max="9230" width="9.25" style="8" customWidth="1"/>
    <col min="9231" max="9231" width="2.625" style="8" customWidth="1"/>
    <col min="9232" max="9424" width="9" style="8"/>
    <col min="9425" max="9425" width="2.625" style="8" customWidth="1"/>
    <col min="9426" max="9426" width="9.25" style="8" bestFit="1" customWidth="1"/>
    <col min="9427" max="9427" width="9" style="8"/>
    <col min="9428" max="9428" width="40.5" style="8" customWidth="1"/>
    <col min="9429" max="9430" width="6.125" style="8" customWidth="1"/>
    <col min="9431" max="9436" width="6.75" style="8" customWidth="1"/>
    <col min="9437" max="9486" width="9.25" style="8" customWidth="1"/>
    <col min="9487" max="9487" width="2.625" style="8" customWidth="1"/>
    <col min="9488" max="9680" width="9" style="8"/>
    <col min="9681" max="9681" width="2.625" style="8" customWidth="1"/>
    <col min="9682" max="9682" width="9.25" style="8" bestFit="1" customWidth="1"/>
    <col min="9683" max="9683" width="9" style="8"/>
    <col min="9684" max="9684" width="40.5" style="8" customWidth="1"/>
    <col min="9685" max="9686" width="6.125" style="8" customWidth="1"/>
    <col min="9687" max="9692" width="6.75" style="8" customWidth="1"/>
    <col min="9693" max="9742" width="9.25" style="8" customWidth="1"/>
    <col min="9743" max="9743" width="2.625" style="8" customWidth="1"/>
    <col min="9744" max="9936" width="9" style="8"/>
    <col min="9937" max="9937" width="2.625" style="8" customWidth="1"/>
    <col min="9938" max="9938" width="9.25" style="8" bestFit="1" customWidth="1"/>
    <col min="9939" max="9939" width="9" style="8"/>
    <col min="9940" max="9940" width="40.5" style="8" customWidth="1"/>
    <col min="9941" max="9942" width="6.125" style="8" customWidth="1"/>
    <col min="9943" max="9948" width="6.75" style="8" customWidth="1"/>
    <col min="9949" max="9998" width="9.25" style="8" customWidth="1"/>
    <col min="9999" max="9999" width="2.625" style="8" customWidth="1"/>
    <col min="10000" max="10192" width="9" style="8"/>
    <col min="10193" max="10193" width="2.625" style="8" customWidth="1"/>
    <col min="10194" max="10194" width="9.25" style="8" bestFit="1" customWidth="1"/>
    <col min="10195" max="10195" width="9" style="8"/>
    <col min="10196" max="10196" width="40.5" style="8" customWidth="1"/>
    <col min="10197" max="10198" width="6.125" style="8" customWidth="1"/>
    <col min="10199" max="10204" width="6.75" style="8" customWidth="1"/>
    <col min="10205" max="10254" width="9.25" style="8" customWidth="1"/>
    <col min="10255" max="10255" width="2.625" style="8" customWidth="1"/>
    <col min="10256" max="10448" width="9" style="8"/>
    <col min="10449" max="10449" width="2.625" style="8" customWidth="1"/>
    <col min="10450" max="10450" width="9.25" style="8" bestFit="1" customWidth="1"/>
    <col min="10451" max="10451" width="9" style="8"/>
    <col min="10452" max="10452" width="40.5" style="8" customWidth="1"/>
    <col min="10453" max="10454" width="6.125" style="8" customWidth="1"/>
    <col min="10455" max="10460" width="6.75" style="8" customWidth="1"/>
    <col min="10461" max="10510" width="9.25" style="8" customWidth="1"/>
    <col min="10511" max="10511" width="2.625" style="8" customWidth="1"/>
    <col min="10512" max="10704" width="9" style="8"/>
    <col min="10705" max="10705" width="2.625" style="8" customWidth="1"/>
    <col min="10706" max="10706" width="9.25" style="8" bestFit="1" customWidth="1"/>
    <col min="10707" max="10707" width="9" style="8"/>
    <col min="10708" max="10708" width="40.5" style="8" customWidth="1"/>
    <col min="10709" max="10710" width="6.125" style="8" customWidth="1"/>
    <col min="10711" max="10716" width="6.75" style="8" customWidth="1"/>
    <col min="10717" max="10766" width="9.25" style="8" customWidth="1"/>
    <col min="10767" max="10767" width="2.625" style="8" customWidth="1"/>
    <col min="10768" max="10960" width="9" style="8"/>
    <col min="10961" max="10961" width="2.625" style="8" customWidth="1"/>
    <col min="10962" max="10962" width="9.25" style="8" bestFit="1" customWidth="1"/>
    <col min="10963" max="10963" width="9" style="8"/>
    <col min="10964" max="10964" width="40.5" style="8" customWidth="1"/>
    <col min="10965" max="10966" width="6.125" style="8" customWidth="1"/>
    <col min="10967" max="10972" width="6.75" style="8" customWidth="1"/>
    <col min="10973" max="11022" width="9.25" style="8" customWidth="1"/>
    <col min="11023" max="11023" width="2.625" style="8" customWidth="1"/>
    <col min="11024" max="11216" width="9" style="8"/>
    <col min="11217" max="11217" width="2.625" style="8" customWidth="1"/>
    <col min="11218" max="11218" width="9.25" style="8" bestFit="1" customWidth="1"/>
    <col min="11219" max="11219" width="9" style="8"/>
    <col min="11220" max="11220" width="40.5" style="8" customWidth="1"/>
    <col min="11221" max="11222" width="6.125" style="8" customWidth="1"/>
    <col min="11223" max="11228" width="6.75" style="8" customWidth="1"/>
    <col min="11229" max="11278" width="9.25" style="8" customWidth="1"/>
    <col min="11279" max="11279" width="2.625" style="8" customWidth="1"/>
    <col min="11280" max="11472" width="9" style="8"/>
    <col min="11473" max="11473" width="2.625" style="8" customWidth="1"/>
    <col min="11474" max="11474" width="9.25" style="8" bestFit="1" customWidth="1"/>
    <col min="11475" max="11475" width="9" style="8"/>
    <col min="11476" max="11476" width="40.5" style="8" customWidth="1"/>
    <col min="11477" max="11478" width="6.125" style="8" customWidth="1"/>
    <col min="11479" max="11484" width="6.75" style="8" customWidth="1"/>
    <col min="11485" max="11534" width="9.25" style="8" customWidth="1"/>
    <col min="11535" max="11535" width="2.625" style="8" customWidth="1"/>
    <col min="11536" max="11728" width="9" style="8"/>
    <col min="11729" max="11729" width="2.625" style="8" customWidth="1"/>
    <col min="11730" max="11730" width="9.25" style="8" bestFit="1" customWidth="1"/>
    <col min="11731" max="11731" width="9" style="8"/>
    <col min="11732" max="11732" width="40.5" style="8" customWidth="1"/>
    <col min="11733" max="11734" width="6.125" style="8" customWidth="1"/>
    <col min="11735" max="11740" width="6.75" style="8" customWidth="1"/>
    <col min="11741" max="11790" width="9.25" style="8" customWidth="1"/>
    <col min="11791" max="11791" width="2.625" style="8" customWidth="1"/>
    <col min="11792" max="11984" width="9" style="8"/>
    <col min="11985" max="11985" width="2.625" style="8" customWidth="1"/>
    <col min="11986" max="11986" width="9.25" style="8" bestFit="1" customWidth="1"/>
    <col min="11987" max="11987" width="9" style="8"/>
    <col min="11988" max="11988" width="40.5" style="8" customWidth="1"/>
    <col min="11989" max="11990" width="6.125" style="8" customWidth="1"/>
    <col min="11991" max="11996" width="6.75" style="8" customWidth="1"/>
    <col min="11997" max="12046" width="9.25" style="8" customWidth="1"/>
    <col min="12047" max="12047" width="2.625" style="8" customWidth="1"/>
    <col min="12048" max="12240" width="9" style="8"/>
    <col min="12241" max="12241" width="2.625" style="8" customWidth="1"/>
    <col min="12242" max="12242" width="9.25" style="8" bestFit="1" customWidth="1"/>
    <col min="12243" max="12243" width="9" style="8"/>
    <col min="12244" max="12244" width="40.5" style="8" customWidth="1"/>
    <col min="12245" max="12246" width="6.125" style="8" customWidth="1"/>
    <col min="12247" max="12252" width="6.75" style="8" customWidth="1"/>
    <col min="12253" max="12302" width="9.25" style="8" customWidth="1"/>
    <col min="12303" max="12303" width="2.625" style="8" customWidth="1"/>
    <col min="12304" max="12496" width="9" style="8"/>
    <col min="12497" max="12497" width="2.625" style="8" customWidth="1"/>
    <col min="12498" max="12498" width="9.25" style="8" bestFit="1" customWidth="1"/>
    <col min="12499" max="12499" width="9" style="8"/>
    <col min="12500" max="12500" width="40.5" style="8" customWidth="1"/>
    <col min="12501" max="12502" width="6.125" style="8" customWidth="1"/>
    <col min="12503" max="12508" width="6.75" style="8" customWidth="1"/>
    <col min="12509" max="12558" width="9.25" style="8" customWidth="1"/>
    <col min="12559" max="12559" width="2.625" style="8" customWidth="1"/>
    <col min="12560" max="12752" width="9" style="8"/>
    <col min="12753" max="12753" width="2.625" style="8" customWidth="1"/>
    <col min="12754" max="12754" width="9.25" style="8" bestFit="1" customWidth="1"/>
    <col min="12755" max="12755" width="9" style="8"/>
    <col min="12756" max="12756" width="40.5" style="8" customWidth="1"/>
    <col min="12757" max="12758" width="6.125" style="8" customWidth="1"/>
    <col min="12759" max="12764" width="6.75" style="8" customWidth="1"/>
    <col min="12765" max="12814" width="9.25" style="8" customWidth="1"/>
    <col min="12815" max="12815" width="2.625" style="8" customWidth="1"/>
    <col min="12816" max="13008" width="9" style="8"/>
    <col min="13009" max="13009" width="2.625" style="8" customWidth="1"/>
    <col min="13010" max="13010" width="9.25" style="8" bestFit="1" customWidth="1"/>
    <col min="13011" max="13011" width="9" style="8"/>
    <col min="13012" max="13012" width="40.5" style="8" customWidth="1"/>
    <col min="13013" max="13014" width="6.125" style="8" customWidth="1"/>
    <col min="13015" max="13020" width="6.75" style="8" customWidth="1"/>
    <col min="13021" max="13070" width="9.25" style="8" customWidth="1"/>
    <col min="13071" max="13071" width="2.625" style="8" customWidth="1"/>
    <col min="13072" max="13264" width="9" style="8"/>
    <col min="13265" max="13265" width="2.625" style="8" customWidth="1"/>
    <col min="13266" max="13266" width="9.25" style="8" bestFit="1" customWidth="1"/>
    <col min="13267" max="13267" width="9" style="8"/>
    <col min="13268" max="13268" width="40.5" style="8" customWidth="1"/>
    <col min="13269" max="13270" width="6.125" style="8" customWidth="1"/>
    <col min="13271" max="13276" width="6.75" style="8" customWidth="1"/>
    <col min="13277" max="13326" width="9.25" style="8" customWidth="1"/>
    <col min="13327" max="13327" width="2.625" style="8" customWidth="1"/>
    <col min="13328" max="13520" width="9" style="8"/>
    <col min="13521" max="13521" width="2.625" style="8" customWidth="1"/>
    <col min="13522" max="13522" width="9.25" style="8" bestFit="1" customWidth="1"/>
    <col min="13523" max="13523" width="9" style="8"/>
    <col min="13524" max="13524" width="40.5" style="8" customWidth="1"/>
    <col min="13525" max="13526" width="6.125" style="8" customWidth="1"/>
    <col min="13527" max="13532" width="6.75" style="8" customWidth="1"/>
    <col min="13533" max="13582" width="9.25" style="8" customWidth="1"/>
    <col min="13583" max="13583" width="2.625" style="8" customWidth="1"/>
    <col min="13584" max="13776" width="9" style="8"/>
    <col min="13777" max="13777" width="2.625" style="8" customWidth="1"/>
    <col min="13778" max="13778" width="9.25" style="8" bestFit="1" customWidth="1"/>
    <col min="13779" max="13779" width="9" style="8"/>
    <col min="13780" max="13780" width="40.5" style="8" customWidth="1"/>
    <col min="13781" max="13782" width="6.125" style="8" customWidth="1"/>
    <col min="13783" max="13788" width="6.75" style="8" customWidth="1"/>
    <col min="13789" max="13838" width="9.25" style="8" customWidth="1"/>
    <col min="13839" max="13839" width="2.625" style="8" customWidth="1"/>
    <col min="13840" max="14032" width="9" style="8"/>
    <col min="14033" max="14033" width="2.625" style="8" customWidth="1"/>
    <col min="14034" max="14034" width="9.25" style="8" bestFit="1" customWidth="1"/>
    <col min="14035" max="14035" width="9" style="8"/>
    <col min="14036" max="14036" width="40.5" style="8" customWidth="1"/>
    <col min="14037" max="14038" width="6.125" style="8" customWidth="1"/>
    <col min="14039" max="14044" width="6.75" style="8" customWidth="1"/>
    <col min="14045" max="14094" width="9.25" style="8" customWidth="1"/>
    <col min="14095" max="14095" width="2.625" style="8" customWidth="1"/>
    <col min="14096" max="14288" width="9" style="8"/>
    <col min="14289" max="14289" width="2.625" style="8" customWidth="1"/>
    <col min="14290" max="14290" width="9.25" style="8" bestFit="1" customWidth="1"/>
    <col min="14291" max="14291" width="9" style="8"/>
    <col min="14292" max="14292" width="40.5" style="8" customWidth="1"/>
    <col min="14293" max="14294" width="6.125" style="8" customWidth="1"/>
    <col min="14295" max="14300" width="6.75" style="8" customWidth="1"/>
    <col min="14301" max="14350" width="9.25" style="8" customWidth="1"/>
    <col min="14351" max="14351" width="2.625" style="8" customWidth="1"/>
    <col min="14352" max="14544" width="9" style="8"/>
    <col min="14545" max="14545" width="2.625" style="8" customWidth="1"/>
    <col min="14546" max="14546" width="9.25" style="8" bestFit="1" customWidth="1"/>
    <col min="14547" max="14547" width="9" style="8"/>
    <col min="14548" max="14548" width="40.5" style="8" customWidth="1"/>
    <col min="14549" max="14550" width="6.125" style="8" customWidth="1"/>
    <col min="14551" max="14556" width="6.75" style="8" customWidth="1"/>
    <col min="14557" max="14606" width="9.25" style="8" customWidth="1"/>
    <col min="14607" max="14607" width="2.625" style="8" customWidth="1"/>
    <col min="14608" max="14800" width="9" style="8"/>
    <col min="14801" max="14801" width="2.625" style="8" customWidth="1"/>
    <col min="14802" max="14802" width="9.25" style="8" bestFit="1" customWidth="1"/>
    <col min="14803" max="14803" width="9" style="8"/>
    <col min="14804" max="14804" width="40.5" style="8" customWidth="1"/>
    <col min="14805" max="14806" width="6.125" style="8" customWidth="1"/>
    <col min="14807" max="14812" width="6.75" style="8" customWidth="1"/>
    <col min="14813" max="14862" width="9.25" style="8" customWidth="1"/>
    <col min="14863" max="14863" width="2.625" style="8" customWidth="1"/>
    <col min="14864" max="15056" width="9" style="8"/>
    <col min="15057" max="15057" width="2.625" style="8" customWidth="1"/>
    <col min="15058" max="15058" width="9.25" style="8" bestFit="1" customWidth="1"/>
    <col min="15059" max="15059" width="9" style="8"/>
    <col min="15060" max="15060" width="40.5" style="8" customWidth="1"/>
    <col min="15061" max="15062" width="6.125" style="8" customWidth="1"/>
    <col min="15063" max="15068" width="6.75" style="8" customWidth="1"/>
    <col min="15069" max="15118" width="9.25" style="8" customWidth="1"/>
    <col min="15119" max="15119" width="2.625" style="8" customWidth="1"/>
    <col min="15120" max="15312" width="9" style="8"/>
    <col min="15313" max="15313" width="2.625" style="8" customWidth="1"/>
    <col min="15314" max="15314" width="9.25" style="8" bestFit="1" customWidth="1"/>
    <col min="15315" max="15315" width="9" style="8"/>
    <col min="15316" max="15316" width="40.5" style="8" customWidth="1"/>
    <col min="15317" max="15318" width="6.125" style="8" customWidth="1"/>
    <col min="15319" max="15324" width="6.75" style="8" customWidth="1"/>
    <col min="15325" max="15374" width="9.25" style="8" customWidth="1"/>
    <col min="15375" max="15375" width="2.625" style="8" customWidth="1"/>
    <col min="15376" max="15568" width="9" style="8"/>
    <col min="15569" max="15569" width="2.625" style="8" customWidth="1"/>
    <col min="15570" max="15570" width="9.25" style="8" bestFit="1" customWidth="1"/>
    <col min="15571" max="15571" width="9" style="8"/>
    <col min="15572" max="15572" width="40.5" style="8" customWidth="1"/>
    <col min="15573" max="15574" width="6.125" style="8" customWidth="1"/>
    <col min="15575" max="15580" width="6.75" style="8" customWidth="1"/>
    <col min="15581" max="15630" width="9.25" style="8" customWidth="1"/>
    <col min="15631" max="15631" width="2.625" style="8" customWidth="1"/>
    <col min="15632" max="15824" width="9" style="8"/>
    <col min="15825" max="15825" width="2.625" style="8" customWidth="1"/>
    <col min="15826" max="15826" width="9.25" style="8" bestFit="1" customWidth="1"/>
    <col min="15827" max="15827" width="9" style="8"/>
    <col min="15828" max="15828" width="40.5" style="8" customWidth="1"/>
    <col min="15829" max="15830" width="6.125" style="8" customWidth="1"/>
    <col min="15831" max="15836" width="6.75" style="8" customWidth="1"/>
    <col min="15837" max="15886" width="9.25" style="8" customWidth="1"/>
    <col min="15887" max="15887" width="2.625" style="8" customWidth="1"/>
    <col min="15888" max="16080" width="9" style="8"/>
    <col min="16081" max="16081" width="2.625" style="8" customWidth="1"/>
    <col min="16082" max="16082" width="9.25" style="8" bestFit="1" customWidth="1"/>
    <col min="16083" max="16083" width="9" style="8"/>
    <col min="16084" max="16084" width="40.5" style="8" customWidth="1"/>
    <col min="16085" max="16086" width="6.125" style="8" customWidth="1"/>
    <col min="16087" max="16092" width="6.75" style="8" customWidth="1"/>
    <col min="16093" max="16142" width="9.25" style="8" customWidth="1"/>
    <col min="16143" max="16143" width="2.625" style="8" customWidth="1"/>
    <col min="16144" max="16384" width="9" style="8"/>
  </cols>
  <sheetData>
    <row r="1" spans="1:15" s="5" customFormat="1" ht="13.5">
      <c r="K1" s="41"/>
      <c r="L1" s="41"/>
    </row>
    <row r="2" spans="1:15" s="7" customFormat="1" ht="18" customHeight="1">
      <c r="A2" s="67" t="s">
        <v>332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5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5" ht="18" customHeight="1">
      <c r="A4" s="323" t="s">
        <v>279</v>
      </c>
      <c r="B4" s="425"/>
      <c r="C4" s="425"/>
      <c r="D4" s="425" t="s">
        <v>333</v>
      </c>
      <c r="E4" s="425" t="s">
        <v>284</v>
      </c>
      <c r="F4" s="425" t="s">
        <v>334</v>
      </c>
      <c r="G4" s="425"/>
      <c r="H4" s="425"/>
      <c r="I4" s="425"/>
      <c r="J4" s="425"/>
      <c r="K4" s="472"/>
      <c r="L4" s="472" t="str">
        <f t="shared" ref="L4:N4" ca="1" si="0">HYPERLINK("[" &amp; MID(CELL("filename"),SEARCH("[",CELL("filename"))+1, SEARCH("]",CELL("filename"))-SEARCH("[",CELL("filename"))-1) &amp; "]'" &amp; INDIRECT(ADDRESS(COLUMN()-5,2,1,TRUE,"점검대상")) &amp; "'!A1",INDIRECT(ADDRESS(COLUMN()-5,2,1,TRUE,"점검대상")))</f>
        <v>클라우드관리체계(샘플)</v>
      </c>
      <c r="M4" s="470" t="str">
        <f t="shared" ca="1" si="0"/>
        <v>클라우드관리체계(샘플)_이행</v>
      </c>
      <c r="N4" s="470">
        <f t="shared" ca="1" si="0"/>
        <v>0</v>
      </c>
      <c r="O4" s="469"/>
    </row>
    <row r="5" spans="1:15" ht="17.25" thickBot="1">
      <c r="A5" s="69" t="s">
        <v>335</v>
      </c>
      <c r="B5" s="70" t="s">
        <v>336</v>
      </c>
      <c r="C5" s="70" t="s">
        <v>337</v>
      </c>
      <c r="D5" s="474"/>
      <c r="E5" s="474"/>
      <c r="F5" s="70" t="s">
        <v>338</v>
      </c>
      <c r="G5" s="70" t="s">
        <v>323</v>
      </c>
      <c r="H5" s="70" t="s">
        <v>339</v>
      </c>
      <c r="I5" s="70" t="s">
        <v>340</v>
      </c>
      <c r="J5" s="70" t="s">
        <v>341</v>
      </c>
      <c r="K5" s="473"/>
      <c r="L5" s="473"/>
      <c r="M5" s="471"/>
      <c r="N5" s="471"/>
      <c r="O5" s="469"/>
    </row>
    <row r="6" spans="1:15" ht="16.5" customHeight="1">
      <c r="A6" s="155" t="s">
        <v>754</v>
      </c>
      <c r="B6" s="89" t="s">
        <v>759</v>
      </c>
      <c r="C6" s="83" t="s">
        <v>779</v>
      </c>
      <c r="D6" s="72" t="s">
        <v>309</v>
      </c>
      <c r="E6" s="72">
        <v>5</v>
      </c>
      <c r="F6" s="72">
        <f ca="1">COUNTA($K6:INDIRECT(ADDRESS(ROW(),MATCH("",$4:$4,-1),1,1)))</f>
        <v>2</v>
      </c>
      <c r="G6" s="72">
        <f t="shared" ref="G6" ca="1" si="1">F6-J6</f>
        <v>2</v>
      </c>
      <c r="H6" s="72">
        <f ca="1">COUNTIF($K6:INDIRECT(ADDRESS(ROW(),MATCH("",$4:$4,-1),1,1)),H$5)</f>
        <v>0</v>
      </c>
      <c r="I6" s="72">
        <f ca="1">COUNTIF($K6:INDIRECT(ADDRESS(ROW(),MATCH("",$4:$4,-1),1,1)),I$5)</f>
        <v>1</v>
      </c>
      <c r="J6" s="72">
        <f ca="1">COUNTIF($K6:INDIRECT(ADDRESS(ROW(),MATCH("",$4:$4,-1),1,1)),"N/A")</f>
        <v>0</v>
      </c>
      <c r="K6" s="84"/>
      <c r="L6" s="84" t="str" cm="1">
        <f t="array" aca="1" ref="L6" ca="1">IFERROR(INDEX('통합 점검결과'!$M:$M,MATCH(1,('통합 점검결과'!$B:$B=L$4)*('통합 점검결과'!$J:$J=$B6),0)),"")</f>
        <v>취약</v>
      </c>
      <c r="M6" s="85" t="str" cm="1">
        <f t="array" aca="1" ref="M6" ca="1">IFERROR(INDEX('통합 점검결과'!$M:$M,MATCH(1,('통합 점검결과'!$B:$B=M$4)*('통합 점검결과'!$J:$J=$B6),0)),"")</f>
        <v/>
      </c>
      <c r="N6" s="85" t="str" cm="1">
        <f t="array" aca="1" ref="N6" ca="1">IFERROR(INDEX('통합 점검결과'!$M:$M,MATCH(1,('통합 점검결과'!$B:$B=N$4)*('통합 점검결과'!$J:$J=$B6),0)),"")</f>
        <v/>
      </c>
    </row>
    <row r="7" spans="1:15" ht="16.5" customHeight="1">
      <c r="A7" s="156" t="s">
        <v>754</v>
      </c>
      <c r="B7" s="90" t="s">
        <v>760</v>
      </c>
      <c r="C7" s="86" t="s">
        <v>780</v>
      </c>
      <c r="D7" s="73" t="s">
        <v>342</v>
      </c>
      <c r="E7" s="73">
        <v>3</v>
      </c>
      <c r="F7" s="73">
        <f ca="1">COUNTA($K7:INDIRECT(ADDRESS(ROW(),MATCH("",$4:$4,-1),1,1)))</f>
        <v>2</v>
      </c>
      <c r="G7" s="73">
        <f t="shared" ref="G7:G25" ca="1" si="2">F7-J7</f>
        <v>2</v>
      </c>
      <c r="H7" s="73">
        <f ca="1">COUNTIF($K7:INDIRECT(ADDRESS(ROW(),MATCH("",$4:$4,-1),1,1)),H$5)</f>
        <v>0</v>
      </c>
      <c r="I7" s="73">
        <f ca="1">COUNTIF($K7:INDIRECT(ADDRESS(ROW(),MATCH("",$4:$4,-1),1,1)),I$5)</f>
        <v>0</v>
      </c>
      <c r="J7" s="73">
        <f ca="1">COUNTIF($K7:INDIRECT(ADDRESS(ROW(),MATCH("",$4:$4,-1),1,1)),"N/A")</f>
        <v>0</v>
      </c>
      <c r="K7" s="87"/>
      <c r="L7" s="87" t="str" cm="1">
        <f t="array" aca="1" ref="L7" ca="1">IFERROR(INDEX('통합 점검결과'!$M:$M,MATCH(1,('통합 점검결과'!$B:$B=L$4)*('통합 점검결과'!$J:$J=$B7),0)),"")</f>
        <v/>
      </c>
      <c r="M7" s="88" t="str" cm="1">
        <f t="array" aca="1" ref="M7" ca="1">IFERROR(INDEX('통합 점검결과'!$M:$M,MATCH(1,('통합 점검결과'!$B:$B=M$4)*('통합 점검결과'!$J:$J=$B7),0)),"")</f>
        <v/>
      </c>
      <c r="N7" s="88" t="str" cm="1">
        <f t="array" aca="1" ref="N7" ca="1">IFERROR(INDEX('통합 점검결과'!$M:$M,MATCH(1,('통합 점검결과'!$B:$B=N$4)*('통합 점검결과'!$J:$J=$B7),0)),"")</f>
        <v/>
      </c>
    </row>
    <row r="8" spans="1:15" ht="16.5" customHeight="1">
      <c r="A8" s="156" t="s">
        <v>754</v>
      </c>
      <c r="B8" s="90" t="s">
        <v>761</v>
      </c>
      <c r="C8" s="86" t="s">
        <v>781</v>
      </c>
      <c r="D8" s="73" t="s">
        <v>342</v>
      </c>
      <c r="E8" s="73">
        <v>3</v>
      </c>
      <c r="F8" s="73">
        <f ca="1">COUNTA($K8:INDIRECT(ADDRESS(ROW(),MATCH("",$4:$4,-1),1,1)))</f>
        <v>2</v>
      </c>
      <c r="G8" s="73">
        <f t="shared" ca="1" si="2"/>
        <v>2</v>
      </c>
      <c r="H8" s="73">
        <f ca="1">COUNTIF($K8:INDIRECT(ADDRESS(ROW(),MATCH("",$4:$4,-1),1,1)),H$5)</f>
        <v>0</v>
      </c>
      <c r="I8" s="73">
        <f ca="1">COUNTIF($K8:INDIRECT(ADDRESS(ROW(),MATCH("",$4:$4,-1),1,1)),I$5)</f>
        <v>0</v>
      </c>
      <c r="J8" s="73">
        <f ca="1">COUNTIF($K8:INDIRECT(ADDRESS(ROW(),MATCH("",$4:$4,-1),1,1)),"N/A")</f>
        <v>0</v>
      </c>
      <c r="K8" s="87"/>
      <c r="L8" s="87" t="str" cm="1">
        <f t="array" aca="1" ref="L8" ca="1">IFERROR(INDEX('통합 점검결과'!$M:$M,MATCH(1,('통합 점검결과'!$B:$B=L$4)*('통합 점검결과'!$J:$J=$B8),0)),"")</f>
        <v/>
      </c>
      <c r="M8" s="88" t="str" cm="1">
        <f t="array" aca="1" ref="M8" ca="1">IFERROR(INDEX('통합 점검결과'!$M:$M,MATCH(1,('통합 점검결과'!$B:$B=M$4)*('통합 점검결과'!$J:$J=$B8),0)),"")</f>
        <v/>
      </c>
      <c r="N8" s="88" t="str" cm="1">
        <f t="array" aca="1" ref="N8" ca="1">IFERROR(INDEX('통합 점검결과'!$M:$M,MATCH(1,('통합 점검결과'!$B:$B=N$4)*('통합 점검결과'!$J:$J=$B8),0)),"")</f>
        <v/>
      </c>
    </row>
    <row r="9" spans="1:15" ht="16.5" customHeight="1">
      <c r="A9" s="156" t="s">
        <v>754</v>
      </c>
      <c r="B9" s="90" t="s">
        <v>762</v>
      </c>
      <c r="C9" s="86" t="s">
        <v>782</v>
      </c>
      <c r="D9" s="73" t="s">
        <v>309</v>
      </c>
      <c r="E9" s="73">
        <v>5</v>
      </c>
      <c r="F9" s="73">
        <f ca="1">COUNTA($K9:INDIRECT(ADDRESS(ROW(),MATCH("",$4:$4,-1),1,1)))</f>
        <v>2</v>
      </c>
      <c r="G9" s="73">
        <f t="shared" ca="1" si="2"/>
        <v>2</v>
      </c>
      <c r="H9" s="73">
        <f ca="1">COUNTIF($K9:INDIRECT(ADDRESS(ROW(),MATCH("",$4:$4,-1),1,1)),H$5)</f>
        <v>0</v>
      </c>
      <c r="I9" s="73">
        <f ca="1">COUNTIF($K9:INDIRECT(ADDRESS(ROW(),MATCH("",$4:$4,-1),1,1)),I$5)</f>
        <v>0</v>
      </c>
      <c r="J9" s="73">
        <f ca="1">COUNTIF($K9:INDIRECT(ADDRESS(ROW(),MATCH("",$4:$4,-1),1,1)),"N/A")</f>
        <v>0</v>
      </c>
      <c r="K9" s="87"/>
      <c r="L9" s="87" t="str" cm="1">
        <f t="array" aca="1" ref="L9" ca="1">IFERROR(INDEX('통합 점검결과'!$M:$M,MATCH(1,('통합 점검결과'!$B:$B=L$4)*('통합 점검결과'!$J:$J=$B9),0)),"")</f>
        <v/>
      </c>
      <c r="M9" s="88" t="str" cm="1">
        <f t="array" aca="1" ref="M9" ca="1">IFERROR(INDEX('통합 점검결과'!$M:$M,MATCH(1,('통합 점검결과'!$B:$B=M$4)*('통합 점검결과'!$J:$J=$B9),0)),"")</f>
        <v/>
      </c>
      <c r="N9" s="88" t="str" cm="1">
        <f t="array" aca="1" ref="N9" ca="1">IFERROR(INDEX('통합 점검결과'!$M:$M,MATCH(1,('통합 점검결과'!$B:$B=N$4)*('통합 점검결과'!$J:$J=$B9),0)),"")</f>
        <v/>
      </c>
    </row>
    <row r="10" spans="1:15" ht="16.5" customHeight="1">
      <c r="A10" s="156" t="s">
        <v>754</v>
      </c>
      <c r="B10" s="90" t="s">
        <v>763</v>
      </c>
      <c r="C10" s="86" t="s">
        <v>783</v>
      </c>
      <c r="D10" s="73" t="s">
        <v>342</v>
      </c>
      <c r="E10" s="73">
        <v>3</v>
      </c>
      <c r="F10" s="73">
        <f ca="1">COUNTA($K10:INDIRECT(ADDRESS(ROW(),MATCH("",$4:$4,-1),1,1)))</f>
        <v>2</v>
      </c>
      <c r="G10" s="73">
        <f t="shared" ca="1" si="2"/>
        <v>2</v>
      </c>
      <c r="H10" s="73">
        <f ca="1">COUNTIF($K10:INDIRECT(ADDRESS(ROW(),MATCH("",$4:$4,-1),1,1)),H$5)</f>
        <v>0</v>
      </c>
      <c r="I10" s="73">
        <f ca="1">COUNTIF($K10:INDIRECT(ADDRESS(ROW(),MATCH("",$4:$4,-1),1,1)),I$5)</f>
        <v>0</v>
      </c>
      <c r="J10" s="73">
        <f ca="1">COUNTIF($K10:INDIRECT(ADDRESS(ROW(),MATCH("",$4:$4,-1),1,1)),"N/A")</f>
        <v>0</v>
      </c>
      <c r="K10" s="87"/>
      <c r="L10" s="87" t="str" cm="1">
        <f t="array" aca="1" ref="L10" ca="1">IFERROR(INDEX('통합 점검결과'!$M:$M,MATCH(1,('통합 점검결과'!$B:$B=L$4)*('통합 점검결과'!$J:$J=$B10),0)),"")</f>
        <v/>
      </c>
      <c r="M10" s="88" t="str" cm="1">
        <f t="array" aca="1" ref="M10" ca="1">IFERROR(INDEX('통합 점검결과'!$M:$M,MATCH(1,('통합 점검결과'!$B:$B=M$4)*('통합 점검결과'!$J:$J=$B10),0)),"")</f>
        <v/>
      </c>
      <c r="N10" s="88" t="str" cm="1">
        <f t="array" aca="1" ref="N10" ca="1">IFERROR(INDEX('통합 점검결과'!$M:$M,MATCH(1,('통합 점검결과'!$B:$B=N$4)*('통합 점검결과'!$J:$J=$B10),0)),"")</f>
        <v/>
      </c>
    </row>
    <row r="11" spans="1:15" ht="16.5" customHeight="1">
      <c r="A11" s="156" t="s">
        <v>755</v>
      </c>
      <c r="B11" s="90" t="s">
        <v>764</v>
      </c>
      <c r="C11" s="86" t="s">
        <v>784</v>
      </c>
      <c r="D11" s="73" t="s">
        <v>342</v>
      </c>
      <c r="E11" s="73">
        <v>3</v>
      </c>
      <c r="F11" s="73">
        <f ca="1">COUNTA($K11:INDIRECT(ADDRESS(ROW(),MATCH("",$4:$4,-1),1,1)))</f>
        <v>2</v>
      </c>
      <c r="G11" s="73">
        <f t="shared" ca="1" si="2"/>
        <v>2</v>
      </c>
      <c r="H11" s="73">
        <f ca="1">COUNTIF($K11:INDIRECT(ADDRESS(ROW(),MATCH("",$4:$4,-1),1,1)),H$5)</f>
        <v>0</v>
      </c>
      <c r="I11" s="73">
        <f ca="1">COUNTIF($K11:INDIRECT(ADDRESS(ROW(),MATCH("",$4:$4,-1),1,1)),I$5)</f>
        <v>0</v>
      </c>
      <c r="J11" s="73">
        <f ca="1">COUNTIF($K11:INDIRECT(ADDRESS(ROW(),MATCH("",$4:$4,-1),1,1)),"N/A")</f>
        <v>0</v>
      </c>
      <c r="K11" s="87"/>
      <c r="L11" s="87" t="str" cm="1">
        <f t="array" aca="1" ref="L11" ca="1">IFERROR(INDEX('통합 점검결과'!$M:$M,MATCH(1,('통합 점검결과'!$B:$B=L$4)*('통합 점검결과'!$J:$J=$B11),0)),"")</f>
        <v/>
      </c>
      <c r="M11" s="88" t="str" cm="1">
        <f t="array" aca="1" ref="M11" ca="1">IFERROR(INDEX('통합 점검결과'!$M:$M,MATCH(1,('통합 점검결과'!$B:$B=M$4)*('통합 점검결과'!$J:$J=$B11),0)),"")</f>
        <v/>
      </c>
      <c r="N11" s="88" t="str" cm="1">
        <f t="array" aca="1" ref="N11" ca="1">IFERROR(INDEX('통합 점검결과'!$M:$M,MATCH(1,('통합 점검결과'!$B:$B=N$4)*('통합 점검결과'!$J:$J=$B11),0)),"")</f>
        <v/>
      </c>
    </row>
    <row r="12" spans="1:15" ht="16.5" customHeight="1">
      <c r="A12" s="156" t="s">
        <v>755</v>
      </c>
      <c r="B12" s="90" t="s">
        <v>765</v>
      </c>
      <c r="C12" s="86" t="s">
        <v>785</v>
      </c>
      <c r="D12" s="73" t="s">
        <v>342</v>
      </c>
      <c r="E12" s="73">
        <v>3</v>
      </c>
      <c r="F12" s="73">
        <f ca="1">COUNTA($K12:INDIRECT(ADDRESS(ROW(),MATCH("",$4:$4,-1),1,1)))</f>
        <v>2</v>
      </c>
      <c r="G12" s="73">
        <f t="shared" ca="1" si="2"/>
        <v>2</v>
      </c>
      <c r="H12" s="73">
        <f ca="1">COUNTIF($K12:INDIRECT(ADDRESS(ROW(),MATCH("",$4:$4,-1),1,1)),H$5)</f>
        <v>0</v>
      </c>
      <c r="I12" s="73">
        <f ca="1">COUNTIF($K12:INDIRECT(ADDRESS(ROW(),MATCH("",$4:$4,-1),1,1)),I$5)</f>
        <v>0</v>
      </c>
      <c r="J12" s="73">
        <f ca="1">COUNTIF($K12:INDIRECT(ADDRESS(ROW(),MATCH("",$4:$4,-1),1,1)),"N/A")</f>
        <v>0</v>
      </c>
      <c r="K12" s="87"/>
      <c r="L12" s="87" t="str" cm="1">
        <f t="array" aca="1" ref="L12" ca="1">IFERROR(INDEX('통합 점검결과'!$M:$M,MATCH(1,('통합 점검결과'!$B:$B=L$4)*('통합 점검결과'!$J:$J=$B12),0)),"")</f>
        <v/>
      </c>
      <c r="M12" s="88" t="str" cm="1">
        <f t="array" aca="1" ref="M12" ca="1">IFERROR(INDEX('통합 점검결과'!$M:$M,MATCH(1,('통합 점검결과'!$B:$B=M$4)*('통합 점검결과'!$J:$J=$B12),0)),"")</f>
        <v/>
      </c>
      <c r="N12" s="88" t="str" cm="1">
        <f t="array" aca="1" ref="N12" ca="1">IFERROR(INDEX('통합 점검결과'!$M:$M,MATCH(1,('통합 점검결과'!$B:$B=N$4)*('통합 점검결과'!$J:$J=$B12),0)),"")</f>
        <v/>
      </c>
    </row>
    <row r="13" spans="1:15" ht="16.5" customHeight="1">
      <c r="A13" s="156" t="s">
        <v>754</v>
      </c>
      <c r="B13" s="90" t="s">
        <v>766</v>
      </c>
      <c r="C13" s="86" t="s">
        <v>786</v>
      </c>
      <c r="D13" s="73" t="s">
        <v>309</v>
      </c>
      <c r="E13" s="73">
        <v>5</v>
      </c>
      <c r="F13" s="73">
        <f ca="1">COUNTA($K13:INDIRECT(ADDRESS(ROW(),MATCH("",$4:$4,-1),1,1)))</f>
        <v>2</v>
      </c>
      <c r="G13" s="73">
        <f t="shared" ca="1" si="2"/>
        <v>2</v>
      </c>
      <c r="H13" s="73">
        <f ca="1">COUNTIF($K13:INDIRECT(ADDRESS(ROW(),MATCH("",$4:$4,-1),1,1)),H$5)</f>
        <v>0</v>
      </c>
      <c r="I13" s="73">
        <f ca="1">COUNTIF($K13:INDIRECT(ADDRESS(ROW(),MATCH("",$4:$4,-1),1,1)),I$5)</f>
        <v>0</v>
      </c>
      <c r="J13" s="73">
        <f ca="1">COUNTIF($K13:INDIRECT(ADDRESS(ROW(),MATCH("",$4:$4,-1),1,1)),"N/A")</f>
        <v>0</v>
      </c>
      <c r="K13" s="87"/>
      <c r="L13" s="87" t="str" cm="1">
        <f t="array" aca="1" ref="L13" ca="1">IFERROR(INDEX('통합 점검결과'!$M:$M,MATCH(1,('통합 점검결과'!$B:$B=L$4)*('통합 점검결과'!$J:$J=$B13),0)),"")</f>
        <v/>
      </c>
      <c r="M13" s="88" t="str" cm="1">
        <f t="array" aca="1" ref="M13" ca="1">IFERROR(INDEX('통합 점검결과'!$M:$M,MATCH(1,('통합 점검결과'!$B:$B=M$4)*('통합 점검결과'!$J:$J=$B13),0)),"")</f>
        <v/>
      </c>
      <c r="N13" s="88" t="str" cm="1">
        <f t="array" aca="1" ref="N13" ca="1">IFERROR(INDEX('통합 점검결과'!$M:$M,MATCH(1,('통합 점검결과'!$B:$B=N$4)*('통합 점검결과'!$J:$J=$B13),0)),"")</f>
        <v/>
      </c>
    </row>
    <row r="14" spans="1:15" ht="16.5" customHeight="1">
      <c r="A14" s="156" t="s">
        <v>754</v>
      </c>
      <c r="B14" s="90" t="s">
        <v>767</v>
      </c>
      <c r="C14" s="86" t="s">
        <v>787</v>
      </c>
      <c r="D14" s="73" t="s">
        <v>309</v>
      </c>
      <c r="E14" s="73">
        <v>5</v>
      </c>
      <c r="F14" s="73">
        <f ca="1">COUNTA($K14:INDIRECT(ADDRESS(ROW(),MATCH("",$4:$4,-1),1,1)))</f>
        <v>2</v>
      </c>
      <c r="G14" s="73">
        <f t="shared" ca="1" si="2"/>
        <v>2</v>
      </c>
      <c r="H14" s="73">
        <f ca="1">COUNTIF($K14:INDIRECT(ADDRESS(ROW(),MATCH("",$4:$4,-1),1,1)),H$5)</f>
        <v>0</v>
      </c>
      <c r="I14" s="73">
        <f ca="1">COUNTIF($K14:INDIRECT(ADDRESS(ROW(),MATCH("",$4:$4,-1),1,1)),I$5)</f>
        <v>0</v>
      </c>
      <c r="J14" s="73">
        <f ca="1">COUNTIF($K14:INDIRECT(ADDRESS(ROW(),MATCH("",$4:$4,-1),1,1)),"N/A")</f>
        <v>0</v>
      </c>
      <c r="K14" s="87"/>
      <c r="L14" s="87" t="str" cm="1">
        <f t="array" aca="1" ref="L14" ca="1">IFERROR(INDEX('통합 점검결과'!$M:$M,MATCH(1,('통합 점검결과'!$B:$B=L$4)*('통합 점검결과'!$J:$J=$B14),0)),"")</f>
        <v/>
      </c>
      <c r="M14" s="88" t="str" cm="1">
        <f t="array" aca="1" ref="M14" ca="1">IFERROR(INDEX('통합 점검결과'!$M:$M,MATCH(1,('통합 점검결과'!$B:$B=M$4)*('통합 점검결과'!$J:$J=$B14),0)),"")</f>
        <v/>
      </c>
      <c r="N14" s="88" t="str" cm="1">
        <f t="array" aca="1" ref="N14" ca="1">IFERROR(INDEX('통합 점검결과'!$M:$M,MATCH(1,('통합 점검결과'!$B:$B=N$4)*('통합 점검결과'!$J:$J=$B14),0)),"")</f>
        <v/>
      </c>
    </row>
    <row r="15" spans="1:15" ht="16.5" customHeight="1">
      <c r="A15" s="156" t="s">
        <v>754</v>
      </c>
      <c r="B15" s="90" t="s">
        <v>768</v>
      </c>
      <c r="C15" s="86" t="s">
        <v>788</v>
      </c>
      <c r="D15" s="73" t="s">
        <v>309</v>
      </c>
      <c r="E15" s="73">
        <v>5</v>
      </c>
      <c r="F15" s="73">
        <f ca="1">COUNTA($K15:INDIRECT(ADDRESS(ROW(),MATCH("",$4:$4,-1),1,1)))</f>
        <v>2</v>
      </c>
      <c r="G15" s="73">
        <f t="shared" ca="1" si="2"/>
        <v>2</v>
      </c>
      <c r="H15" s="73">
        <f ca="1">COUNTIF($K15:INDIRECT(ADDRESS(ROW(),MATCH("",$4:$4,-1),1,1)),H$5)</f>
        <v>0</v>
      </c>
      <c r="I15" s="73">
        <f ca="1">COUNTIF($K15:INDIRECT(ADDRESS(ROW(),MATCH("",$4:$4,-1),1,1)),I$5)</f>
        <v>0</v>
      </c>
      <c r="J15" s="73">
        <f ca="1">COUNTIF($K15:INDIRECT(ADDRESS(ROW(),MATCH("",$4:$4,-1),1,1)),"N/A")</f>
        <v>0</v>
      </c>
      <c r="K15" s="87"/>
      <c r="L15" s="87" t="str" cm="1">
        <f t="array" aca="1" ref="L15" ca="1">IFERROR(INDEX('통합 점검결과'!$M:$M,MATCH(1,('통합 점검결과'!$B:$B=L$4)*('통합 점검결과'!$J:$J=$B15),0)),"")</f>
        <v/>
      </c>
      <c r="M15" s="88" t="str" cm="1">
        <f t="array" aca="1" ref="M15" ca="1">IFERROR(INDEX('통합 점검결과'!$M:$M,MATCH(1,('통합 점검결과'!$B:$B=M$4)*('통합 점검결과'!$J:$J=$B15),0)),"")</f>
        <v/>
      </c>
      <c r="N15" s="88" t="str" cm="1">
        <f t="array" aca="1" ref="N15" ca="1">IFERROR(INDEX('통합 점검결과'!$M:$M,MATCH(1,('통합 점검결과'!$B:$B=N$4)*('통합 점검결과'!$J:$J=$B15),0)),"")</f>
        <v/>
      </c>
    </row>
    <row r="16" spans="1:15" ht="16.5" customHeight="1">
      <c r="A16" s="156" t="s">
        <v>754</v>
      </c>
      <c r="B16" s="90" t="s">
        <v>769</v>
      </c>
      <c r="C16" s="86" t="s">
        <v>789</v>
      </c>
      <c r="D16" s="73" t="s">
        <v>309</v>
      </c>
      <c r="E16" s="73">
        <v>5</v>
      </c>
      <c r="F16" s="73">
        <f ca="1">COUNTA($K16:INDIRECT(ADDRESS(ROW(),MATCH("",$4:$4,-1),1,1)))</f>
        <v>2</v>
      </c>
      <c r="G16" s="73">
        <f t="shared" ca="1" si="2"/>
        <v>2</v>
      </c>
      <c r="H16" s="73">
        <f ca="1">COUNTIF($K16:INDIRECT(ADDRESS(ROW(),MATCH("",$4:$4,-1),1,1)),H$5)</f>
        <v>0</v>
      </c>
      <c r="I16" s="73">
        <f ca="1">COUNTIF($K16:INDIRECT(ADDRESS(ROW(),MATCH("",$4:$4,-1),1,1)),I$5)</f>
        <v>0</v>
      </c>
      <c r="J16" s="73">
        <f ca="1">COUNTIF($K16:INDIRECT(ADDRESS(ROW(),MATCH("",$4:$4,-1),1,1)),"N/A")</f>
        <v>0</v>
      </c>
      <c r="K16" s="87"/>
      <c r="L16" s="87" t="str" cm="1">
        <f t="array" aca="1" ref="L16" ca="1">IFERROR(INDEX('통합 점검결과'!$M:$M,MATCH(1,('통합 점검결과'!$B:$B=L$4)*('통합 점검결과'!$J:$J=$B16),0)),"")</f>
        <v/>
      </c>
      <c r="M16" s="88" t="str" cm="1">
        <f t="array" aca="1" ref="M16" ca="1">IFERROR(INDEX('통합 점검결과'!$M:$M,MATCH(1,('통합 점검결과'!$B:$B=M$4)*('통합 점검결과'!$J:$J=$B16),0)),"")</f>
        <v/>
      </c>
      <c r="N16" s="88" t="str" cm="1">
        <f t="array" aca="1" ref="N16" ca="1">IFERROR(INDEX('통합 점검결과'!$M:$M,MATCH(1,('통합 점검결과'!$B:$B=N$4)*('통합 점검결과'!$J:$J=$B16),0)),"")</f>
        <v/>
      </c>
    </row>
    <row r="17" spans="1:14" ht="16.5" customHeight="1">
      <c r="A17" s="156" t="s">
        <v>754</v>
      </c>
      <c r="B17" s="90" t="s">
        <v>770</v>
      </c>
      <c r="C17" s="86" t="s">
        <v>790</v>
      </c>
      <c r="D17" s="73" t="s">
        <v>309</v>
      </c>
      <c r="E17" s="73">
        <v>5</v>
      </c>
      <c r="F17" s="73">
        <f ca="1">COUNTA($K17:INDIRECT(ADDRESS(ROW(),MATCH("",$4:$4,-1),1,1)))</f>
        <v>2</v>
      </c>
      <c r="G17" s="73">
        <f t="shared" ca="1" si="2"/>
        <v>2</v>
      </c>
      <c r="H17" s="73">
        <f ca="1">COUNTIF($K17:INDIRECT(ADDRESS(ROW(),MATCH("",$4:$4,-1),1,1)),H$5)</f>
        <v>0</v>
      </c>
      <c r="I17" s="73">
        <f ca="1">COUNTIF($K17:INDIRECT(ADDRESS(ROW(),MATCH("",$4:$4,-1),1,1)),I$5)</f>
        <v>0</v>
      </c>
      <c r="J17" s="73">
        <f ca="1">COUNTIF($K17:INDIRECT(ADDRESS(ROW(),MATCH("",$4:$4,-1),1,1)),"N/A")</f>
        <v>0</v>
      </c>
      <c r="K17" s="87"/>
      <c r="L17" s="87" t="str" cm="1">
        <f t="array" aca="1" ref="L17" ca="1">IFERROR(INDEX('통합 점검결과'!$M:$M,MATCH(1,('통합 점검결과'!$B:$B=L$4)*('통합 점검결과'!$J:$J=$B17),0)),"")</f>
        <v/>
      </c>
      <c r="M17" s="88" t="str" cm="1">
        <f t="array" aca="1" ref="M17" ca="1">IFERROR(INDEX('통합 점검결과'!$M:$M,MATCH(1,('통합 점검결과'!$B:$B=M$4)*('통합 점검결과'!$J:$J=$B17),0)),"")</f>
        <v/>
      </c>
      <c r="N17" s="88" t="str" cm="1">
        <f t="array" aca="1" ref="N17" ca="1">IFERROR(INDEX('통합 점검결과'!$M:$M,MATCH(1,('통합 점검결과'!$B:$B=N$4)*('통합 점검결과'!$J:$J=$B17),0)),"")</f>
        <v/>
      </c>
    </row>
    <row r="18" spans="1:14" ht="16.5" customHeight="1">
      <c r="A18" s="156" t="s">
        <v>756</v>
      </c>
      <c r="B18" s="90" t="s">
        <v>771</v>
      </c>
      <c r="C18" s="86" t="s">
        <v>791</v>
      </c>
      <c r="D18" s="73" t="s">
        <v>309</v>
      </c>
      <c r="E18" s="73">
        <v>5</v>
      </c>
      <c r="F18" s="73">
        <f ca="1">COUNTA($K18:INDIRECT(ADDRESS(ROW(),MATCH("",$4:$4,-1),1,1)))</f>
        <v>2</v>
      </c>
      <c r="G18" s="73">
        <f t="shared" ca="1" si="2"/>
        <v>2</v>
      </c>
      <c r="H18" s="73">
        <f ca="1">COUNTIF($K18:INDIRECT(ADDRESS(ROW(),MATCH("",$4:$4,-1),1,1)),H$5)</f>
        <v>0</v>
      </c>
      <c r="I18" s="73">
        <f ca="1">COUNTIF($K18:INDIRECT(ADDRESS(ROW(),MATCH("",$4:$4,-1),1,1)),I$5)</f>
        <v>0</v>
      </c>
      <c r="J18" s="73">
        <f ca="1">COUNTIF($K18:INDIRECT(ADDRESS(ROW(),MATCH("",$4:$4,-1),1,1)),"N/A")</f>
        <v>0</v>
      </c>
      <c r="K18" s="87"/>
      <c r="L18" s="87" t="str" cm="1">
        <f t="array" aca="1" ref="L18" ca="1">IFERROR(INDEX('통합 점검결과'!$M:$M,MATCH(1,('통합 점검결과'!$B:$B=L$4)*('통합 점검결과'!$J:$J=$B18),0)),"")</f>
        <v/>
      </c>
      <c r="M18" s="88" t="str" cm="1">
        <f t="array" aca="1" ref="M18" ca="1">IFERROR(INDEX('통합 점검결과'!$M:$M,MATCH(1,('통합 점검결과'!$B:$B=M$4)*('통합 점검결과'!$J:$J=$B18),0)),"")</f>
        <v/>
      </c>
      <c r="N18" s="88" t="str" cm="1">
        <f t="array" aca="1" ref="N18" ca="1">IFERROR(INDEX('통합 점검결과'!$M:$M,MATCH(1,('통합 점검결과'!$B:$B=N$4)*('통합 점검결과'!$J:$J=$B18),0)),"")</f>
        <v/>
      </c>
    </row>
    <row r="19" spans="1:14" ht="16.5" customHeight="1">
      <c r="A19" s="156" t="s">
        <v>757</v>
      </c>
      <c r="B19" s="90" t="s">
        <v>772</v>
      </c>
      <c r="C19" s="86" t="s">
        <v>792</v>
      </c>
      <c r="D19" s="73" t="s">
        <v>309</v>
      </c>
      <c r="E19" s="73">
        <v>5</v>
      </c>
      <c r="F19" s="73">
        <f ca="1">COUNTA($K19:INDIRECT(ADDRESS(ROW(),MATCH("",$4:$4,-1),1,1)))</f>
        <v>2</v>
      </c>
      <c r="G19" s="73">
        <f t="shared" ca="1" si="2"/>
        <v>2</v>
      </c>
      <c r="H19" s="73">
        <f ca="1">COUNTIF($K19:INDIRECT(ADDRESS(ROW(),MATCH("",$4:$4,-1),1,1)),H$5)</f>
        <v>0</v>
      </c>
      <c r="I19" s="73">
        <f ca="1">COUNTIF($K19:INDIRECT(ADDRESS(ROW(),MATCH("",$4:$4,-1),1,1)),I$5)</f>
        <v>0</v>
      </c>
      <c r="J19" s="73">
        <f ca="1">COUNTIF($K19:INDIRECT(ADDRESS(ROW(),MATCH("",$4:$4,-1),1,1)),"N/A")</f>
        <v>0</v>
      </c>
      <c r="K19" s="87"/>
      <c r="L19" s="87" t="str" cm="1">
        <f t="array" aca="1" ref="L19" ca="1">IFERROR(INDEX('통합 점검결과'!$M:$M,MATCH(1,('통합 점검결과'!$B:$B=L$4)*('통합 점검결과'!$J:$J=$B19),0)),"")</f>
        <v/>
      </c>
      <c r="M19" s="88" t="str" cm="1">
        <f t="array" aca="1" ref="M19" ca="1">IFERROR(INDEX('통합 점검결과'!$M:$M,MATCH(1,('통합 점검결과'!$B:$B=M$4)*('통합 점검결과'!$J:$J=$B19),0)),"")</f>
        <v/>
      </c>
      <c r="N19" s="88" t="str" cm="1">
        <f t="array" aca="1" ref="N19" ca="1">IFERROR(INDEX('통합 점검결과'!$M:$M,MATCH(1,('통합 점검결과'!$B:$B=N$4)*('통합 점검결과'!$J:$J=$B19),0)),"")</f>
        <v/>
      </c>
    </row>
    <row r="20" spans="1:14" ht="16.5" customHeight="1">
      <c r="A20" s="156" t="s">
        <v>754</v>
      </c>
      <c r="B20" s="90" t="s">
        <v>773</v>
      </c>
      <c r="C20" s="86" t="s">
        <v>793</v>
      </c>
      <c r="D20" s="73" t="s">
        <v>309</v>
      </c>
      <c r="E20" s="73">
        <v>5</v>
      </c>
      <c r="F20" s="73">
        <f ca="1">COUNTA($K20:INDIRECT(ADDRESS(ROW(),MATCH("",$4:$4,-1),1,1)))</f>
        <v>2</v>
      </c>
      <c r="G20" s="73">
        <f t="shared" ca="1" si="2"/>
        <v>2</v>
      </c>
      <c r="H20" s="73">
        <f ca="1">COUNTIF($K20:INDIRECT(ADDRESS(ROW(),MATCH("",$4:$4,-1),1,1)),H$5)</f>
        <v>0</v>
      </c>
      <c r="I20" s="73">
        <f ca="1">COUNTIF($K20:INDIRECT(ADDRESS(ROW(),MATCH("",$4:$4,-1),1,1)),I$5)</f>
        <v>0</v>
      </c>
      <c r="J20" s="73">
        <f ca="1">COUNTIF($K20:INDIRECT(ADDRESS(ROW(),MATCH("",$4:$4,-1),1,1)),"N/A")</f>
        <v>0</v>
      </c>
      <c r="K20" s="87"/>
      <c r="L20" s="87" t="str" cm="1">
        <f t="array" aca="1" ref="L20" ca="1">IFERROR(INDEX('통합 점검결과'!$M:$M,MATCH(1,('통합 점검결과'!$B:$B=L$4)*('통합 점검결과'!$J:$J=$B20),0)),"")</f>
        <v/>
      </c>
      <c r="M20" s="88" t="str" cm="1">
        <f t="array" aca="1" ref="M20" ca="1">IFERROR(INDEX('통합 점검결과'!$M:$M,MATCH(1,('통합 점검결과'!$B:$B=M$4)*('통합 점검결과'!$J:$J=$B20),0)),"")</f>
        <v/>
      </c>
      <c r="N20" s="88" t="str" cm="1">
        <f t="array" aca="1" ref="N20" ca="1">IFERROR(INDEX('통합 점검결과'!$M:$M,MATCH(1,('통합 점검결과'!$B:$B=N$4)*('통합 점검결과'!$J:$J=$B20),0)),"")</f>
        <v/>
      </c>
    </row>
    <row r="21" spans="1:14" ht="16.5" customHeight="1">
      <c r="A21" s="156" t="s">
        <v>754</v>
      </c>
      <c r="B21" s="90" t="s">
        <v>774</v>
      </c>
      <c r="C21" s="86" t="s">
        <v>794</v>
      </c>
      <c r="D21" s="73" t="s">
        <v>309</v>
      </c>
      <c r="E21" s="73">
        <v>5</v>
      </c>
      <c r="F21" s="73">
        <f ca="1">COUNTA($K21:INDIRECT(ADDRESS(ROW(),MATCH("",$4:$4,-1),1,1)))</f>
        <v>2</v>
      </c>
      <c r="G21" s="73">
        <f t="shared" ca="1" si="2"/>
        <v>2</v>
      </c>
      <c r="H21" s="73">
        <f ca="1">COUNTIF($K21:INDIRECT(ADDRESS(ROW(),MATCH("",$4:$4,-1),1,1)),H$5)</f>
        <v>0</v>
      </c>
      <c r="I21" s="73">
        <f ca="1">COUNTIF($K21:INDIRECT(ADDRESS(ROW(),MATCH("",$4:$4,-1),1,1)),I$5)</f>
        <v>0</v>
      </c>
      <c r="J21" s="73">
        <f ca="1">COUNTIF($K21:INDIRECT(ADDRESS(ROW(),MATCH("",$4:$4,-1),1,1)),"N/A")</f>
        <v>0</v>
      </c>
      <c r="K21" s="87"/>
      <c r="L21" s="87" t="str" cm="1">
        <f t="array" aca="1" ref="L21" ca="1">IFERROR(INDEX('통합 점검결과'!$M:$M,MATCH(1,('통합 점검결과'!$B:$B=L$4)*('통합 점검결과'!$J:$J=$B21),0)),"")</f>
        <v/>
      </c>
      <c r="M21" s="88" t="str" cm="1">
        <f t="array" aca="1" ref="M21" ca="1">IFERROR(INDEX('통합 점검결과'!$M:$M,MATCH(1,('통합 점검결과'!$B:$B=M$4)*('통합 점검결과'!$J:$J=$B21),0)),"")</f>
        <v/>
      </c>
      <c r="N21" s="88" t="str" cm="1">
        <f t="array" aca="1" ref="N21" ca="1">IFERROR(INDEX('통합 점검결과'!$M:$M,MATCH(1,('통합 점검결과'!$B:$B=N$4)*('통합 점검결과'!$J:$J=$B21),0)),"")</f>
        <v/>
      </c>
    </row>
    <row r="22" spans="1:14" ht="16.5" customHeight="1">
      <c r="A22" s="156" t="s">
        <v>754</v>
      </c>
      <c r="B22" s="90" t="s">
        <v>775</v>
      </c>
      <c r="C22" s="86" t="s">
        <v>795</v>
      </c>
      <c r="D22" s="73" t="s">
        <v>309</v>
      </c>
      <c r="E22" s="73">
        <v>5</v>
      </c>
      <c r="F22" s="73">
        <f ca="1">COUNTA($K22:INDIRECT(ADDRESS(ROW(),MATCH("",$4:$4,-1),1,1)))</f>
        <v>2</v>
      </c>
      <c r="G22" s="73">
        <f t="shared" ca="1" si="2"/>
        <v>2</v>
      </c>
      <c r="H22" s="73">
        <f ca="1">COUNTIF($K22:INDIRECT(ADDRESS(ROW(),MATCH("",$4:$4,-1),1,1)),H$5)</f>
        <v>0</v>
      </c>
      <c r="I22" s="73">
        <f ca="1">COUNTIF($K22:INDIRECT(ADDRESS(ROW(),MATCH("",$4:$4,-1),1,1)),I$5)</f>
        <v>0</v>
      </c>
      <c r="J22" s="73">
        <f ca="1">COUNTIF($K22:INDIRECT(ADDRESS(ROW(),MATCH("",$4:$4,-1),1,1)),"N/A")</f>
        <v>0</v>
      </c>
      <c r="K22" s="87"/>
      <c r="L22" s="87" t="str" cm="1">
        <f t="array" aca="1" ref="L22" ca="1">IFERROR(INDEX('통합 점검결과'!$M:$M,MATCH(1,('통합 점검결과'!$B:$B=L$4)*('통합 점검결과'!$J:$J=$B22),0)),"")</f>
        <v/>
      </c>
      <c r="M22" s="88" t="str" cm="1">
        <f t="array" aca="1" ref="M22" ca="1">IFERROR(INDEX('통합 점검결과'!$M:$M,MATCH(1,('통합 점검결과'!$B:$B=M$4)*('통합 점검결과'!$J:$J=$B22),0)),"")</f>
        <v/>
      </c>
      <c r="N22" s="88" t="str" cm="1">
        <f t="array" aca="1" ref="N22" ca="1">IFERROR(INDEX('통합 점검결과'!$M:$M,MATCH(1,('통합 점검결과'!$B:$B=N$4)*('통합 점검결과'!$J:$J=$B22),0)),"")</f>
        <v/>
      </c>
    </row>
    <row r="23" spans="1:14" ht="16.5" customHeight="1">
      <c r="A23" s="156" t="s">
        <v>756</v>
      </c>
      <c r="B23" s="90" t="s">
        <v>776</v>
      </c>
      <c r="C23" s="86" t="s">
        <v>796</v>
      </c>
      <c r="D23" s="73" t="s">
        <v>309</v>
      </c>
      <c r="E23" s="73">
        <v>5</v>
      </c>
      <c r="F23" s="73">
        <f ca="1">COUNTA($K23:INDIRECT(ADDRESS(ROW(),MATCH("",$4:$4,-1),1,1)))</f>
        <v>2</v>
      </c>
      <c r="G23" s="73">
        <f t="shared" ca="1" si="2"/>
        <v>2</v>
      </c>
      <c r="H23" s="73">
        <f ca="1">COUNTIF($K23:INDIRECT(ADDRESS(ROW(),MATCH("",$4:$4,-1),1,1)),H$5)</f>
        <v>0</v>
      </c>
      <c r="I23" s="73">
        <f ca="1">COUNTIF($K23:INDIRECT(ADDRESS(ROW(),MATCH("",$4:$4,-1),1,1)),I$5)</f>
        <v>0</v>
      </c>
      <c r="J23" s="73">
        <f ca="1">COUNTIF($K23:INDIRECT(ADDRESS(ROW(),MATCH("",$4:$4,-1),1,1)),"N/A")</f>
        <v>0</v>
      </c>
      <c r="K23" s="87"/>
      <c r="L23" s="87" t="str" cm="1">
        <f t="array" aca="1" ref="L23" ca="1">IFERROR(INDEX('통합 점검결과'!$M:$M,MATCH(1,('통합 점검결과'!$B:$B=L$4)*('통합 점검결과'!$J:$J=$B23),0)),"")</f>
        <v/>
      </c>
      <c r="M23" s="88" t="str" cm="1">
        <f t="array" aca="1" ref="M23" ca="1">IFERROR(INDEX('통합 점검결과'!$M:$M,MATCH(1,('통합 점검결과'!$B:$B=M$4)*('통합 점검결과'!$J:$J=$B23),0)),"")</f>
        <v/>
      </c>
      <c r="N23" s="88" t="str" cm="1">
        <f t="array" aca="1" ref="N23" ca="1">IFERROR(INDEX('통합 점검결과'!$M:$M,MATCH(1,('통합 점검결과'!$B:$B=N$4)*('통합 점검결과'!$J:$J=$B23),0)),"")</f>
        <v/>
      </c>
    </row>
    <row r="24" spans="1:14" ht="16.5" customHeight="1">
      <c r="A24" s="156" t="s">
        <v>758</v>
      </c>
      <c r="B24" s="90" t="s">
        <v>777</v>
      </c>
      <c r="C24" s="86" t="s">
        <v>797</v>
      </c>
      <c r="D24" s="73" t="s">
        <v>309</v>
      </c>
      <c r="E24" s="73">
        <v>5</v>
      </c>
      <c r="F24" s="73">
        <f ca="1">COUNTA($K24:INDIRECT(ADDRESS(ROW(),MATCH("",$4:$4,-1),1,1)))</f>
        <v>2</v>
      </c>
      <c r="G24" s="73">
        <f t="shared" ca="1" si="2"/>
        <v>2</v>
      </c>
      <c r="H24" s="73">
        <f ca="1">COUNTIF($K24:INDIRECT(ADDRESS(ROW(),MATCH("",$4:$4,-1),1,1)),H$5)</f>
        <v>0</v>
      </c>
      <c r="I24" s="73">
        <f ca="1">COUNTIF($K24:INDIRECT(ADDRESS(ROW(),MATCH("",$4:$4,-1),1,1)),I$5)</f>
        <v>0</v>
      </c>
      <c r="J24" s="73">
        <f ca="1">COUNTIF($K24:INDIRECT(ADDRESS(ROW(),MATCH("",$4:$4,-1),1,1)),"N/A")</f>
        <v>0</v>
      </c>
      <c r="K24" s="87"/>
      <c r="L24" s="87" t="str" cm="1">
        <f t="array" aca="1" ref="L24" ca="1">IFERROR(INDEX('통합 점검결과'!$M:$M,MATCH(1,('통합 점검결과'!$B:$B=L$4)*('통합 점검결과'!$J:$J=$B24),0)),"")</f>
        <v/>
      </c>
      <c r="M24" s="88" t="str" cm="1">
        <f t="array" aca="1" ref="M24" ca="1">IFERROR(INDEX('통합 점검결과'!$M:$M,MATCH(1,('통합 점검결과'!$B:$B=M$4)*('통합 점검결과'!$J:$J=$B24),0)),"")</f>
        <v/>
      </c>
      <c r="N24" s="88" t="str" cm="1">
        <f t="array" aca="1" ref="N24" ca="1">IFERROR(INDEX('통합 점검결과'!$M:$M,MATCH(1,('통합 점검결과'!$B:$B=N$4)*('통합 점검결과'!$J:$J=$B24),0)),"")</f>
        <v/>
      </c>
    </row>
    <row r="25" spans="1:14" ht="16.5" customHeight="1" thickBot="1">
      <c r="A25" s="156" t="s">
        <v>758</v>
      </c>
      <c r="B25" s="90" t="s">
        <v>778</v>
      </c>
      <c r="C25" s="86" t="s">
        <v>798</v>
      </c>
      <c r="D25" s="73" t="s">
        <v>309</v>
      </c>
      <c r="E25" s="73">
        <v>5</v>
      </c>
      <c r="F25" s="73">
        <f ca="1">COUNTA($K25:INDIRECT(ADDRESS(ROW(),MATCH("",$4:$4,-1),1,1)))</f>
        <v>2</v>
      </c>
      <c r="G25" s="73">
        <f t="shared" ca="1" si="2"/>
        <v>2</v>
      </c>
      <c r="H25" s="73">
        <f ca="1">COUNTIF($K25:INDIRECT(ADDRESS(ROW(),MATCH("",$4:$4,-1),1,1)),H$5)</f>
        <v>0</v>
      </c>
      <c r="I25" s="73">
        <f ca="1">COUNTIF($K25:INDIRECT(ADDRESS(ROW(),MATCH("",$4:$4,-1),1,1)),I$5)</f>
        <v>0</v>
      </c>
      <c r="J25" s="73">
        <f ca="1">COUNTIF($K25:INDIRECT(ADDRESS(ROW(),MATCH("",$4:$4,-1),1,1)),"N/A")</f>
        <v>0</v>
      </c>
      <c r="K25" s="87"/>
      <c r="L25" s="87" t="str" cm="1">
        <f t="array" aca="1" ref="L25" ca="1">IFERROR(INDEX('통합 점검결과'!$M:$M,MATCH(1,('통합 점검결과'!$B:$B=L$4)*('통합 점검결과'!$J:$J=$B25),0)),"")</f>
        <v/>
      </c>
      <c r="M25" s="88" t="str" cm="1">
        <f t="array" aca="1" ref="M25" ca="1">IFERROR(INDEX('통합 점검결과'!$M:$M,MATCH(1,('통합 점검결과'!$B:$B=M$4)*('통합 점검결과'!$J:$J=$B25),0)),"")</f>
        <v/>
      </c>
      <c r="N25" s="88" t="str" cm="1">
        <f t="array" aca="1" ref="N25" ca="1">IFERROR(INDEX('통합 점검결과'!$M:$M,MATCH(1,('통합 점검결과'!$B:$B=N$4)*('통합 점검결과'!$J:$J=$B25),0)),"")</f>
        <v/>
      </c>
    </row>
    <row r="26" spans="1:14" ht="17.25" thickBot="1">
      <c r="A26" s="467" t="s">
        <v>343</v>
      </c>
      <c r="B26" s="468"/>
      <c r="C26" s="468"/>
      <c r="D26" s="468"/>
      <c r="E26" s="101">
        <f t="shared" ref="E26:J26" si="3">SUM(E6:E25)</f>
        <v>90</v>
      </c>
      <c r="F26" s="101">
        <f t="shared" ca="1" si="3"/>
        <v>40</v>
      </c>
      <c r="G26" s="101">
        <f t="shared" ca="1" si="3"/>
        <v>40</v>
      </c>
      <c r="H26" s="101">
        <f t="shared" ca="1" si="3"/>
        <v>0</v>
      </c>
      <c r="I26" s="101">
        <f t="shared" ca="1" si="3"/>
        <v>1</v>
      </c>
      <c r="J26" s="101">
        <f t="shared" ca="1" si="3"/>
        <v>0</v>
      </c>
      <c r="K26" s="102"/>
      <c r="L26" s="102">
        <f ca="1">COUNTIF(L6:L25,"양호")+COUNTIF(L6:L25,"취약")+COUNTIF(L6:L25,"부분만족")+COUNTIF(L6:L25,"N/A")</f>
        <v>1</v>
      </c>
      <c r="M26" s="103">
        <f ca="1">COUNTIF(M6:M25,"양호")+COUNTIF(M6:M25,"취약")+COUNTIF(M6:M25,"부분만족")+COUNTIF(M6:M25,"N/A")</f>
        <v>0</v>
      </c>
      <c r="N26" s="103">
        <f ca="1">COUNTIF(N6:N25,"양호")+COUNTIF(N6:N25,"취약")+COUNTIF(N6:N25,"부분만족")+COUNTIF(N6:N25,"N/A")</f>
        <v>0</v>
      </c>
    </row>
    <row r="27" spans="1:14" ht="17.25" thickBot="1"/>
    <row r="28" spans="1:14">
      <c r="G28" s="455" t="s">
        <v>339</v>
      </c>
      <c r="H28" s="456"/>
      <c r="I28" s="457"/>
      <c r="J28" s="11">
        <f ca="1">SUM(K28:N28)</f>
        <v>0</v>
      </c>
      <c r="K28" s="22"/>
      <c r="L28" s="12">
        <f ca="1">COUNTIF(L$6:L$25,$G$28)</f>
        <v>0</v>
      </c>
      <c r="M28" s="12">
        <f ca="1">COUNTIF(M$6:M$25,$G$28)</f>
        <v>0</v>
      </c>
      <c r="N28" s="12">
        <f ca="1">COUNTIF(N$6:N$25,$G$28)</f>
        <v>0</v>
      </c>
    </row>
    <row r="29" spans="1:14">
      <c r="G29" s="458" t="s">
        <v>340</v>
      </c>
      <c r="H29" s="459"/>
      <c r="I29" s="460"/>
      <c r="J29" s="13">
        <f ca="1">SUM(K29:N29)</f>
        <v>1</v>
      </c>
      <c r="K29" s="23"/>
      <c r="L29" s="14">
        <f ca="1">COUNTIF(L$6:L$25,$G$29)</f>
        <v>1</v>
      </c>
      <c r="M29" s="14">
        <f ca="1">COUNTIF(M$6:M$25,$G$29)</f>
        <v>0</v>
      </c>
      <c r="N29" s="14">
        <f ca="1">COUNTIF(N$6:N$25,$G$29)</f>
        <v>0</v>
      </c>
    </row>
    <row r="30" spans="1:14" ht="17.25" thickBot="1">
      <c r="G30" s="461" t="s">
        <v>344</v>
      </c>
      <c r="H30" s="462"/>
      <c r="I30" s="463"/>
      <c r="J30" s="15">
        <f ca="1">SUM(K30:N30)</f>
        <v>0</v>
      </c>
      <c r="K30" s="24"/>
      <c r="L30" s="16">
        <f ca="1">COUNTIF(L$6:L$25,$G$30)</f>
        <v>0</v>
      </c>
      <c r="M30" s="16">
        <f ca="1">COUNTIF(M$6:M$25,$G$30)</f>
        <v>0</v>
      </c>
      <c r="N30" s="16">
        <f ca="1">COUNTIF(N$6:N$25,$G$30)</f>
        <v>0</v>
      </c>
    </row>
    <row r="31" spans="1:14" ht="17.25" thickBot="1"/>
    <row r="32" spans="1:14" ht="16.5" customHeight="1">
      <c r="H32" s="464" t="s">
        <v>280</v>
      </c>
      <c r="I32" s="158" t="s">
        <v>339</v>
      </c>
      <c r="J32" s="11">
        <f t="shared" ref="J32:J40" ca="1" si="4">SUM(K32:N32)</f>
        <v>0</v>
      </c>
      <c r="K32" s="32"/>
      <c r="L32" s="32">
        <f t="shared" ref="L32:N34" ca="1" si="5">COUNTIFS($D$6:$D$25,$H$32,L$6:L$25,$I32)</f>
        <v>0</v>
      </c>
      <c r="M32" s="32">
        <f t="shared" ca="1" si="5"/>
        <v>0</v>
      </c>
      <c r="N32" s="32">
        <f t="shared" ca="1" si="5"/>
        <v>0</v>
      </c>
    </row>
    <row r="33" spans="8:14" ht="16.5" customHeight="1">
      <c r="H33" s="465"/>
      <c r="I33" s="159" t="s">
        <v>271</v>
      </c>
      <c r="J33" s="13">
        <f t="shared" ca="1" si="4"/>
        <v>1</v>
      </c>
      <c r="K33" s="18"/>
      <c r="L33" s="18">
        <f t="shared" ca="1" si="5"/>
        <v>1</v>
      </c>
      <c r="M33" s="18">
        <f t="shared" ca="1" si="5"/>
        <v>0</v>
      </c>
      <c r="N33" s="18">
        <f t="shared" ca="1" si="5"/>
        <v>0</v>
      </c>
    </row>
    <row r="34" spans="8:14" ht="16.5" customHeight="1" thickBot="1">
      <c r="H34" s="466"/>
      <c r="I34" s="160" t="s">
        <v>345</v>
      </c>
      <c r="J34" s="15">
        <f t="shared" ca="1" si="4"/>
        <v>0</v>
      </c>
      <c r="K34" s="33"/>
      <c r="L34" s="33">
        <f t="shared" ca="1" si="5"/>
        <v>0</v>
      </c>
      <c r="M34" s="33">
        <f t="shared" ca="1" si="5"/>
        <v>0</v>
      </c>
      <c r="N34" s="33">
        <f t="shared" ca="1" si="5"/>
        <v>0</v>
      </c>
    </row>
    <row r="35" spans="8:14" ht="16.5" customHeight="1" thickBot="1">
      <c r="H35" s="454" t="s">
        <v>281</v>
      </c>
      <c r="I35" s="158" t="s">
        <v>339</v>
      </c>
      <c r="J35" s="11">
        <f t="shared" ca="1" si="4"/>
        <v>0</v>
      </c>
      <c r="K35" s="32"/>
      <c r="L35" s="32">
        <f t="shared" ref="L35:N37" ca="1" si="6">COUNTIFS($D$6:$D$25,$H$35,L$6:L$25,$I35)</f>
        <v>0</v>
      </c>
      <c r="M35" s="32">
        <f t="shared" ca="1" si="6"/>
        <v>0</v>
      </c>
      <c r="N35" s="32">
        <f t="shared" ca="1" si="6"/>
        <v>0</v>
      </c>
    </row>
    <row r="36" spans="8:14" ht="16.5" customHeight="1" thickBot="1">
      <c r="H36" s="454"/>
      <c r="I36" s="159" t="s">
        <v>271</v>
      </c>
      <c r="J36" s="13">
        <f t="shared" ca="1" si="4"/>
        <v>0</v>
      </c>
      <c r="K36" s="18"/>
      <c r="L36" s="18">
        <f t="shared" ca="1" si="6"/>
        <v>0</v>
      </c>
      <c r="M36" s="18">
        <f t="shared" ca="1" si="6"/>
        <v>0</v>
      </c>
      <c r="N36" s="18">
        <f t="shared" ca="1" si="6"/>
        <v>0</v>
      </c>
    </row>
    <row r="37" spans="8:14" ht="16.5" customHeight="1" thickBot="1">
      <c r="H37" s="454"/>
      <c r="I37" s="160" t="s">
        <v>345</v>
      </c>
      <c r="J37" s="15">
        <f t="shared" ca="1" si="4"/>
        <v>0</v>
      </c>
      <c r="K37" s="33"/>
      <c r="L37" s="33">
        <f t="shared" ca="1" si="6"/>
        <v>0</v>
      </c>
      <c r="M37" s="33">
        <f t="shared" ca="1" si="6"/>
        <v>0</v>
      </c>
      <c r="N37" s="33">
        <f t="shared" ca="1" si="6"/>
        <v>0</v>
      </c>
    </row>
    <row r="38" spans="8:14" ht="16.5" customHeight="1" thickBot="1">
      <c r="H38" s="454" t="s">
        <v>282</v>
      </c>
      <c r="I38" s="158" t="s">
        <v>339</v>
      </c>
      <c r="J38" s="11">
        <f t="shared" si="4"/>
        <v>0</v>
      </c>
      <c r="K38" s="32"/>
      <c r="L38" s="32">
        <f t="shared" ref="L38:N40" si="7">COUNTIFS($D$6:$D$25,$H$38,L$6:L$25,$I38)</f>
        <v>0</v>
      </c>
      <c r="M38" s="32">
        <f t="shared" si="7"/>
        <v>0</v>
      </c>
      <c r="N38" s="32">
        <f t="shared" si="7"/>
        <v>0</v>
      </c>
    </row>
    <row r="39" spans="8:14" ht="16.5" customHeight="1" thickBot="1">
      <c r="H39" s="454"/>
      <c r="I39" s="159" t="s">
        <v>271</v>
      </c>
      <c r="J39" s="13">
        <f t="shared" si="4"/>
        <v>0</v>
      </c>
      <c r="K39" s="18"/>
      <c r="L39" s="18">
        <f t="shared" si="7"/>
        <v>0</v>
      </c>
      <c r="M39" s="18">
        <f t="shared" si="7"/>
        <v>0</v>
      </c>
      <c r="N39" s="18">
        <f t="shared" si="7"/>
        <v>0</v>
      </c>
    </row>
    <row r="40" spans="8:14" ht="16.5" customHeight="1" thickBot="1">
      <c r="H40" s="454"/>
      <c r="I40" s="160" t="s">
        <v>345</v>
      </c>
      <c r="J40" s="15">
        <f t="shared" si="4"/>
        <v>0</v>
      </c>
      <c r="K40" s="33"/>
      <c r="L40" s="33">
        <f t="shared" si="7"/>
        <v>0</v>
      </c>
      <c r="M40" s="33">
        <f t="shared" si="7"/>
        <v>0</v>
      </c>
      <c r="N40" s="33">
        <f t="shared" si="7"/>
        <v>0</v>
      </c>
    </row>
    <row r="41" spans="8:14" ht="16.5" customHeight="1"/>
    <row r="42" spans="8:14" ht="16.5" customHeight="1"/>
    <row r="43" spans="8:14" ht="16.5" customHeight="1"/>
    <row r="44" spans="8:14" ht="16.5" customHeight="1"/>
    <row r="45" spans="8:14" ht="16.5" customHeight="1"/>
    <row r="46" spans="8:14" ht="16.5" customHeight="1"/>
    <row r="47" spans="8:14" ht="16.5" customHeight="1"/>
    <row r="48" spans="8:14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</sheetData>
  <mergeCells count="16">
    <mergeCell ref="A26:D26"/>
    <mergeCell ref="O4:O5"/>
    <mergeCell ref="N4:N5"/>
    <mergeCell ref="L4:L5"/>
    <mergeCell ref="A4:C4"/>
    <mergeCell ref="D4:D5"/>
    <mergeCell ref="E4:E5"/>
    <mergeCell ref="F4:J4"/>
    <mergeCell ref="K4:K5"/>
    <mergeCell ref="M4:M5"/>
    <mergeCell ref="H38:H40"/>
    <mergeCell ref="G28:I28"/>
    <mergeCell ref="G29:I29"/>
    <mergeCell ref="G30:I30"/>
    <mergeCell ref="H32:H34"/>
    <mergeCell ref="H35:H37"/>
  </mergeCells>
  <phoneticPr fontId="1" type="noConversion"/>
  <conditionalFormatting sqref="K6:N25">
    <cfRule type="cellIs" dxfId="34" priority="1" operator="equal">
      <formula>"인터뷰"</formula>
    </cfRule>
    <cfRule type="cellIs" dxfId="33" priority="23" stopIfTrue="1" operator="equal">
      <formula>"취약"</formula>
    </cfRule>
    <cfRule type="cellIs" dxfId="32" priority="24" stopIfTrue="1" operator="equal">
      <formula>"부분만족"</formula>
    </cfRule>
    <cfRule type="cellIs" dxfId="31" priority="25" stopIfTrue="1" operator="equal">
      <formula>"N/A"</formula>
    </cfRule>
  </conditionalFormatting>
  <pageMargins left="0.7" right="0.7" top="0.75" bottom="0.75" header="0.3" footer="0.3"/>
  <pageSetup paperSize="9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7030A0"/>
    <pageSetUpPr fitToPage="1"/>
  </sheetPr>
  <dimension ref="A1:D65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4" width="125" style="8" customWidth="1"/>
    <col min="5" max="254" width="9" style="8"/>
    <col min="255" max="255" width="2.625" style="8" customWidth="1"/>
    <col min="256" max="256" width="9.25" style="8" bestFit="1" customWidth="1"/>
    <col min="257" max="257" width="9" style="8"/>
    <col min="258" max="258" width="40.5" style="8" customWidth="1"/>
    <col min="259" max="259" width="125" style="8" customWidth="1"/>
    <col min="260" max="260" width="2.625" style="8" customWidth="1"/>
    <col min="261" max="510" width="9" style="8"/>
    <col min="511" max="511" width="2.625" style="8" customWidth="1"/>
    <col min="512" max="512" width="9.25" style="8" bestFit="1" customWidth="1"/>
    <col min="513" max="513" width="9" style="8"/>
    <col min="514" max="514" width="40.5" style="8" customWidth="1"/>
    <col min="515" max="515" width="125" style="8" customWidth="1"/>
    <col min="516" max="516" width="2.625" style="8" customWidth="1"/>
    <col min="517" max="766" width="9" style="8"/>
    <col min="767" max="767" width="2.625" style="8" customWidth="1"/>
    <col min="768" max="768" width="9.25" style="8" bestFit="1" customWidth="1"/>
    <col min="769" max="769" width="9" style="8"/>
    <col min="770" max="770" width="40.5" style="8" customWidth="1"/>
    <col min="771" max="771" width="125" style="8" customWidth="1"/>
    <col min="772" max="772" width="2.625" style="8" customWidth="1"/>
    <col min="773" max="1022" width="9" style="8"/>
    <col min="1023" max="1023" width="2.625" style="8" customWidth="1"/>
    <col min="1024" max="1024" width="9.25" style="8" bestFit="1" customWidth="1"/>
    <col min="1025" max="1025" width="9" style="8"/>
    <col min="1026" max="1026" width="40.5" style="8" customWidth="1"/>
    <col min="1027" max="1027" width="125" style="8" customWidth="1"/>
    <col min="1028" max="1028" width="2.625" style="8" customWidth="1"/>
    <col min="1029" max="1278" width="9" style="8"/>
    <col min="1279" max="1279" width="2.625" style="8" customWidth="1"/>
    <col min="1280" max="1280" width="9.25" style="8" bestFit="1" customWidth="1"/>
    <col min="1281" max="1281" width="9" style="8"/>
    <col min="1282" max="1282" width="40.5" style="8" customWidth="1"/>
    <col min="1283" max="1283" width="125" style="8" customWidth="1"/>
    <col min="1284" max="1284" width="2.625" style="8" customWidth="1"/>
    <col min="1285" max="1534" width="9" style="8"/>
    <col min="1535" max="1535" width="2.625" style="8" customWidth="1"/>
    <col min="1536" max="1536" width="9.25" style="8" bestFit="1" customWidth="1"/>
    <col min="1537" max="1537" width="9" style="8"/>
    <col min="1538" max="1538" width="40.5" style="8" customWidth="1"/>
    <col min="1539" max="1539" width="125" style="8" customWidth="1"/>
    <col min="1540" max="1540" width="2.625" style="8" customWidth="1"/>
    <col min="1541" max="1790" width="9" style="8"/>
    <col min="1791" max="1791" width="2.625" style="8" customWidth="1"/>
    <col min="1792" max="1792" width="9.25" style="8" bestFit="1" customWidth="1"/>
    <col min="1793" max="1793" width="9" style="8"/>
    <col min="1794" max="1794" width="40.5" style="8" customWidth="1"/>
    <col min="1795" max="1795" width="125" style="8" customWidth="1"/>
    <col min="1796" max="1796" width="2.625" style="8" customWidth="1"/>
    <col min="1797" max="2046" width="9" style="8"/>
    <col min="2047" max="2047" width="2.625" style="8" customWidth="1"/>
    <col min="2048" max="2048" width="9.25" style="8" bestFit="1" customWidth="1"/>
    <col min="2049" max="2049" width="9" style="8"/>
    <col min="2050" max="2050" width="40.5" style="8" customWidth="1"/>
    <col min="2051" max="2051" width="125" style="8" customWidth="1"/>
    <col min="2052" max="2052" width="2.625" style="8" customWidth="1"/>
    <col min="2053" max="2302" width="9" style="8"/>
    <col min="2303" max="2303" width="2.625" style="8" customWidth="1"/>
    <col min="2304" max="2304" width="9.25" style="8" bestFit="1" customWidth="1"/>
    <col min="2305" max="2305" width="9" style="8"/>
    <col min="2306" max="2306" width="40.5" style="8" customWidth="1"/>
    <col min="2307" max="2307" width="125" style="8" customWidth="1"/>
    <col min="2308" max="2308" width="2.625" style="8" customWidth="1"/>
    <col min="2309" max="2558" width="9" style="8"/>
    <col min="2559" max="2559" width="2.625" style="8" customWidth="1"/>
    <col min="2560" max="2560" width="9.25" style="8" bestFit="1" customWidth="1"/>
    <col min="2561" max="2561" width="9" style="8"/>
    <col min="2562" max="2562" width="40.5" style="8" customWidth="1"/>
    <col min="2563" max="2563" width="125" style="8" customWidth="1"/>
    <col min="2564" max="2564" width="2.625" style="8" customWidth="1"/>
    <col min="2565" max="2814" width="9" style="8"/>
    <col min="2815" max="2815" width="2.625" style="8" customWidth="1"/>
    <col min="2816" max="2816" width="9.25" style="8" bestFit="1" customWidth="1"/>
    <col min="2817" max="2817" width="9" style="8"/>
    <col min="2818" max="2818" width="40.5" style="8" customWidth="1"/>
    <col min="2819" max="2819" width="125" style="8" customWidth="1"/>
    <col min="2820" max="2820" width="2.625" style="8" customWidth="1"/>
    <col min="2821" max="3070" width="9" style="8"/>
    <col min="3071" max="3071" width="2.625" style="8" customWidth="1"/>
    <col min="3072" max="3072" width="9.25" style="8" bestFit="1" customWidth="1"/>
    <col min="3073" max="3073" width="9" style="8"/>
    <col min="3074" max="3074" width="40.5" style="8" customWidth="1"/>
    <col min="3075" max="3075" width="125" style="8" customWidth="1"/>
    <col min="3076" max="3076" width="2.625" style="8" customWidth="1"/>
    <col min="3077" max="3326" width="9" style="8"/>
    <col min="3327" max="3327" width="2.625" style="8" customWidth="1"/>
    <col min="3328" max="3328" width="9.25" style="8" bestFit="1" customWidth="1"/>
    <col min="3329" max="3329" width="9" style="8"/>
    <col min="3330" max="3330" width="40.5" style="8" customWidth="1"/>
    <col min="3331" max="3331" width="125" style="8" customWidth="1"/>
    <col min="3332" max="3332" width="2.625" style="8" customWidth="1"/>
    <col min="3333" max="3582" width="9" style="8"/>
    <col min="3583" max="3583" width="2.625" style="8" customWidth="1"/>
    <col min="3584" max="3584" width="9.25" style="8" bestFit="1" customWidth="1"/>
    <col min="3585" max="3585" width="9" style="8"/>
    <col min="3586" max="3586" width="40.5" style="8" customWidth="1"/>
    <col min="3587" max="3587" width="125" style="8" customWidth="1"/>
    <col min="3588" max="3588" width="2.625" style="8" customWidth="1"/>
    <col min="3589" max="3838" width="9" style="8"/>
    <col min="3839" max="3839" width="2.625" style="8" customWidth="1"/>
    <col min="3840" max="3840" width="9.25" style="8" bestFit="1" customWidth="1"/>
    <col min="3841" max="3841" width="9" style="8"/>
    <col min="3842" max="3842" width="40.5" style="8" customWidth="1"/>
    <col min="3843" max="3843" width="125" style="8" customWidth="1"/>
    <col min="3844" max="3844" width="2.625" style="8" customWidth="1"/>
    <col min="3845" max="4094" width="9" style="8"/>
    <col min="4095" max="4095" width="2.625" style="8" customWidth="1"/>
    <col min="4096" max="4096" width="9.25" style="8" bestFit="1" customWidth="1"/>
    <col min="4097" max="4097" width="9" style="8"/>
    <col min="4098" max="4098" width="40.5" style="8" customWidth="1"/>
    <col min="4099" max="4099" width="125" style="8" customWidth="1"/>
    <col min="4100" max="4100" width="2.625" style="8" customWidth="1"/>
    <col min="4101" max="4350" width="9" style="8"/>
    <col min="4351" max="4351" width="2.625" style="8" customWidth="1"/>
    <col min="4352" max="4352" width="9.25" style="8" bestFit="1" customWidth="1"/>
    <col min="4353" max="4353" width="9" style="8"/>
    <col min="4354" max="4354" width="40.5" style="8" customWidth="1"/>
    <col min="4355" max="4355" width="125" style="8" customWidth="1"/>
    <col min="4356" max="4356" width="2.625" style="8" customWidth="1"/>
    <col min="4357" max="4606" width="9" style="8"/>
    <col min="4607" max="4607" width="2.625" style="8" customWidth="1"/>
    <col min="4608" max="4608" width="9.25" style="8" bestFit="1" customWidth="1"/>
    <col min="4609" max="4609" width="9" style="8"/>
    <col min="4610" max="4610" width="40.5" style="8" customWidth="1"/>
    <col min="4611" max="4611" width="125" style="8" customWidth="1"/>
    <col min="4612" max="4612" width="2.625" style="8" customWidth="1"/>
    <col min="4613" max="4862" width="9" style="8"/>
    <col min="4863" max="4863" width="2.625" style="8" customWidth="1"/>
    <col min="4864" max="4864" width="9.25" style="8" bestFit="1" customWidth="1"/>
    <col min="4865" max="4865" width="9" style="8"/>
    <col min="4866" max="4866" width="40.5" style="8" customWidth="1"/>
    <col min="4867" max="4867" width="125" style="8" customWidth="1"/>
    <col min="4868" max="4868" width="2.625" style="8" customWidth="1"/>
    <col min="4869" max="5118" width="9" style="8"/>
    <col min="5119" max="5119" width="2.625" style="8" customWidth="1"/>
    <col min="5120" max="5120" width="9.25" style="8" bestFit="1" customWidth="1"/>
    <col min="5121" max="5121" width="9" style="8"/>
    <col min="5122" max="5122" width="40.5" style="8" customWidth="1"/>
    <col min="5123" max="5123" width="125" style="8" customWidth="1"/>
    <col min="5124" max="5124" width="2.625" style="8" customWidth="1"/>
    <col min="5125" max="5374" width="9" style="8"/>
    <col min="5375" max="5375" width="2.625" style="8" customWidth="1"/>
    <col min="5376" max="5376" width="9.25" style="8" bestFit="1" customWidth="1"/>
    <col min="5377" max="5377" width="9" style="8"/>
    <col min="5378" max="5378" width="40.5" style="8" customWidth="1"/>
    <col min="5379" max="5379" width="125" style="8" customWidth="1"/>
    <col min="5380" max="5380" width="2.625" style="8" customWidth="1"/>
    <col min="5381" max="5630" width="9" style="8"/>
    <col min="5631" max="5631" width="2.625" style="8" customWidth="1"/>
    <col min="5632" max="5632" width="9.25" style="8" bestFit="1" customWidth="1"/>
    <col min="5633" max="5633" width="9" style="8"/>
    <col min="5634" max="5634" width="40.5" style="8" customWidth="1"/>
    <col min="5635" max="5635" width="125" style="8" customWidth="1"/>
    <col min="5636" max="5636" width="2.625" style="8" customWidth="1"/>
    <col min="5637" max="5886" width="9" style="8"/>
    <col min="5887" max="5887" width="2.625" style="8" customWidth="1"/>
    <col min="5888" max="5888" width="9.25" style="8" bestFit="1" customWidth="1"/>
    <col min="5889" max="5889" width="9" style="8"/>
    <col min="5890" max="5890" width="40.5" style="8" customWidth="1"/>
    <col min="5891" max="5891" width="125" style="8" customWidth="1"/>
    <col min="5892" max="5892" width="2.625" style="8" customWidth="1"/>
    <col min="5893" max="6142" width="9" style="8"/>
    <col min="6143" max="6143" width="2.625" style="8" customWidth="1"/>
    <col min="6144" max="6144" width="9.25" style="8" bestFit="1" customWidth="1"/>
    <col min="6145" max="6145" width="9" style="8"/>
    <col min="6146" max="6146" width="40.5" style="8" customWidth="1"/>
    <col min="6147" max="6147" width="125" style="8" customWidth="1"/>
    <col min="6148" max="6148" width="2.625" style="8" customWidth="1"/>
    <col min="6149" max="6398" width="9" style="8"/>
    <col min="6399" max="6399" width="2.625" style="8" customWidth="1"/>
    <col min="6400" max="6400" width="9.25" style="8" bestFit="1" customWidth="1"/>
    <col min="6401" max="6401" width="9" style="8"/>
    <col min="6402" max="6402" width="40.5" style="8" customWidth="1"/>
    <col min="6403" max="6403" width="125" style="8" customWidth="1"/>
    <col min="6404" max="6404" width="2.625" style="8" customWidth="1"/>
    <col min="6405" max="6654" width="9" style="8"/>
    <col min="6655" max="6655" width="2.625" style="8" customWidth="1"/>
    <col min="6656" max="6656" width="9.25" style="8" bestFit="1" customWidth="1"/>
    <col min="6657" max="6657" width="9" style="8"/>
    <col min="6658" max="6658" width="40.5" style="8" customWidth="1"/>
    <col min="6659" max="6659" width="125" style="8" customWidth="1"/>
    <col min="6660" max="6660" width="2.625" style="8" customWidth="1"/>
    <col min="6661" max="6910" width="9" style="8"/>
    <col min="6911" max="6911" width="2.625" style="8" customWidth="1"/>
    <col min="6912" max="6912" width="9.25" style="8" bestFit="1" customWidth="1"/>
    <col min="6913" max="6913" width="9" style="8"/>
    <col min="6914" max="6914" width="40.5" style="8" customWidth="1"/>
    <col min="6915" max="6915" width="125" style="8" customWidth="1"/>
    <col min="6916" max="6916" width="2.625" style="8" customWidth="1"/>
    <col min="6917" max="7166" width="9" style="8"/>
    <col min="7167" max="7167" width="2.625" style="8" customWidth="1"/>
    <col min="7168" max="7168" width="9.25" style="8" bestFit="1" customWidth="1"/>
    <col min="7169" max="7169" width="9" style="8"/>
    <col min="7170" max="7170" width="40.5" style="8" customWidth="1"/>
    <col min="7171" max="7171" width="125" style="8" customWidth="1"/>
    <col min="7172" max="7172" width="2.625" style="8" customWidth="1"/>
    <col min="7173" max="7422" width="9" style="8"/>
    <col min="7423" max="7423" width="2.625" style="8" customWidth="1"/>
    <col min="7424" max="7424" width="9.25" style="8" bestFit="1" customWidth="1"/>
    <col min="7425" max="7425" width="9" style="8"/>
    <col min="7426" max="7426" width="40.5" style="8" customWidth="1"/>
    <col min="7427" max="7427" width="125" style="8" customWidth="1"/>
    <col min="7428" max="7428" width="2.625" style="8" customWidth="1"/>
    <col min="7429" max="7678" width="9" style="8"/>
    <col min="7679" max="7679" width="2.625" style="8" customWidth="1"/>
    <col min="7680" max="7680" width="9.25" style="8" bestFit="1" customWidth="1"/>
    <col min="7681" max="7681" width="9" style="8"/>
    <col min="7682" max="7682" width="40.5" style="8" customWidth="1"/>
    <col min="7683" max="7683" width="125" style="8" customWidth="1"/>
    <col min="7684" max="7684" width="2.625" style="8" customWidth="1"/>
    <col min="7685" max="7934" width="9" style="8"/>
    <col min="7935" max="7935" width="2.625" style="8" customWidth="1"/>
    <col min="7936" max="7936" width="9.25" style="8" bestFit="1" customWidth="1"/>
    <col min="7937" max="7937" width="9" style="8"/>
    <col min="7938" max="7938" width="40.5" style="8" customWidth="1"/>
    <col min="7939" max="7939" width="125" style="8" customWidth="1"/>
    <col min="7940" max="7940" width="2.625" style="8" customWidth="1"/>
    <col min="7941" max="8190" width="9" style="8"/>
    <col min="8191" max="8191" width="2.625" style="8" customWidth="1"/>
    <col min="8192" max="8192" width="9.25" style="8" bestFit="1" customWidth="1"/>
    <col min="8193" max="8193" width="9" style="8"/>
    <col min="8194" max="8194" width="40.5" style="8" customWidth="1"/>
    <col min="8195" max="8195" width="125" style="8" customWidth="1"/>
    <col min="8196" max="8196" width="2.625" style="8" customWidth="1"/>
    <col min="8197" max="8446" width="9" style="8"/>
    <col min="8447" max="8447" width="2.625" style="8" customWidth="1"/>
    <col min="8448" max="8448" width="9.25" style="8" bestFit="1" customWidth="1"/>
    <col min="8449" max="8449" width="9" style="8"/>
    <col min="8450" max="8450" width="40.5" style="8" customWidth="1"/>
    <col min="8451" max="8451" width="125" style="8" customWidth="1"/>
    <col min="8452" max="8452" width="2.625" style="8" customWidth="1"/>
    <col min="8453" max="8702" width="9" style="8"/>
    <col min="8703" max="8703" width="2.625" style="8" customWidth="1"/>
    <col min="8704" max="8704" width="9.25" style="8" bestFit="1" customWidth="1"/>
    <col min="8705" max="8705" width="9" style="8"/>
    <col min="8706" max="8706" width="40.5" style="8" customWidth="1"/>
    <col min="8707" max="8707" width="125" style="8" customWidth="1"/>
    <col min="8708" max="8708" width="2.625" style="8" customWidth="1"/>
    <col min="8709" max="8958" width="9" style="8"/>
    <col min="8959" max="8959" width="2.625" style="8" customWidth="1"/>
    <col min="8960" max="8960" width="9.25" style="8" bestFit="1" customWidth="1"/>
    <col min="8961" max="8961" width="9" style="8"/>
    <col min="8962" max="8962" width="40.5" style="8" customWidth="1"/>
    <col min="8963" max="8963" width="125" style="8" customWidth="1"/>
    <col min="8964" max="8964" width="2.625" style="8" customWidth="1"/>
    <col min="8965" max="9214" width="9" style="8"/>
    <col min="9215" max="9215" width="2.625" style="8" customWidth="1"/>
    <col min="9216" max="9216" width="9.25" style="8" bestFit="1" customWidth="1"/>
    <col min="9217" max="9217" width="9" style="8"/>
    <col min="9218" max="9218" width="40.5" style="8" customWidth="1"/>
    <col min="9219" max="9219" width="125" style="8" customWidth="1"/>
    <col min="9220" max="9220" width="2.625" style="8" customWidth="1"/>
    <col min="9221" max="9470" width="9" style="8"/>
    <col min="9471" max="9471" width="2.625" style="8" customWidth="1"/>
    <col min="9472" max="9472" width="9.25" style="8" bestFit="1" customWidth="1"/>
    <col min="9473" max="9473" width="9" style="8"/>
    <col min="9474" max="9474" width="40.5" style="8" customWidth="1"/>
    <col min="9475" max="9475" width="125" style="8" customWidth="1"/>
    <col min="9476" max="9476" width="2.625" style="8" customWidth="1"/>
    <col min="9477" max="9726" width="9" style="8"/>
    <col min="9727" max="9727" width="2.625" style="8" customWidth="1"/>
    <col min="9728" max="9728" width="9.25" style="8" bestFit="1" customWidth="1"/>
    <col min="9729" max="9729" width="9" style="8"/>
    <col min="9730" max="9730" width="40.5" style="8" customWidth="1"/>
    <col min="9731" max="9731" width="125" style="8" customWidth="1"/>
    <col min="9732" max="9732" width="2.625" style="8" customWidth="1"/>
    <col min="9733" max="9982" width="9" style="8"/>
    <col min="9983" max="9983" width="2.625" style="8" customWidth="1"/>
    <col min="9984" max="9984" width="9.25" style="8" bestFit="1" customWidth="1"/>
    <col min="9985" max="9985" width="9" style="8"/>
    <col min="9986" max="9986" width="40.5" style="8" customWidth="1"/>
    <col min="9987" max="9987" width="125" style="8" customWidth="1"/>
    <col min="9988" max="9988" width="2.625" style="8" customWidth="1"/>
    <col min="9989" max="10238" width="9" style="8"/>
    <col min="10239" max="10239" width="2.625" style="8" customWidth="1"/>
    <col min="10240" max="10240" width="9.25" style="8" bestFit="1" customWidth="1"/>
    <col min="10241" max="10241" width="9" style="8"/>
    <col min="10242" max="10242" width="40.5" style="8" customWidth="1"/>
    <col min="10243" max="10243" width="125" style="8" customWidth="1"/>
    <col min="10244" max="10244" width="2.625" style="8" customWidth="1"/>
    <col min="10245" max="10494" width="9" style="8"/>
    <col min="10495" max="10495" width="2.625" style="8" customWidth="1"/>
    <col min="10496" max="10496" width="9.25" style="8" bestFit="1" customWidth="1"/>
    <col min="10497" max="10497" width="9" style="8"/>
    <col min="10498" max="10498" width="40.5" style="8" customWidth="1"/>
    <col min="10499" max="10499" width="125" style="8" customWidth="1"/>
    <col min="10500" max="10500" width="2.625" style="8" customWidth="1"/>
    <col min="10501" max="10750" width="9" style="8"/>
    <col min="10751" max="10751" width="2.625" style="8" customWidth="1"/>
    <col min="10752" max="10752" width="9.25" style="8" bestFit="1" customWidth="1"/>
    <col min="10753" max="10753" width="9" style="8"/>
    <col min="10754" max="10754" width="40.5" style="8" customWidth="1"/>
    <col min="10755" max="10755" width="125" style="8" customWidth="1"/>
    <col min="10756" max="10756" width="2.625" style="8" customWidth="1"/>
    <col min="10757" max="11006" width="9" style="8"/>
    <col min="11007" max="11007" width="2.625" style="8" customWidth="1"/>
    <col min="11008" max="11008" width="9.25" style="8" bestFit="1" customWidth="1"/>
    <col min="11009" max="11009" width="9" style="8"/>
    <col min="11010" max="11010" width="40.5" style="8" customWidth="1"/>
    <col min="11011" max="11011" width="125" style="8" customWidth="1"/>
    <col min="11012" max="11012" width="2.625" style="8" customWidth="1"/>
    <col min="11013" max="11262" width="9" style="8"/>
    <col min="11263" max="11263" width="2.625" style="8" customWidth="1"/>
    <col min="11264" max="11264" width="9.25" style="8" bestFit="1" customWidth="1"/>
    <col min="11265" max="11265" width="9" style="8"/>
    <col min="11266" max="11266" width="40.5" style="8" customWidth="1"/>
    <col min="11267" max="11267" width="125" style="8" customWidth="1"/>
    <col min="11268" max="11268" width="2.625" style="8" customWidth="1"/>
    <col min="11269" max="11518" width="9" style="8"/>
    <col min="11519" max="11519" width="2.625" style="8" customWidth="1"/>
    <col min="11520" max="11520" width="9.25" style="8" bestFit="1" customWidth="1"/>
    <col min="11521" max="11521" width="9" style="8"/>
    <col min="11522" max="11522" width="40.5" style="8" customWidth="1"/>
    <col min="11523" max="11523" width="125" style="8" customWidth="1"/>
    <col min="11524" max="11524" width="2.625" style="8" customWidth="1"/>
    <col min="11525" max="11774" width="9" style="8"/>
    <col min="11775" max="11775" width="2.625" style="8" customWidth="1"/>
    <col min="11776" max="11776" width="9.25" style="8" bestFit="1" customWidth="1"/>
    <col min="11777" max="11777" width="9" style="8"/>
    <col min="11778" max="11778" width="40.5" style="8" customWidth="1"/>
    <col min="11779" max="11779" width="125" style="8" customWidth="1"/>
    <col min="11780" max="11780" width="2.625" style="8" customWidth="1"/>
    <col min="11781" max="12030" width="9" style="8"/>
    <col min="12031" max="12031" width="2.625" style="8" customWidth="1"/>
    <col min="12032" max="12032" width="9.25" style="8" bestFit="1" customWidth="1"/>
    <col min="12033" max="12033" width="9" style="8"/>
    <col min="12034" max="12034" width="40.5" style="8" customWidth="1"/>
    <col min="12035" max="12035" width="125" style="8" customWidth="1"/>
    <col min="12036" max="12036" width="2.625" style="8" customWidth="1"/>
    <col min="12037" max="12286" width="9" style="8"/>
    <col min="12287" max="12287" width="2.625" style="8" customWidth="1"/>
    <col min="12288" max="12288" width="9.25" style="8" bestFit="1" customWidth="1"/>
    <col min="12289" max="12289" width="9" style="8"/>
    <col min="12290" max="12290" width="40.5" style="8" customWidth="1"/>
    <col min="12291" max="12291" width="125" style="8" customWidth="1"/>
    <col min="12292" max="12292" width="2.625" style="8" customWidth="1"/>
    <col min="12293" max="12542" width="9" style="8"/>
    <col min="12543" max="12543" width="2.625" style="8" customWidth="1"/>
    <col min="12544" max="12544" width="9.25" style="8" bestFit="1" customWidth="1"/>
    <col min="12545" max="12545" width="9" style="8"/>
    <col min="12546" max="12546" width="40.5" style="8" customWidth="1"/>
    <col min="12547" max="12547" width="125" style="8" customWidth="1"/>
    <col min="12548" max="12548" width="2.625" style="8" customWidth="1"/>
    <col min="12549" max="12798" width="9" style="8"/>
    <col min="12799" max="12799" width="2.625" style="8" customWidth="1"/>
    <col min="12800" max="12800" width="9.25" style="8" bestFit="1" customWidth="1"/>
    <col min="12801" max="12801" width="9" style="8"/>
    <col min="12802" max="12802" width="40.5" style="8" customWidth="1"/>
    <col min="12803" max="12803" width="125" style="8" customWidth="1"/>
    <col min="12804" max="12804" width="2.625" style="8" customWidth="1"/>
    <col min="12805" max="13054" width="9" style="8"/>
    <col min="13055" max="13055" width="2.625" style="8" customWidth="1"/>
    <col min="13056" max="13056" width="9.25" style="8" bestFit="1" customWidth="1"/>
    <col min="13057" max="13057" width="9" style="8"/>
    <col min="13058" max="13058" width="40.5" style="8" customWidth="1"/>
    <col min="13059" max="13059" width="125" style="8" customWidth="1"/>
    <col min="13060" max="13060" width="2.625" style="8" customWidth="1"/>
    <col min="13061" max="13310" width="9" style="8"/>
    <col min="13311" max="13311" width="2.625" style="8" customWidth="1"/>
    <col min="13312" max="13312" width="9.25" style="8" bestFit="1" customWidth="1"/>
    <col min="13313" max="13313" width="9" style="8"/>
    <col min="13314" max="13314" width="40.5" style="8" customWidth="1"/>
    <col min="13315" max="13315" width="125" style="8" customWidth="1"/>
    <col min="13316" max="13316" width="2.625" style="8" customWidth="1"/>
    <col min="13317" max="13566" width="9" style="8"/>
    <col min="13567" max="13567" width="2.625" style="8" customWidth="1"/>
    <col min="13568" max="13568" width="9.25" style="8" bestFit="1" customWidth="1"/>
    <col min="13569" max="13569" width="9" style="8"/>
    <col min="13570" max="13570" width="40.5" style="8" customWidth="1"/>
    <col min="13571" max="13571" width="125" style="8" customWidth="1"/>
    <col min="13572" max="13572" width="2.625" style="8" customWidth="1"/>
    <col min="13573" max="13822" width="9" style="8"/>
    <col min="13823" max="13823" width="2.625" style="8" customWidth="1"/>
    <col min="13824" max="13824" width="9.25" style="8" bestFit="1" customWidth="1"/>
    <col min="13825" max="13825" width="9" style="8"/>
    <col min="13826" max="13826" width="40.5" style="8" customWidth="1"/>
    <col min="13827" max="13827" width="125" style="8" customWidth="1"/>
    <col min="13828" max="13828" width="2.625" style="8" customWidth="1"/>
    <col min="13829" max="14078" width="9" style="8"/>
    <col min="14079" max="14079" width="2.625" style="8" customWidth="1"/>
    <col min="14080" max="14080" width="9.25" style="8" bestFit="1" customWidth="1"/>
    <col min="14081" max="14081" width="9" style="8"/>
    <col min="14082" max="14082" width="40.5" style="8" customWidth="1"/>
    <col min="14083" max="14083" width="125" style="8" customWidth="1"/>
    <col min="14084" max="14084" width="2.625" style="8" customWidth="1"/>
    <col min="14085" max="14334" width="9" style="8"/>
    <col min="14335" max="14335" width="2.625" style="8" customWidth="1"/>
    <col min="14336" max="14336" width="9.25" style="8" bestFit="1" customWidth="1"/>
    <col min="14337" max="14337" width="9" style="8"/>
    <col min="14338" max="14338" width="40.5" style="8" customWidth="1"/>
    <col min="14339" max="14339" width="125" style="8" customWidth="1"/>
    <col min="14340" max="14340" width="2.625" style="8" customWidth="1"/>
    <col min="14341" max="14590" width="9" style="8"/>
    <col min="14591" max="14591" width="2.625" style="8" customWidth="1"/>
    <col min="14592" max="14592" width="9.25" style="8" bestFit="1" customWidth="1"/>
    <col min="14593" max="14593" width="9" style="8"/>
    <col min="14594" max="14594" width="40.5" style="8" customWidth="1"/>
    <col min="14595" max="14595" width="125" style="8" customWidth="1"/>
    <col min="14596" max="14596" width="2.625" style="8" customWidth="1"/>
    <col min="14597" max="14846" width="9" style="8"/>
    <col min="14847" max="14847" width="2.625" style="8" customWidth="1"/>
    <col min="14848" max="14848" width="9.25" style="8" bestFit="1" customWidth="1"/>
    <col min="14849" max="14849" width="9" style="8"/>
    <col min="14850" max="14850" width="40.5" style="8" customWidth="1"/>
    <col min="14851" max="14851" width="125" style="8" customWidth="1"/>
    <col min="14852" max="14852" width="2.625" style="8" customWidth="1"/>
    <col min="14853" max="15102" width="9" style="8"/>
    <col min="15103" max="15103" width="2.625" style="8" customWidth="1"/>
    <col min="15104" max="15104" width="9.25" style="8" bestFit="1" customWidth="1"/>
    <col min="15105" max="15105" width="9" style="8"/>
    <col min="15106" max="15106" width="40.5" style="8" customWidth="1"/>
    <col min="15107" max="15107" width="125" style="8" customWidth="1"/>
    <col min="15108" max="15108" width="2.625" style="8" customWidth="1"/>
    <col min="15109" max="15358" width="9" style="8"/>
    <col min="15359" max="15359" width="2.625" style="8" customWidth="1"/>
    <col min="15360" max="15360" width="9.25" style="8" bestFit="1" customWidth="1"/>
    <col min="15361" max="15361" width="9" style="8"/>
    <col min="15362" max="15362" width="40.5" style="8" customWidth="1"/>
    <col min="15363" max="15363" width="125" style="8" customWidth="1"/>
    <col min="15364" max="15364" width="2.625" style="8" customWidth="1"/>
    <col min="15365" max="15614" width="9" style="8"/>
    <col min="15615" max="15615" width="2.625" style="8" customWidth="1"/>
    <col min="15616" max="15616" width="9.25" style="8" bestFit="1" customWidth="1"/>
    <col min="15617" max="15617" width="9" style="8"/>
    <col min="15618" max="15618" width="40.5" style="8" customWidth="1"/>
    <col min="15619" max="15619" width="125" style="8" customWidth="1"/>
    <col min="15620" max="15620" width="2.625" style="8" customWidth="1"/>
    <col min="15621" max="15870" width="9" style="8"/>
    <col min="15871" max="15871" width="2.625" style="8" customWidth="1"/>
    <col min="15872" max="15872" width="9.25" style="8" bestFit="1" customWidth="1"/>
    <col min="15873" max="15873" width="9" style="8"/>
    <col min="15874" max="15874" width="40.5" style="8" customWidth="1"/>
    <col min="15875" max="15875" width="125" style="8" customWidth="1"/>
    <col min="15876" max="15876" width="2.625" style="8" customWidth="1"/>
    <col min="15877" max="16126" width="9" style="8"/>
    <col min="16127" max="16127" width="2.625" style="8" customWidth="1"/>
    <col min="16128" max="16128" width="9.25" style="8" bestFit="1" customWidth="1"/>
    <col min="16129" max="16129" width="9" style="8"/>
    <col min="16130" max="16130" width="40.5" style="8" customWidth="1"/>
    <col min="16131" max="16131" width="125" style="8" customWidth="1"/>
    <col min="16132" max="16132" width="2.625" style="8" customWidth="1"/>
    <col min="16133" max="16384" width="9" style="8"/>
  </cols>
  <sheetData>
    <row r="1" spans="1:4" s="5" customFormat="1" ht="13.5">
      <c r="D1" s="41"/>
    </row>
    <row r="2" spans="1:4" s="7" customFormat="1" ht="18" customHeight="1">
      <c r="A2" s="67" t="s">
        <v>346</v>
      </c>
      <c r="B2" s="6"/>
      <c r="C2" s="6"/>
      <c r="D2" s="21"/>
    </row>
    <row r="3" spans="1:4" s="7" customFormat="1" ht="5.0999999999999996" customHeight="1" thickBot="1">
      <c r="B3" s="1"/>
      <c r="C3" s="1"/>
      <c r="D3" s="1"/>
    </row>
    <row r="4" spans="1:4" ht="18" customHeight="1">
      <c r="A4" s="323" t="s">
        <v>279</v>
      </c>
      <c r="B4" s="425"/>
      <c r="C4" s="425"/>
      <c r="D4" s="475" t="s">
        <v>347</v>
      </c>
    </row>
    <row r="5" spans="1:4" ht="17.25" thickBot="1">
      <c r="A5" s="69" t="s">
        <v>335</v>
      </c>
      <c r="B5" s="70" t="s">
        <v>348</v>
      </c>
      <c r="C5" s="70" t="s">
        <v>337</v>
      </c>
      <c r="D5" s="476"/>
    </row>
    <row r="6" spans="1:4" ht="16.5" customHeight="1">
      <c r="A6" s="155" t="s">
        <v>754</v>
      </c>
      <c r="B6" s="89" t="s">
        <v>759</v>
      </c>
      <c r="C6" s="83" t="s">
        <v>779</v>
      </c>
      <c r="D6" s="91" t="str">
        <f ca="1">IFERROR(fn취약대상('요약 통계'!6:6),"-")</f>
        <v>-</v>
      </c>
    </row>
    <row r="7" spans="1:4" ht="16.5" customHeight="1">
      <c r="A7" s="156" t="s">
        <v>754</v>
      </c>
      <c r="B7" s="90" t="s">
        <v>760</v>
      </c>
      <c r="C7" s="86" t="s">
        <v>780</v>
      </c>
      <c r="D7" s="92" t="str">
        <f ca="1">IFERROR(fn취약대상('요약 통계'!7:7),"-")</f>
        <v>-</v>
      </c>
    </row>
    <row r="8" spans="1:4" ht="16.5" customHeight="1">
      <c r="A8" s="156" t="s">
        <v>754</v>
      </c>
      <c r="B8" s="90" t="s">
        <v>761</v>
      </c>
      <c r="C8" s="86" t="s">
        <v>781</v>
      </c>
      <c r="D8" s="92" t="str">
        <f ca="1">IFERROR(fn취약대상('요약 통계'!8:8),"-")</f>
        <v>-</v>
      </c>
    </row>
    <row r="9" spans="1:4" ht="16.5" customHeight="1">
      <c r="A9" s="156" t="s">
        <v>754</v>
      </c>
      <c r="B9" s="90" t="s">
        <v>762</v>
      </c>
      <c r="C9" s="86" t="s">
        <v>782</v>
      </c>
      <c r="D9" s="92" t="str">
        <f ca="1">IFERROR(fn취약대상('요약 통계'!9:9),"-")</f>
        <v>-</v>
      </c>
    </row>
    <row r="10" spans="1:4" ht="16.5" customHeight="1">
      <c r="A10" s="156" t="s">
        <v>754</v>
      </c>
      <c r="B10" s="90" t="s">
        <v>763</v>
      </c>
      <c r="C10" s="86" t="s">
        <v>783</v>
      </c>
      <c r="D10" s="92" t="str">
        <f ca="1">IFERROR(fn취약대상('요약 통계'!10:10),"-")</f>
        <v>-</v>
      </c>
    </row>
    <row r="11" spans="1:4" ht="16.5" customHeight="1">
      <c r="A11" s="156" t="s">
        <v>755</v>
      </c>
      <c r="B11" s="90" t="s">
        <v>764</v>
      </c>
      <c r="C11" s="86" t="s">
        <v>784</v>
      </c>
      <c r="D11" s="92" t="str">
        <f ca="1">IFERROR(fn취약대상('요약 통계'!11:11),"-")</f>
        <v>-</v>
      </c>
    </row>
    <row r="12" spans="1:4" ht="16.5" customHeight="1">
      <c r="A12" s="156" t="s">
        <v>755</v>
      </c>
      <c r="B12" s="90" t="s">
        <v>765</v>
      </c>
      <c r="C12" s="86" t="s">
        <v>785</v>
      </c>
      <c r="D12" s="92" t="str">
        <f ca="1">IFERROR(fn취약대상('요약 통계'!12:12),"-")</f>
        <v>-</v>
      </c>
    </row>
    <row r="13" spans="1:4" ht="16.5" customHeight="1">
      <c r="A13" s="156" t="s">
        <v>754</v>
      </c>
      <c r="B13" s="90" t="s">
        <v>766</v>
      </c>
      <c r="C13" s="86" t="s">
        <v>786</v>
      </c>
      <c r="D13" s="92" t="str">
        <f ca="1">IFERROR(fn취약대상('요약 통계'!13:13),"-")</f>
        <v>-</v>
      </c>
    </row>
    <row r="14" spans="1:4" ht="16.5" customHeight="1">
      <c r="A14" s="156" t="s">
        <v>754</v>
      </c>
      <c r="B14" s="90" t="s">
        <v>767</v>
      </c>
      <c r="C14" s="86" t="s">
        <v>787</v>
      </c>
      <c r="D14" s="92" t="str">
        <f ca="1">IFERROR(fn취약대상('요약 통계'!14:14),"-")</f>
        <v>-</v>
      </c>
    </row>
    <row r="15" spans="1:4" ht="16.5" customHeight="1">
      <c r="A15" s="156" t="s">
        <v>754</v>
      </c>
      <c r="B15" s="90" t="s">
        <v>768</v>
      </c>
      <c r="C15" s="86" t="s">
        <v>788</v>
      </c>
      <c r="D15" s="92" t="str">
        <f ca="1">IFERROR(fn취약대상('요약 통계'!15:15),"-")</f>
        <v>-</v>
      </c>
    </row>
    <row r="16" spans="1:4" ht="16.5" customHeight="1">
      <c r="A16" s="156" t="s">
        <v>754</v>
      </c>
      <c r="B16" s="90" t="s">
        <v>769</v>
      </c>
      <c r="C16" s="86" t="s">
        <v>789</v>
      </c>
      <c r="D16" s="92" t="str">
        <f ca="1">IFERROR(fn취약대상('요약 통계'!16:16),"-")</f>
        <v>-</v>
      </c>
    </row>
    <row r="17" spans="1:4" ht="16.5" customHeight="1">
      <c r="A17" s="156" t="s">
        <v>754</v>
      </c>
      <c r="B17" s="90" t="s">
        <v>770</v>
      </c>
      <c r="C17" s="86" t="s">
        <v>790</v>
      </c>
      <c r="D17" s="92" t="str">
        <f ca="1">IFERROR(fn취약대상('요약 통계'!17:17),"-")</f>
        <v>-</v>
      </c>
    </row>
    <row r="18" spans="1:4" ht="16.5" customHeight="1">
      <c r="A18" s="156" t="s">
        <v>756</v>
      </c>
      <c r="B18" s="90" t="s">
        <v>771</v>
      </c>
      <c r="C18" s="86" t="s">
        <v>791</v>
      </c>
      <c r="D18" s="92" t="str">
        <f ca="1">IFERROR(fn취약대상('요약 통계'!18:18),"-")</f>
        <v>-</v>
      </c>
    </row>
    <row r="19" spans="1:4" ht="16.5" customHeight="1">
      <c r="A19" s="156" t="s">
        <v>757</v>
      </c>
      <c r="B19" s="90" t="s">
        <v>772</v>
      </c>
      <c r="C19" s="86" t="s">
        <v>792</v>
      </c>
      <c r="D19" s="92" t="str">
        <f ca="1">IFERROR(fn취약대상('요약 통계'!19:19),"-")</f>
        <v>-</v>
      </c>
    </row>
    <row r="20" spans="1:4" ht="16.5" customHeight="1">
      <c r="A20" s="156" t="s">
        <v>754</v>
      </c>
      <c r="B20" s="90" t="s">
        <v>773</v>
      </c>
      <c r="C20" s="86" t="s">
        <v>793</v>
      </c>
      <c r="D20" s="92" t="str">
        <f ca="1">IFERROR(fn취약대상('요약 통계'!20:20),"-")</f>
        <v>-</v>
      </c>
    </row>
    <row r="21" spans="1:4" ht="16.5" customHeight="1">
      <c r="A21" s="156" t="s">
        <v>754</v>
      </c>
      <c r="B21" s="90" t="s">
        <v>774</v>
      </c>
      <c r="C21" s="86" t="s">
        <v>794</v>
      </c>
      <c r="D21" s="92" t="str">
        <f ca="1">IFERROR(fn취약대상('요약 통계'!21:21),"-")</f>
        <v>-</v>
      </c>
    </row>
    <row r="22" spans="1:4" ht="16.5" customHeight="1">
      <c r="A22" s="156" t="s">
        <v>754</v>
      </c>
      <c r="B22" s="90" t="s">
        <v>775</v>
      </c>
      <c r="C22" s="86" t="s">
        <v>795</v>
      </c>
      <c r="D22" s="92" t="str">
        <f ca="1">IFERROR(fn취약대상('요약 통계'!22:22),"-")</f>
        <v>-</v>
      </c>
    </row>
    <row r="23" spans="1:4" ht="16.5" customHeight="1">
      <c r="A23" s="156" t="s">
        <v>756</v>
      </c>
      <c r="B23" s="90" t="s">
        <v>776</v>
      </c>
      <c r="C23" s="86" t="s">
        <v>796</v>
      </c>
      <c r="D23" s="92" t="str">
        <f ca="1">IFERROR(fn취약대상('요약 통계'!23:23),"-")</f>
        <v>-</v>
      </c>
    </row>
    <row r="24" spans="1:4" ht="16.5" customHeight="1">
      <c r="A24" s="156" t="s">
        <v>758</v>
      </c>
      <c r="B24" s="90" t="s">
        <v>777</v>
      </c>
      <c r="C24" s="86" t="s">
        <v>797</v>
      </c>
      <c r="D24" s="92" t="str">
        <f ca="1">IFERROR(fn취약대상('요약 통계'!24:24),"-")</f>
        <v>-</v>
      </c>
    </row>
    <row r="25" spans="1:4" ht="16.5" customHeight="1">
      <c r="A25" s="156" t="s">
        <v>758</v>
      </c>
      <c r="B25" s="90" t="s">
        <v>778</v>
      </c>
      <c r="C25" s="86" t="s">
        <v>798</v>
      </c>
      <c r="D25" s="92" t="str">
        <f ca="1">IFERROR(fn취약대상('요약 통계'!25:25),"-")</f>
        <v>-</v>
      </c>
    </row>
    <row r="26" spans="1:4" ht="16.5" customHeight="1"/>
    <row r="27" spans="1:4" ht="16.5" customHeight="1"/>
    <row r="28" spans="1:4" ht="16.5" customHeight="1"/>
    <row r="29" spans="1:4" ht="16.5" customHeight="1"/>
    <row r="30" spans="1:4" ht="16.5" customHeight="1"/>
    <row r="31" spans="1:4" ht="16.5" customHeight="1"/>
    <row r="32" spans="1:4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</sheetData>
  <mergeCells count="2">
    <mergeCell ref="A4:C4"/>
    <mergeCell ref="D4:D5"/>
  </mergeCells>
  <phoneticPr fontId="1" type="noConversion"/>
  <conditionalFormatting sqref="D6:D25">
    <cfRule type="cellIs" dxfId="30" priority="4" stopIfTrue="1" operator="equal">
      <formula>"취약"</formula>
    </cfRule>
    <cfRule type="cellIs" dxfId="29" priority="5" stopIfTrue="1" operator="equal">
      <formula>"부분만족"</formula>
    </cfRule>
    <cfRule type="cellIs" dxfId="28" priority="6" stopIfTrue="1" operator="equal">
      <formula>"N/A"</formula>
    </cfRule>
  </conditionalFormatting>
  <printOptions horizontalCentered="1"/>
  <pageMargins left="0.39370078740157483" right="0.39370078740157483" top="0.59055118110236215" bottom="0.59055118110236215" header="0.19685039370078741" footer="0.19685039370078741"/>
  <pageSetup paperSize="9" scale="47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1"/>
    <pageSetUpPr fitToPage="1"/>
  </sheetPr>
  <dimension ref="A1:N81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0" width="6.75" style="8" customWidth="1"/>
    <col min="11" max="11" width="9.25" style="8" hidden="1" customWidth="1"/>
    <col min="12" max="14" width="9.25" style="8" customWidth="1"/>
    <col min="15" max="15" width="2.625" style="8" customWidth="1"/>
    <col min="16" max="208" width="9" style="8"/>
    <col min="209" max="209" width="2.625" style="8" customWidth="1"/>
    <col min="210" max="210" width="9.25" style="8" bestFit="1" customWidth="1"/>
    <col min="211" max="211" width="9" style="8"/>
    <col min="212" max="212" width="40.5" style="8" customWidth="1"/>
    <col min="213" max="214" width="6.125" style="8" customWidth="1"/>
    <col min="215" max="220" width="6.75" style="8" customWidth="1"/>
    <col min="221" max="270" width="9.25" style="8" customWidth="1"/>
    <col min="271" max="271" width="2.625" style="8" customWidth="1"/>
    <col min="272" max="464" width="9" style="8"/>
    <col min="465" max="465" width="2.625" style="8" customWidth="1"/>
    <col min="466" max="466" width="9.25" style="8" bestFit="1" customWidth="1"/>
    <col min="467" max="467" width="9" style="8"/>
    <col min="468" max="468" width="40.5" style="8" customWidth="1"/>
    <col min="469" max="470" width="6.125" style="8" customWidth="1"/>
    <col min="471" max="476" width="6.75" style="8" customWidth="1"/>
    <col min="477" max="526" width="9.25" style="8" customWidth="1"/>
    <col min="527" max="527" width="2.625" style="8" customWidth="1"/>
    <col min="528" max="720" width="9" style="8"/>
    <col min="721" max="721" width="2.625" style="8" customWidth="1"/>
    <col min="722" max="722" width="9.25" style="8" bestFit="1" customWidth="1"/>
    <col min="723" max="723" width="9" style="8"/>
    <col min="724" max="724" width="40.5" style="8" customWidth="1"/>
    <col min="725" max="726" width="6.125" style="8" customWidth="1"/>
    <col min="727" max="732" width="6.75" style="8" customWidth="1"/>
    <col min="733" max="782" width="9.25" style="8" customWidth="1"/>
    <col min="783" max="783" width="2.625" style="8" customWidth="1"/>
    <col min="784" max="976" width="9" style="8"/>
    <col min="977" max="977" width="2.625" style="8" customWidth="1"/>
    <col min="978" max="978" width="9.25" style="8" bestFit="1" customWidth="1"/>
    <col min="979" max="979" width="9" style="8"/>
    <col min="980" max="980" width="40.5" style="8" customWidth="1"/>
    <col min="981" max="982" width="6.125" style="8" customWidth="1"/>
    <col min="983" max="988" width="6.75" style="8" customWidth="1"/>
    <col min="989" max="1038" width="9.25" style="8" customWidth="1"/>
    <col min="1039" max="1039" width="2.625" style="8" customWidth="1"/>
    <col min="1040" max="1232" width="9" style="8"/>
    <col min="1233" max="1233" width="2.625" style="8" customWidth="1"/>
    <col min="1234" max="1234" width="9.25" style="8" bestFit="1" customWidth="1"/>
    <col min="1235" max="1235" width="9" style="8"/>
    <col min="1236" max="1236" width="40.5" style="8" customWidth="1"/>
    <col min="1237" max="1238" width="6.125" style="8" customWidth="1"/>
    <col min="1239" max="1244" width="6.75" style="8" customWidth="1"/>
    <col min="1245" max="1294" width="9.25" style="8" customWidth="1"/>
    <col min="1295" max="1295" width="2.625" style="8" customWidth="1"/>
    <col min="1296" max="1488" width="9" style="8"/>
    <col min="1489" max="1489" width="2.625" style="8" customWidth="1"/>
    <col min="1490" max="1490" width="9.25" style="8" bestFit="1" customWidth="1"/>
    <col min="1491" max="1491" width="9" style="8"/>
    <col min="1492" max="1492" width="40.5" style="8" customWidth="1"/>
    <col min="1493" max="1494" width="6.125" style="8" customWidth="1"/>
    <col min="1495" max="1500" width="6.75" style="8" customWidth="1"/>
    <col min="1501" max="1550" width="9.25" style="8" customWidth="1"/>
    <col min="1551" max="1551" width="2.625" style="8" customWidth="1"/>
    <col min="1552" max="1744" width="9" style="8"/>
    <col min="1745" max="1745" width="2.625" style="8" customWidth="1"/>
    <col min="1746" max="1746" width="9.25" style="8" bestFit="1" customWidth="1"/>
    <col min="1747" max="1747" width="9" style="8"/>
    <col min="1748" max="1748" width="40.5" style="8" customWidth="1"/>
    <col min="1749" max="1750" width="6.125" style="8" customWidth="1"/>
    <col min="1751" max="1756" width="6.75" style="8" customWidth="1"/>
    <col min="1757" max="1806" width="9.25" style="8" customWidth="1"/>
    <col min="1807" max="1807" width="2.625" style="8" customWidth="1"/>
    <col min="1808" max="2000" width="9" style="8"/>
    <col min="2001" max="2001" width="2.625" style="8" customWidth="1"/>
    <col min="2002" max="2002" width="9.25" style="8" bestFit="1" customWidth="1"/>
    <col min="2003" max="2003" width="9" style="8"/>
    <col min="2004" max="2004" width="40.5" style="8" customWidth="1"/>
    <col min="2005" max="2006" width="6.125" style="8" customWidth="1"/>
    <col min="2007" max="2012" width="6.75" style="8" customWidth="1"/>
    <col min="2013" max="2062" width="9.25" style="8" customWidth="1"/>
    <col min="2063" max="2063" width="2.625" style="8" customWidth="1"/>
    <col min="2064" max="2256" width="9" style="8"/>
    <col min="2257" max="2257" width="2.625" style="8" customWidth="1"/>
    <col min="2258" max="2258" width="9.25" style="8" bestFit="1" customWidth="1"/>
    <col min="2259" max="2259" width="9" style="8"/>
    <col min="2260" max="2260" width="40.5" style="8" customWidth="1"/>
    <col min="2261" max="2262" width="6.125" style="8" customWidth="1"/>
    <col min="2263" max="2268" width="6.75" style="8" customWidth="1"/>
    <col min="2269" max="2318" width="9.25" style="8" customWidth="1"/>
    <col min="2319" max="2319" width="2.625" style="8" customWidth="1"/>
    <col min="2320" max="2512" width="9" style="8"/>
    <col min="2513" max="2513" width="2.625" style="8" customWidth="1"/>
    <col min="2514" max="2514" width="9.25" style="8" bestFit="1" customWidth="1"/>
    <col min="2515" max="2515" width="9" style="8"/>
    <col min="2516" max="2516" width="40.5" style="8" customWidth="1"/>
    <col min="2517" max="2518" width="6.125" style="8" customWidth="1"/>
    <col min="2519" max="2524" width="6.75" style="8" customWidth="1"/>
    <col min="2525" max="2574" width="9.25" style="8" customWidth="1"/>
    <col min="2575" max="2575" width="2.625" style="8" customWidth="1"/>
    <col min="2576" max="2768" width="9" style="8"/>
    <col min="2769" max="2769" width="2.625" style="8" customWidth="1"/>
    <col min="2770" max="2770" width="9.25" style="8" bestFit="1" customWidth="1"/>
    <col min="2771" max="2771" width="9" style="8"/>
    <col min="2772" max="2772" width="40.5" style="8" customWidth="1"/>
    <col min="2773" max="2774" width="6.125" style="8" customWidth="1"/>
    <col min="2775" max="2780" width="6.75" style="8" customWidth="1"/>
    <col min="2781" max="2830" width="9.25" style="8" customWidth="1"/>
    <col min="2831" max="2831" width="2.625" style="8" customWidth="1"/>
    <col min="2832" max="3024" width="9" style="8"/>
    <col min="3025" max="3025" width="2.625" style="8" customWidth="1"/>
    <col min="3026" max="3026" width="9.25" style="8" bestFit="1" customWidth="1"/>
    <col min="3027" max="3027" width="9" style="8"/>
    <col min="3028" max="3028" width="40.5" style="8" customWidth="1"/>
    <col min="3029" max="3030" width="6.125" style="8" customWidth="1"/>
    <col min="3031" max="3036" width="6.75" style="8" customWidth="1"/>
    <col min="3037" max="3086" width="9.25" style="8" customWidth="1"/>
    <col min="3087" max="3087" width="2.625" style="8" customWidth="1"/>
    <col min="3088" max="3280" width="9" style="8"/>
    <col min="3281" max="3281" width="2.625" style="8" customWidth="1"/>
    <col min="3282" max="3282" width="9.25" style="8" bestFit="1" customWidth="1"/>
    <col min="3283" max="3283" width="9" style="8"/>
    <col min="3284" max="3284" width="40.5" style="8" customWidth="1"/>
    <col min="3285" max="3286" width="6.125" style="8" customWidth="1"/>
    <col min="3287" max="3292" width="6.75" style="8" customWidth="1"/>
    <col min="3293" max="3342" width="9.25" style="8" customWidth="1"/>
    <col min="3343" max="3343" width="2.625" style="8" customWidth="1"/>
    <col min="3344" max="3536" width="9" style="8"/>
    <col min="3537" max="3537" width="2.625" style="8" customWidth="1"/>
    <col min="3538" max="3538" width="9.25" style="8" bestFit="1" customWidth="1"/>
    <col min="3539" max="3539" width="9" style="8"/>
    <col min="3540" max="3540" width="40.5" style="8" customWidth="1"/>
    <col min="3541" max="3542" width="6.125" style="8" customWidth="1"/>
    <col min="3543" max="3548" width="6.75" style="8" customWidth="1"/>
    <col min="3549" max="3598" width="9.25" style="8" customWidth="1"/>
    <col min="3599" max="3599" width="2.625" style="8" customWidth="1"/>
    <col min="3600" max="3792" width="9" style="8"/>
    <col min="3793" max="3793" width="2.625" style="8" customWidth="1"/>
    <col min="3794" max="3794" width="9.25" style="8" bestFit="1" customWidth="1"/>
    <col min="3795" max="3795" width="9" style="8"/>
    <col min="3796" max="3796" width="40.5" style="8" customWidth="1"/>
    <col min="3797" max="3798" width="6.125" style="8" customWidth="1"/>
    <col min="3799" max="3804" width="6.75" style="8" customWidth="1"/>
    <col min="3805" max="3854" width="9.25" style="8" customWidth="1"/>
    <col min="3855" max="3855" width="2.625" style="8" customWidth="1"/>
    <col min="3856" max="4048" width="9" style="8"/>
    <col min="4049" max="4049" width="2.625" style="8" customWidth="1"/>
    <col min="4050" max="4050" width="9.25" style="8" bestFit="1" customWidth="1"/>
    <col min="4051" max="4051" width="9" style="8"/>
    <col min="4052" max="4052" width="40.5" style="8" customWidth="1"/>
    <col min="4053" max="4054" width="6.125" style="8" customWidth="1"/>
    <col min="4055" max="4060" width="6.75" style="8" customWidth="1"/>
    <col min="4061" max="4110" width="9.25" style="8" customWidth="1"/>
    <col min="4111" max="4111" width="2.625" style="8" customWidth="1"/>
    <col min="4112" max="4304" width="9" style="8"/>
    <col min="4305" max="4305" width="2.625" style="8" customWidth="1"/>
    <col min="4306" max="4306" width="9.25" style="8" bestFit="1" customWidth="1"/>
    <col min="4307" max="4307" width="9" style="8"/>
    <col min="4308" max="4308" width="40.5" style="8" customWidth="1"/>
    <col min="4309" max="4310" width="6.125" style="8" customWidth="1"/>
    <col min="4311" max="4316" width="6.75" style="8" customWidth="1"/>
    <col min="4317" max="4366" width="9.25" style="8" customWidth="1"/>
    <col min="4367" max="4367" width="2.625" style="8" customWidth="1"/>
    <col min="4368" max="4560" width="9" style="8"/>
    <col min="4561" max="4561" width="2.625" style="8" customWidth="1"/>
    <col min="4562" max="4562" width="9.25" style="8" bestFit="1" customWidth="1"/>
    <col min="4563" max="4563" width="9" style="8"/>
    <col min="4564" max="4564" width="40.5" style="8" customWidth="1"/>
    <col min="4565" max="4566" width="6.125" style="8" customWidth="1"/>
    <col min="4567" max="4572" width="6.75" style="8" customWidth="1"/>
    <col min="4573" max="4622" width="9.25" style="8" customWidth="1"/>
    <col min="4623" max="4623" width="2.625" style="8" customWidth="1"/>
    <col min="4624" max="4816" width="9" style="8"/>
    <col min="4817" max="4817" width="2.625" style="8" customWidth="1"/>
    <col min="4818" max="4818" width="9.25" style="8" bestFit="1" customWidth="1"/>
    <col min="4819" max="4819" width="9" style="8"/>
    <col min="4820" max="4820" width="40.5" style="8" customWidth="1"/>
    <col min="4821" max="4822" width="6.125" style="8" customWidth="1"/>
    <col min="4823" max="4828" width="6.75" style="8" customWidth="1"/>
    <col min="4829" max="4878" width="9.25" style="8" customWidth="1"/>
    <col min="4879" max="4879" width="2.625" style="8" customWidth="1"/>
    <col min="4880" max="5072" width="9" style="8"/>
    <col min="5073" max="5073" width="2.625" style="8" customWidth="1"/>
    <col min="5074" max="5074" width="9.25" style="8" bestFit="1" customWidth="1"/>
    <col min="5075" max="5075" width="9" style="8"/>
    <col min="5076" max="5076" width="40.5" style="8" customWidth="1"/>
    <col min="5077" max="5078" width="6.125" style="8" customWidth="1"/>
    <col min="5079" max="5084" width="6.75" style="8" customWidth="1"/>
    <col min="5085" max="5134" width="9.25" style="8" customWidth="1"/>
    <col min="5135" max="5135" width="2.625" style="8" customWidth="1"/>
    <col min="5136" max="5328" width="9" style="8"/>
    <col min="5329" max="5329" width="2.625" style="8" customWidth="1"/>
    <col min="5330" max="5330" width="9.25" style="8" bestFit="1" customWidth="1"/>
    <col min="5331" max="5331" width="9" style="8"/>
    <col min="5332" max="5332" width="40.5" style="8" customWidth="1"/>
    <col min="5333" max="5334" width="6.125" style="8" customWidth="1"/>
    <col min="5335" max="5340" width="6.75" style="8" customWidth="1"/>
    <col min="5341" max="5390" width="9.25" style="8" customWidth="1"/>
    <col min="5391" max="5391" width="2.625" style="8" customWidth="1"/>
    <col min="5392" max="5584" width="9" style="8"/>
    <col min="5585" max="5585" width="2.625" style="8" customWidth="1"/>
    <col min="5586" max="5586" width="9.25" style="8" bestFit="1" customWidth="1"/>
    <col min="5587" max="5587" width="9" style="8"/>
    <col min="5588" max="5588" width="40.5" style="8" customWidth="1"/>
    <col min="5589" max="5590" width="6.125" style="8" customWidth="1"/>
    <col min="5591" max="5596" width="6.75" style="8" customWidth="1"/>
    <col min="5597" max="5646" width="9.25" style="8" customWidth="1"/>
    <col min="5647" max="5647" width="2.625" style="8" customWidth="1"/>
    <col min="5648" max="5840" width="9" style="8"/>
    <col min="5841" max="5841" width="2.625" style="8" customWidth="1"/>
    <col min="5842" max="5842" width="9.25" style="8" bestFit="1" customWidth="1"/>
    <col min="5843" max="5843" width="9" style="8"/>
    <col min="5844" max="5844" width="40.5" style="8" customWidth="1"/>
    <col min="5845" max="5846" width="6.125" style="8" customWidth="1"/>
    <col min="5847" max="5852" width="6.75" style="8" customWidth="1"/>
    <col min="5853" max="5902" width="9.25" style="8" customWidth="1"/>
    <col min="5903" max="5903" width="2.625" style="8" customWidth="1"/>
    <col min="5904" max="6096" width="9" style="8"/>
    <col min="6097" max="6097" width="2.625" style="8" customWidth="1"/>
    <col min="6098" max="6098" width="9.25" style="8" bestFit="1" customWidth="1"/>
    <col min="6099" max="6099" width="9" style="8"/>
    <col min="6100" max="6100" width="40.5" style="8" customWidth="1"/>
    <col min="6101" max="6102" width="6.125" style="8" customWidth="1"/>
    <col min="6103" max="6108" width="6.75" style="8" customWidth="1"/>
    <col min="6109" max="6158" width="9.25" style="8" customWidth="1"/>
    <col min="6159" max="6159" width="2.625" style="8" customWidth="1"/>
    <col min="6160" max="6352" width="9" style="8"/>
    <col min="6353" max="6353" width="2.625" style="8" customWidth="1"/>
    <col min="6354" max="6354" width="9.25" style="8" bestFit="1" customWidth="1"/>
    <col min="6355" max="6355" width="9" style="8"/>
    <col min="6356" max="6356" width="40.5" style="8" customWidth="1"/>
    <col min="6357" max="6358" width="6.125" style="8" customWidth="1"/>
    <col min="6359" max="6364" width="6.75" style="8" customWidth="1"/>
    <col min="6365" max="6414" width="9.25" style="8" customWidth="1"/>
    <col min="6415" max="6415" width="2.625" style="8" customWidth="1"/>
    <col min="6416" max="6608" width="9" style="8"/>
    <col min="6609" max="6609" width="2.625" style="8" customWidth="1"/>
    <col min="6610" max="6610" width="9.25" style="8" bestFit="1" customWidth="1"/>
    <col min="6611" max="6611" width="9" style="8"/>
    <col min="6612" max="6612" width="40.5" style="8" customWidth="1"/>
    <col min="6613" max="6614" width="6.125" style="8" customWidth="1"/>
    <col min="6615" max="6620" width="6.75" style="8" customWidth="1"/>
    <col min="6621" max="6670" width="9.25" style="8" customWidth="1"/>
    <col min="6671" max="6671" width="2.625" style="8" customWidth="1"/>
    <col min="6672" max="6864" width="9" style="8"/>
    <col min="6865" max="6865" width="2.625" style="8" customWidth="1"/>
    <col min="6866" max="6866" width="9.25" style="8" bestFit="1" customWidth="1"/>
    <col min="6867" max="6867" width="9" style="8"/>
    <col min="6868" max="6868" width="40.5" style="8" customWidth="1"/>
    <col min="6869" max="6870" width="6.125" style="8" customWidth="1"/>
    <col min="6871" max="6876" width="6.75" style="8" customWidth="1"/>
    <col min="6877" max="6926" width="9.25" style="8" customWidth="1"/>
    <col min="6927" max="6927" width="2.625" style="8" customWidth="1"/>
    <col min="6928" max="7120" width="9" style="8"/>
    <col min="7121" max="7121" width="2.625" style="8" customWidth="1"/>
    <col min="7122" max="7122" width="9.25" style="8" bestFit="1" customWidth="1"/>
    <col min="7123" max="7123" width="9" style="8"/>
    <col min="7124" max="7124" width="40.5" style="8" customWidth="1"/>
    <col min="7125" max="7126" width="6.125" style="8" customWidth="1"/>
    <col min="7127" max="7132" width="6.75" style="8" customWidth="1"/>
    <col min="7133" max="7182" width="9.25" style="8" customWidth="1"/>
    <col min="7183" max="7183" width="2.625" style="8" customWidth="1"/>
    <col min="7184" max="7376" width="9" style="8"/>
    <col min="7377" max="7377" width="2.625" style="8" customWidth="1"/>
    <col min="7378" max="7378" width="9.25" style="8" bestFit="1" customWidth="1"/>
    <col min="7379" max="7379" width="9" style="8"/>
    <col min="7380" max="7380" width="40.5" style="8" customWidth="1"/>
    <col min="7381" max="7382" width="6.125" style="8" customWidth="1"/>
    <col min="7383" max="7388" width="6.75" style="8" customWidth="1"/>
    <col min="7389" max="7438" width="9.25" style="8" customWidth="1"/>
    <col min="7439" max="7439" width="2.625" style="8" customWidth="1"/>
    <col min="7440" max="7632" width="9" style="8"/>
    <col min="7633" max="7633" width="2.625" style="8" customWidth="1"/>
    <col min="7634" max="7634" width="9.25" style="8" bestFit="1" customWidth="1"/>
    <col min="7635" max="7635" width="9" style="8"/>
    <col min="7636" max="7636" width="40.5" style="8" customWidth="1"/>
    <col min="7637" max="7638" width="6.125" style="8" customWidth="1"/>
    <col min="7639" max="7644" width="6.75" style="8" customWidth="1"/>
    <col min="7645" max="7694" width="9.25" style="8" customWidth="1"/>
    <col min="7695" max="7695" width="2.625" style="8" customWidth="1"/>
    <col min="7696" max="7888" width="9" style="8"/>
    <col min="7889" max="7889" width="2.625" style="8" customWidth="1"/>
    <col min="7890" max="7890" width="9.25" style="8" bestFit="1" customWidth="1"/>
    <col min="7891" max="7891" width="9" style="8"/>
    <col min="7892" max="7892" width="40.5" style="8" customWidth="1"/>
    <col min="7893" max="7894" width="6.125" style="8" customWidth="1"/>
    <col min="7895" max="7900" width="6.75" style="8" customWidth="1"/>
    <col min="7901" max="7950" width="9.25" style="8" customWidth="1"/>
    <col min="7951" max="7951" width="2.625" style="8" customWidth="1"/>
    <col min="7952" max="8144" width="9" style="8"/>
    <col min="8145" max="8145" width="2.625" style="8" customWidth="1"/>
    <col min="8146" max="8146" width="9.25" style="8" bestFit="1" customWidth="1"/>
    <col min="8147" max="8147" width="9" style="8"/>
    <col min="8148" max="8148" width="40.5" style="8" customWidth="1"/>
    <col min="8149" max="8150" width="6.125" style="8" customWidth="1"/>
    <col min="8151" max="8156" width="6.75" style="8" customWidth="1"/>
    <col min="8157" max="8206" width="9.25" style="8" customWidth="1"/>
    <col min="8207" max="8207" width="2.625" style="8" customWidth="1"/>
    <col min="8208" max="8400" width="9" style="8"/>
    <col min="8401" max="8401" width="2.625" style="8" customWidth="1"/>
    <col min="8402" max="8402" width="9.25" style="8" bestFit="1" customWidth="1"/>
    <col min="8403" max="8403" width="9" style="8"/>
    <col min="8404" max="8404" width="40.5" style="8" customWidth="1"/>
    <col min="8405" max="8406" width="6.125" style="8" customWidth="1"/>
    <col min="8407" max="8412" width="6.75" style="8" customWidth="1"/>
    <col min="8413" max="8462" width="9.25" style="8" customWidth="1"/>
    <col min="8463" max="8463" width="2.625" style="8" customWidth="1"/>
    <col min="8464" max="8656" width="9" style="8"/>
    <col min="8657" max="8657" width="2.625" style="8" customWidth="1"/>
    <col min="8658" max="8658" width="9.25" style="8" bestFit="1" customWidth="1"/>
    <col min="8659" max="8659" width="9" style="8"/>
    <col min="8660" max="8660" width="40.5" style="8" customWidth="1"/>
    <col min="8661" max="8662" width="6.125" style="8" customWidth="1"/>
    <col min="8663" max="8668" width="6.75" style="8" customWidth="1"/>
    <col min="8669" max="8718" width="9.25" style="8" customWidth="1"/>
    <col min="8719" max="8719" width="2.625" style="8" customWidth="1"/>
    <col min="8720" max="8912" width="9" style="8"/>
    <col min="8913" max="8913" width="2.625" style="8" customWidth="1"/>
    <col min="8914" max="8914" width="9.25" style="8" bestFit="1" customWidth="1"/>
    <col min="8915" max="8915" width="9" style="8"/>
    <col min="8916" max="8916" width="40.5" style="8" customWidth="1"/>
    <col min="8917" max="8918" width="6.125" style="8" customWidth="1"/>
    <col min="8919" max="8924" width="6.75" style="8" customWidth="1"/>
    <col min="8925" max="8974" width="9.25" style="8" customWidth="1"/>
    <col min="8975" max="8975" width="2.625" style="8" customWidth="1"/>
    <col min="8976" max="9168" width="9" style="8"/>
    <col min="9169" max="9169" width="2.625" style="8" customWidth="1"/>
    <col min="9170" max="9170" width="9.25" style="8" bestFit="1" customWidth="1"/>
    <col min="9171" max="9171" width="9" style="8"/>
    <col min="9172" max="9172" width="40.5" style="8" customWidth="1"/>
    <col min="9173" max="9174" width="6.125" style="8" customWidth="1"/>
    <col min="9175" max="9180" width="6.75" style="8" customWidth="1"/>
    <col min="9181" max="9230" width="9.25" style="8" customWidth="1"/>
    <col min="9231" max="9231" width="2.625" style="8" customWidth="1"/>
    <col min="9232" max="9424" width="9" style="8"/>
    <col min="9425" max="9425" width="2.625" style="8" customWidth="1"/>
    <col min="9426" max="9426" width="9.25" style="8" bestFit="1" customWidth="1"/>
    <col min="9427" max="9427" width="9" style="8"/>
    <col min="9428" max="9428" width="40.5" style="8" customWidth="1"/>
    <col min="9429" max="9430" width="6.125" style="8" customWidth="1"/>
    <col min="9431" max="9436" width="6.75" style="8" customWidth="1"/>
    <col min="9437" max="9486" width="9.25" style="8" customWidth="1"/>
    <col min="9487" max="9487" width="2.625" style="8" customWidth="1"/>
    <col min="9488" max="9680" width="9" style="8"/>
    <col min="9681" max="9681" width="2.625" style="8" customWidth="1"/>
    <col min="9682" max="9682" width="9.25" style="8" bestFit="1" customWidth="1"/>
    <col min="9683" max="9683" width="9" style="8"/>
    <col min="9684" max="9684" width="40.5" style="8" customWidth="1"/>
    <col min="9685" max="9686" width="6.125" style="8" customWidth="1"/>
    <col min="9687" max="9692" width="6.75" style="8" customWidth="1"/>
    <col min="9693" max="9742" width="9.25" style="8" customWidth="1"/>
    <col min="9743" max="9743" width="2.625" style="8" customWidth="1"/>
    <col min="9744" max="9936" width="9" style="8"/>
    <col min="9937" max="9937" width="2.625" style="8" customWidth="1"/>
    <col min="9938" max="9938" width="9.25" style="8" bestFit="1" customWidth="1"/>
    <col min="9939" max="9939" width="9" style="8"/>
    <col min="9940" max="9940" width="40.5" style="8" customWidth="1"/>
    <col min="9941" max="9942" width="6.125" style="8" customWidth="1"/>
    <col min="9943" max="9948" width="6.75" style="8" customWidth="1"/>
    <col min="9949" max="9998" width="9.25" style="8" customWidth="1"/>
    <col min="9999" max="9999" width="2.625" style="8" customWidth="1"/>
    <col min="10000" max="10192" width="9" style="8"/>
    <col min="10193" max="10193" width="2.625" style="8" customWidth="1"/>
    <col min="10194" max="10194" width="9.25" style="8" bestFit="1" customWidth="1"/>
    <col min="10195" max="10195" width="9" style="8"/>
    <col min="10196" max="10196" width="40.5" style="8" customWidth="1"/>
    <col min="10197" max="10198" width="6.125" style="8" customWidth="1"/>
    <col min="10199" max="10204" width="6.75" style="8" customWidth="1"/>
    <col min="10205" max="10254" width="9.25" style="8" customWidth="1"/>
    <col min="10255" max="10255" width="2.625" style="8" customWidth="1"/>
    <col min="10256" max="10448" width="9" style="8"/>
    <col min="10449" max="10449" width="2.625" style="8" customWidth="1"/>
    <col min="10450" max="10450" width="9.25" style="8" bestFit="1" customWidth="1"/>
    <col min="10451" max="10451" width="9" style="8"/>
    <col min="10452" max="10452" width="40.5" style="8" customWidth="1"/>
    <col min="10453" max="10454" width="6.125" style="8" customWidth="1"/>
    <col min="10455" max="10460" width="6.75" style="8" customWidth="1"/>
    <col min="10461" max="10510" width="9.25" style="8" customWidth="1"/>
    <col min="10511" max="10511" width="2.625" style="8" customWidth="1"/>
    <col min="10512" max="10704" width="9" style="8"/>
    <col min="10705" max="10705" width="2.625" style="8" customWidth="1"/>
    <col min="10706" max="10706" width="9.25" style="8" bestFit="1" customWidth="1"/>
    <col min="10707" max="10707" width="9" style="8"/>
    <col min="10708" max="10708" width="40.5" style="8" customWidth="1"/>
    <col min="10709" max="10710" width="6.125" style="8" customWidth="1"/>
    <col min="10711" max="10716" width="6.75" style="8" customWidth="1"/>
    <col min="10717" max="10766" width="9.25" style="8" customWidth="1"/>
    <col min="10767" max="10767" width="2.625" style="8" customWidth="1"/>
    <col min="10768" max="10960" width="9" style="8"/>
    <col min="10961" max="10961" width="2.625" style="8" customWidth="1"/>
    <col min="10962" max="10962" width="9.25" style="8" bestFit="1" customWidth="1"/>
    <col min="10963" max="10963" width="9" style="8"/>
    <col min="10964" max="10964" width="40.5" style="8" customWidth="1"/>
    <col min="10965" max="10966" width="6.125" style="8" customWidth="1"/>
    <col min="10967" max="10972" width="6.75" style="8" customWidth="1"/>
    <col min="10973" max="11022" width="9.25" style="8" customWidth="1"/>
    <col min="11023" max="11023" width="2.625" style="8" customWidth="1"/>
    <col min="11024" max="11216" width="9" style="8"/>
    <col min="11217" max="11217" width="2.625" style="8" customWidth="1"/>
    <col min="11218" max="11218" width="9.25" style="8" bestFit="1" customWidth="1"/>
    <col min="11219" max="11219" width="9" style="8"/>
    <col min="11220" max="11220" width="40.5" style="8" customWidth="1"/>
    <col min="11221" max="11222" width="6.125" style="8" customWidth="1"/>
    <col min="11223" max="11228" width="6.75" style="8" customWidth="1"/>
    <col min="11229" max="11278" width="9.25" style="8" customWidth="1"/>
    <col min="11279" max="11279" width="2.625" style="8" customWidth="1"/>
    <col min="11280" max="11472" width="9" style="8"/>
    <col min="11473" max="11473" width="2.625" style="8" customWidth="1"/>
    <col min="11474" max="11474" width="9.25" style="8" bestFit="1" customWidth="1"/>
    <col min="11475" max="11475" width="9" style="8"/>
    <col min="11476" max="11476" width="40.5" style="8" customWidth="1"/>
    <col min="11477" max="11478" width="6.125" style="8" customWidth="1"/>
    <col min="11479" max="11484" width="6.75" style="8" customWidth="1"/>
    <col min="11485" max="11534" width="9.25" style="8" customWidth="1"/>
    <col min="11535" max="11535" width="2.625" style="8" customWidth="1"/>
    <col min="11536" max="11728" width="9" style="8"/>
    <col min="11729" max="11729" width="2.625" style="8" customWidth="1"/>
    <col min="11730" max="11730" width="9.25" style="8" bestFit="1" customWidth="1"/>
    <col min="11731" max="11731" width="9" style="8"/>
    <col min="11732" max="11732" width="40.5" style="8" customWidth="1"/>
    <col min="11733" max="11734" width="6.125" style="8" customWidth="1"/>
    <col min="11735" max="11740" width="6.75" style="8" customWidth="1"/>
    <col min="11741" max="11790" width="9.25" style="8" customWidth="1"/>
    <col min="11791" max="11791" width="2.625" style="8" customWidth="1"/>
    <col min="11792" max="11984" width="9" style="8"/>
    <col min="11985" max="11985" width="2.625" style="8" customWidth="1"/>
    <col min="11986" max="11986" width="9.25" style="8" bestFit="1" customWidth="1"/>
    <col min="11987" max="11987" width="9" style="8"/>
    <col min="11988" max="11988" width="40.5" style="8" customWidth="1"/>
    <col min="11989" max="11990" width="6.125" style="8" customWidth="1"/>
    <col min="11991" max="11996" width="6.75" style="8" customWidth="1"/>
    <col min="11997" max="12046" width="9.25" style="8" customWidth="1"/>
    <col min="12047" max="12047" width="2.625" style="8" customWidth="1"/>
    <col min="12048" max="12240" width="9" style="8"/>
    <col min="12241" max="12241" width="2.625" style="8" customWidth="1"/>
    <col min="12242" max="12242" width="9.25" style="8" bestFit="1" customWidth="1"/>
    <col min="12243" max="12243" width="9" style="8"/>
    <col min="12244" max="12244" width="40.5" style="8" customWidth="1"/>
    <col min="12245" max="12246" width="6.125" style="8" customWidth="1"/>
    <col min="12247" max="12252" width="6.75" style="8" customWidth="1"/>
    <col min="12253" max="12302" width="9.25" style="8" customWidth="1"/>
    <col min="12303" max="12303" width="2.625" style="8" customWidth="1"/>
    <col min="12304" max="12496" width="9" style="8"/>
    <col min="12497" max="12497" width="2.625" style="8" customWidth="1"/>
    <col min="12498" max="12498" width="9.25" style="8" bestFit="1" customWidth="1"/>
    <col min="12499" max="12499" width="9" style="8"/>
    <col min="12500" max="12500" width="40.5" style="8" customWidth="1"/>
    <col min="12501" max="12502" width="6.125" style="8" customWidth="1"/>
    <col min="12503" max="12508" width="6.75" style="8" customWidth="1"/>
    <col min="12509" max="12558" width="9.25" style="8" customWidth="1"/>
    <col min="12559" max="12559" width="2.625" style="8" customWidth="1"/>
    <col min="12560" max="12752" width="9" style="8"/>
    <col min="12753" max="12753" width="2.625" style="8" customWidth="1"/>
    <col min="12754" max="12754" width="9.25" style="8" bestFit="1" customWidth="1"/>
    <col min="12755" max="12755" width="9" style="8"/>
    <col min="12756" max="12756" width="40.5" style="8" customWidth="1"/>
    <col min="12757" max="12758" width="6.125" style="8" customWidth="1"/>
    <col min="12759" max="12764" width="6.75" style="8" customWidth="1"/>
    <col min="12765" max="12814" width="9.25" style="8" customWidth="1"/>
    <col min="12815" max="12815" width="2.625" style="8" customWidth="1"/>
    <col min="12816" max="13008" width="9" style="8"/>
    <col min="13009" max="13009" width="2.625" style="8" customWidth="1"/>
    <col min="13010" max="13010" width="9.25" style="8" bestFit="1" customWidth="1"/>
    <col min="13011" max="13011" width="9" style="8"/>
    <col min="13012" max="13012" width="40.5" style="8" customWidth="1"/>
    <col min="13013" max="13014" width="6.125" style="8" customWidth="1"/>
    <col min="13015" max="13020" width="6.75" style="8" customWidth="1"/>
    <col min="13021" max="13070" width="9.25" style="8" customWidth="1"/>
    <col min="13071" max="13071" width="2.625" style="8" customWidth="1"/>
    <col min="13072" max="13264" width="9" style="8"/>
    <col min="13265" max="13265" width="2.625" style="8" customWidth="1"/>
    <col min="13266" max="13266" width="9.25" style="8" bestFit="1" customWidth="1"/>
    <col min="13267" max="13267" width="9" style="8"/>
    <col min="13268" max="13268" width="40.5" style="8" customWidth="1"/>
    <col min="13269" max="13270" width="6.125" style="8" customWidth="1"/>
    <col min="13271" max="13276" width="6.75" style="8" customWidth="1"/>
    <col min="13277" max="13326" width="9.25" style="8" customWidth="1"/>
    <col min="13327" max="13327" width="2.625" style="8" customWidth="1"/>
    <col min="13328" max="13520" width="9" style="8"/>
    <col min="13521" max="13521" width="2.625" style="8" customWidth="1"/>
    <col min="13522" max="13522" width="9.25" style="8" bestFit="1" customWidth="1"/>
    <col min="13523" max="13523" width="9" style="8"/>
    <col min="13524" max="13524" width="40.5" style="8" customWidth="1"/>
    <col min="13525" max="13526" width="6.125" style="8" customWidth="1"/>
    <col min="13527" max="13532" width="6.75" style="8" customWidth="1"/>
    <col min="13533" max="13582" width="9.25" style="8" customWidth="1"/>
    <col min="13583" max="13583" width="2.625" style="8" customWidth="1"/>
    <col min="13584" max="13776" width="9" style="8"/>
    <col min="13777" max="13777" width="2.625" style="8" customWidth="1"/>
    <col min="13778" max="13778" width="9.25" style="8" bestFit="1" customWidth="1"/>
    <col min="13779" max="13779" width="9" style="8"/>
    <col min="13780" max="13780" width="40.5" style="8" customWidth="1"/>
    <col min="13781" max="13782" width="6.125" style="8" customWidth="1"/>
    <col min="13783" max="13788" width="6.75" style="8" customWidth="1"/>
    <col min="13789" max="13838" width="9.25" style="8" customWidth="1"/>
    <col min="13839" max="13839" width="2.625" style="8" customWidth="1"/>
    <col min="13840" max="14032" width="9" style="8"/>
    <col min="14033" max="14033" width="2.625" style="8" customWidth="1"/>
    <col min="14034" max="14034" width="9.25" style="8" bestFit="1" customWidth="1"/>
    <col min="14035" max="14035" width="9" style="8"/>
    <col min="14036" max="14036" width="40.5" style="8" customWidth="1"/>
    <col min="14037" max="14038" width="6.125" style="8" customWidth="1"/>
    <col min="14039" max="14044" width="6.75" style="8" customWidth="1"/>
    <col min="14045" max="14094" width="9.25" style="8" customWidth="1"/>
    <col min="14095" max="14095" width="2.625" style="8" customWidth="1"/>
    <col min="14096" max="14288" width="9" style="8"/>
    <col min="14289" max="14289" width="2.625" style="8" customWidth="1"/>
    <col min="14290" max="14290" width="9.25" style="8" bestFit="1" customWidth="1"/>
    <col min="14291" max="14291" width="9" style="8"/>
    <col min="14292" max="14292" width="40.5" style="8" customWidth="1"/>
    <col min="14293" max="14294" width="6.125" style="8" customWidth="1"/>
    <col min="14295" max="14300" width="6.75" style="8" customWidth="1"/>
    <col min="14301" max="14350" width="9.25" style="8" customWidth="1"/>
    <col min="14351" max="14351" width="2.625" style="8" customWidth="1"/>
    <col min="14352" max="14544" width="9" style="8"/>
    <col min="14545" max="14545" width="2.625" style="8" customWidth="1"/>
    <col min="14546" max="14546" width="9.25" style="8" bestFit="1" customWidth="1"/>
    <col min="14547" max="14547" width="9" style="8"/>
    <col min="14548" max="14548" width="40.5" style="8" customWidth="1"/>
    <col min="14549" max="14550" width="6.125" style="8" customWidth="1"/>
    <col min="14551" max="14556" width="6.75" style="8" customWidth="1"/>
    <col min="14557" max="14606" width="9.25" style="8" customWidth="1"/>
    <col min="14607" max="14607" width="2.625" style="8" customWidth="1"/>
    <col min="14608" max="14800" width="9" style="8"/>
    <col min="14801" max="14801" width="2.625" style="8" customWidth="1"/>
    <col min="14802" max="14802" width="9.25" style="8" bestFit="1" customWidth="1"/>
    <col min="14803" max="14803" width="9" style="8"/>
    <col min="14804" max="14804" width="40.5" style="8" customWidth="1"/>
    <col min="14805" max="14806" width="6.125" style="8" customWidth="1"/>
    <col min="14807" max="14812" width="6.75" style="8" customWidth="1"/>
    <col min="14813" max="14862" width="9.25" style="8" customWidth="1"/>
    <col min="14863" max="14863" width="2.625" style="8" customWidth="1"/>
    <col min="14864" max="15056" width="9" style="8"/>
    <col min="15057" max="15057" width="2.625" style="8" customWidth="1"/>
    <col min="15058" max="15058" width="9.25" style="8" bestFit="1" customWidth="1"/>
    <col min="15059" max="15059" width="9" style="8"/>
    <col min="15060" max="15060" width="40.5" style="8" customWidth="1"/>
    <col min="15061" max="15062" width="6.125" style="8" customWidth="1"/>
    <col min="15063" max="15068" width="6.75" style="8" customWidth="1"/>
    <col min="15069" max="15118" width="9.25" style="8" customWidth="1"/>
    <col min="15119" max="15119" width="2.625" style="8" customWidth="1"/>
    <col min="15120" max="15312" width="9" style="8"/>
    <col min="15313" max="15313" width="2.625" style="8" customWidth="1"/>
    <col min="15314" max="15314" width="9.25" style="8" bestFit="1" customWidth="1"/>
    <col min="15315" max="15315" width="9" style="8"/>
    <col min="15316" max="15316" width="40.5" style="8" customWidth="1"/>
    <col min="15317" max="15318" width="6.125" style="8" customWidth="1"/>
    <col min="15319" max="15324" width="6.75" style="8" customWidth="1"/>
    <col min="15325" max="15374" width="9.25" style="8" customWidth="1"/>
    <col min="15375" max="15375" width="2.625" style="8" customWidth="1"/>
    <col min="15376" max="15568" width="9" style="8"/>
    <col min="15569" max="15569" width="2.625" style="8" customWidth="1"/>
    <col min="15570" max="15570" width="9.25" style="8" bestFit="1" customWidth="1"/>
    <col min="15571" max="15571" width="9" style="8"/>
    <col min="15572" max="15572" width="40.5" style="8" customWidth="1"/>
    <col min="15573" max="15574" width="6.125" style="8" customWidth="1"/>
    <col min="15575" max="15580" width="6.75" style="8" customWidth="1"/>
    <col min="15581" max="15630" width="9.25" style="8" customWidth="1"/>
    <col min="15631" max="15631" width="2.625" style="8" customWidth="1"/>
    <col min="15632" max="15824" width="9" style="8"/>
    <col min="15825" max="15825" width="2.625" style="8" customWidth="1"/>
    <col min="15826" max="15826" width="9.25" style="8" bestFit="1" customWidth="1"/>
    <col min="15827" max="15827" width="9" style="8"/>
    <col min="15828" max="15828" width="40.5" style="8" customWidth="1"/>
    <col min="15829" max="15830" width="6.125" style="8" customWidth="1"/>
    <col min="15831" max="15836" width="6.75" style="8" customWidth="1"/>
    <col min="15837" max="15886" width="9.25" style="8" customWidth="1"/>
    <col min="15887" max="15887" width="2.625" style="8" customWidth="1"/>
    <col min="15888" max="16080" width="9" style="8"/>
    <col min="16081" max="16081" width="2.625" style="8" customWidth="1"/>
    <col min="16082" max="16082" width="9.25" style="8" bestFit="1" customWidth="1"/>
    <col min="16083" max="16083" width="9" style="8"/>
    <col min="16084" max="16084" width="40.5" style="8" customWidth="1"/>
    <col min="16085" max="16086" width="6.125" style="8" customWidth="1"/>
    <col min="16087" max="16092" width="6.75" style="8" customWidth="1"/>
    <col min="16093" max="16142" width="9.25" style="8" customWidth="1"/>
    <col min="16143" max="16143" width="2.625" style="8" customWidth="1"/>
    <col min="16144" max="16384" width="9" style="8"/>
  </cols>
  <sheetData>
    <row r="1" spans="1:14" s="5" customFormat="1" ht="13.5">
      <c r="L1" s="41"/>
      <c r="M1" s="41"/>
    </row>
    <row r="2" spans="1:14" s="7" customFormat="1" ht="18" customHeight="1">
      <c r="A2" s="67" t="s">
        <v>349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4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 ht="18" customHeight="1">
      <c r="A4" s="323" t="s">
        <v>279</v>
      </c>
      <c r="B4" s="425"/>
      <c r="C4" s="425"/>
      <c r="D4" s="425" t="s">
        <v>333</v>
      </c>
      <c r="E4" s="425" t="s">
        <v>284</v>
      </c>
      <c r="F4" s="425" t="s">
        <v>334</v>
      </c>
      <c r="G4" s="425"/>
      <c r="H4" s="425"/>
      <c r="I4" s="425"/>
      <c r="J4" s="425"/>
      <c r="K4" s="477">
        <f>'요약 통계'!K4:K5</f>
        <v>0</v>
      </c>
      <c r="L4" s="477" t="str">
        <f ca="1">'요약 통계'!L4:L5</f>
        <v>클라우드관리체계(샘플)</v>
      </c>
      <c r="M4" s="477" t="str">
        <f ca="1">'요약 통계'!M4:M5</f>
        <v>클라우드관리체계(샘플)_이행</v>
      </c>
      <c r="N4" s="477">
        <f ca="1">'요약 통계'!N4:N5</f>
        <v>0</v>
      </c>
    </row>
    <row r="5" spans="1:14" ht="17.25" thickBot="1">
      <c r="A5" s="69" t="s">
        <v>335</v>
      </c>
      <c r="B5" s="70" t="s">
        <v>348</v>
      </c>
      <c r="C5" s="70" t="s">
        <v>337</v>
      </c>
      <c r="D5" s="474"/>
      <c r="E5" s="474"/>
      <c r="F5" s="70" t="s">
        <v>338</v>
      </c>
      <c r="G5" s="70" t="s">
        <v>323</v>
      </c>
      <c r="H5" s="70" t="s">
        <v>339</v>
      </c>
      <c r="I5" s="70" t="s">
        <v>340</v>
      </c>
      <c r="J5" s="70" t="s">
        <v>341</v>
      </c>
      <c r="K5" s="478"/>
      <c r="L5" s="478"/>
      <c r="M5" s="478"/>
      <c r="N5" s="478"/>
    </row>
    <row r="6" spans="1:14" ht="16.5" customHeight="1">
      <c r="A6" s="155" t="s">
        <v>754</v>
      </c>
      <c r="B6" s="89" t="s">
        <v>759</v>
      </c>
      <c r="C6" s="83" t="s">
        <v>779</v>
      </c>
      <c r="D6" s="72" t="s">
        <v>309</v>
      </c>
      <c r="E6" s="72">
        <v>5</v>
      </c>
      <c r="F6" s="50">
        <f ca="1">COUNTA($L6:INDIRECT(ADDRESS(ROW(),MATCH("",$4:$4,-1),1,1)))</f>
        <v>0</v>
      </c>
      <c r="G6" s="50">
        <f t="shared" ref="G6:G8" ca="1" si="0">F6-J6</f>
        <v>0</v>
      </c>
      <c r="H6" s="50">
        <f ca="1">COUNTIF($L6:INDIRECT(ADDRESS(ROW(),MATCH("",$4:$4,-1),1,1)),"양호")</f>
        <v>0</v>
      </c>
      <c r="I6" s="50">
        <f ca="1">COUNTIF($L6:INDIRECT(ADDRESS(ROW(),MATCH("",$4:$4,-1),1,1)),"취약")</f>
        <v>0</v>
      </c>
      <c r="J6" s="50">
        <f ca="1">COUNTIF($L6:INDIRECT(ADDRESS(ROW(),MATCH("",$4:$4,-1),1,1)),"N/A")</f>
        <v>0</v>
      </c>
      <c r="K6" s="50"/>
      <c r="L6" s="51"/>
      <c r="M6" s="51"/>
      <c r="N6" s="93"/>
    </row>
    <row r="7" spans="1:14" ht="16.5" customHeight="1">
      <c r="A7" s="156" t="s">
        <v>754</v>
      </c>
      <c r="B7" s="90" t="s">
        <v>760</v>
      </c>
      <c r="C7" s="86" t="s">
        <v>780</v>
      </c>
      <c r="D7" s="73" t="s">
        <v>342</v>
      </c>
      <c r="E7" s="73">
        <v>3</v>
      </c>
      <c r="F7" s="47">
        <f ca="1">COUNTA($L7:INDIRECT(ADDRESS(ROW(),MATCH("",$4:$4,-1),1,1)))</f>
        <v>0</v>
      </c>
      <c r="G7" s="47">
        <f t="shared" ca="1" si="0"/>
        <v>0</v>
      </c>
      <c r="H7" s="47">
        <f ca="1">COUNTIF($L7:INDIRECT(ADDRESS(ROW(),MATCH("",$4:$4,-1),1,1)),"양호")</f>
        <v>0</v>
      </c>
      <c r="I7" s="47">
        <f ca="1">COUNTIF($L7:INDIRECT(ADDRESS(ROW(),MATCH("",$4:$4,-1),1,1)),"취약")</f>
        <v>0</v>
      </c>
      <c r="J7" s="47">
        <f ca="1">COUNTIF($L7:INDIRECT(ADDRESS(ROW(),MATCH("",$4:$4,-1),1,1)),"N/A")</f>
        <v>0</v>
      </c>
      <c r="K7" s="47"/>
      <c r="L7" s="49"/>
      <c r="M7" s="49"/>
      <c r="N7" s="94"/>
    </row>
    <row r="8" spans="1:14" ht="16.5" customHeight="1">
      <c r="A8" s="156" t="s">
        <v>754</v>
      </c>
      <c r="B8" s="90" t="s">
        <v>761</v>
      </c>
      <c r="C8" s="86" t="s">
        <v>781</v>
      </c>
      <c r="D8" s="73" t="s">
        <v>342</v>
      </c>
      <c r="E8" s="73">
        <v>3</v>
      </c>
      <c r="F8" s="47">
        <f ca="1">COUNTA($L8:INDIRECT(ADDRESS(ROW(),MATCH("",$4:$4,-1),1,1)))</f>
        <v>0</v>
      </c>
      <c r="G8" s="47">
        <f t="shared" ca="1" si="0"/>
        <v>0</v>
      </c>
      <c r="H8" s="47">
        <f ca="1">COUNTIF($L8:INDIRECT(ADDRESS(ROW(),MATCH("",$4:$4,-1),1,1)),"양호")</f>
        <v>0</v>
      </c>
      <c r="I8" s="47">
        <f ca="1">COUNTIF($L8:INDIRECT(ADDRESS(ROW(),MATCH("",$4:$4,-1),1,1)),"취약")</f>
        <v>0</v>
      </c>
      <c r="J8" s="47">
        <f ca="1">COUNTIF($L8:INDIRECT(ADDRESS(ROW(),MATCH("",$4:$4,-1),1,1)),"N/A")</f>
        <v>0</v>
      </c>
      <c r="K8" s="47"/>
      <c r="L8" s="49"/>
      <c r="M8" s="49"/>
      <c r="N8" s="94"/>
    </row>
    <row r="9" spans="1:14" ht="16.5" customHeight="1">
      <c r="A9" s="156" t="s">
        <v>754</v>
      </c>
      <c r="B9" s="90" t="s">
        <v>762</v>
      </c>
      <c r="C9" s="86" t="s">
        <v>782</v>
      </c>
      <c r="D9" s="73" t="s">
        <v>309</v>
      </c>
      <c r="E9" s="73">
        <v>5</v>
      </c>
      <c r="F9" s="47">
        <f ca="1">COUNTA($L9:INDIRECT(ADDRESS(ROW(),MATCH("",$4:$4,-1),1,1)))</f>
        <v>0</v>
      </c>
      <c r="G9" s="47">
        <f t="shared" ref="G9:G25" ca="1" si="1">F9-J9</f>
        <v>0</v>
      </c>
      <c r="H9" s="47">
        <f ca="1">COUNTIF($L9:INDIRECT(ADDRESS(ROW(),MATCH("",$4:$4,-1),1,1)),"양호")</f>
        <v>0</v>
      </c>
      <c r="I9" s="47">
        <f ca="1">COUNTIF($L9:INDIRECT(ADDRESS(ROW(),MATCH("",$4:$4,-1),1,1)),"취약")</f>
        <v>0</v>
      </c>
      <c r="J9" s="47">
        <f ca="1">COUNTIF($L9:INDIRECT(ADDRESS(ROW(),MATCH("",$4:$4,-1),1,1)),"N/A")</f>
        <v>0</v>
      </c>
      <c r="K9" s="47"/>
      <c r="L9" s="49"/>
      <c r="M9" s="49"/>
      <c r="N9" s="94"/>
    </row>
    <row r="10" spans="1:14" ht="16.5" customHeight="1">
      <c r="A10" s="156" t="s">
        <v>754</v>
      </c>
      <c r="B10" s="90" t="s">
        <v>763</v>
      </c>
      <c r="C10" s="86" t="s">
        <v>783</v>
      </c>
      <c r="D10" s="73" t="s">
        <v>342</v>
      </c>
      <c r="E10" s="73">
        <v>3</v>
      </c>
      <c r="F10" s="47">
        <f ca="1">COUNTA($L10:INDIRECT(ADDRESS(ROW(),MATCH("",$4:$4,-1),1,1)))</f>
        <v>0</v>
      </c>
      <c r="G10" s="47">
        <f t="shared" ca="1" si="1"/>
        <v>0</v>
      </c>
      <c r="H10" s="47">
        <f ca="1">COUNTIF($L10:INDIRECT(ADDRESS(ROW(),MATCH("",$4:$4,-1),1,1)),"양호")</f>
        <v>0</v>
      </c>
      <c r="I10" s="47">
        <f ca="1">COUNTIF($L10:INDIRECT(ADDRESS(ROW(),MATCH("",$4:$4,-1),1,1)),"취약")</f>
        <v>0</v>
      </c>
      <c r="J10" s="47">
        <f ca="1">COUNTIF($L10:INDIRECT(ADDRESS(ROW(),MATCH("",$4:$4,-1),1,1)),"N/A")</f>
        <v>0</v>
      </c>
      <c r="K10" s="47"/>
      <c r="L10" s="49"/>
      <c r="M10" s="49"/>
      <c r="N10" s="94"/>
    </row>
    <row r="11" spans="1:14" ht="16.5" customHeight="1">
      <c r="A11" s="156" t="s">
        <v>755</v>
      </c>
      <c r="B11" s="90" t="s">
        <v>764</v>
      </c>
      <c r="C11" s="86" t="s">
        <v>784</v>
      </c>
      <c r="D11" s="73" t="s">
        <v>342</v>
      </c>
      <c r="E11" s="73">
        <v>3</v>
      </c>
      <c r="F11" s="47">
        <f ca="1">COUNTA($L11:INDIRECT(ADDRESS(ROW(),MATCH("",$4:$4,-1),1,1)))</f>
        <v>0</v>
      </c>
      <c r="G11" s="47">
        <f t="shared" ca="1" si="1"/>
        <v>0</v>
      </c>
      <c r="H11" s="47">
        <f ca="1">COUNTIF($L11:INDIRECT(ADDRESS(ROW(),MATCH("",$4:$4,-1),1,1)),"양호")</f>
        <v>0</v>
      </c>
      <c r="I11" s="47">
        <f ca="1">COUNTIF($L11:INDIRECT(ADDRESS(ROW(),MATCH("",$4:$4,-1),1,1)),"취약")</f>
        <v>0</v>
      </c>
      <c r="J11" s="47">
        <f ca="1">COUNTIF($L11:INDIRECT(ADDRESS(ROW(),MATCH("",$4:$4,-1),1,1)),"N/A")</f>
        <v>0</v>
      </c>
      <c r="K11" s="47"/>
      <c r="L11" s="49"/>
      <c r="M11" s="49"/>
      <c r="N11" s="94"/>
    </row>
    <row r="12" spans="1:14" ht="16.5" customHeight="1">
      <c r="A12" s="156" t="s">
        <v>755</v>
      </c>
      <c r="B12" s="90" t="s">
        <v>765</v>
      </c>
      <c r="C12" s="86" t="s">
        <v>785</v>
      </c>
      <c r="D12" s="73" t="s">
        <v>342</v>
      </c>
      <c r="E12" s="73">
        <v>3</v>
      </c>
      <c r="F12" s="47">
        <f ca="1">COUNTA($L12:INDIRECT(ADDRESS(ROW(),MATCH("",$4:$4,-1),1,1)))</f>
        <v>0</v>
      </c>
      <c r="G12" s="47">
        <f t="shared" ca="1" si="1"/>
        <v>0</v>
      </c>
      <c r="H12" s="47">
        <f ca="1">COUNTIF($L12:INDIRECT(ADDRESS(ROW(),MATCH("",$4:$4,-1),1,1)),"양호")</f>
        <v>0</v>
      </c>
      <c r="I12" s="47">
        <f ca="1">COUNTIF($L12:INDIRECT(ADDRESS(ROW(),MATCH("",$4:$4,-1),1,1)),"취약")</f>
        <v>0</v>
      </c>
      <c r="J12" s="47">
        <f ca="1">COUNTIF($L12:INDIRECT(ADDRESS(ROW(),MATCH("",$4:$4,-1),1,1)),"N/A")</f>
        <v>0</v>
      </c>
      <c r="K12" s="47"/>
      <c r="L12" s="49"/>
      <c r="M12" s="49"/>
      <c r="N12" s="94"/>
    </row>
    <row r="13" spans="1:14" ht="16.5" customHeight="1">
      <c r="A13" s="156" t="s">
        <v>754</v>
      </c>
      <c r="B13" s="90" t="s">
        <v>766</v>
      </c>
      <c r="C13" s="86" t="s">
        <v>786</v>
      </c>
      <c r="D13" s="73" t="s">
        <v>309</v>
      </c>
      <c r="E13" s="73">
        <v>5</v>
      </c>
      <c r="F13" s="47">
        <f ca="1">COUNTA($L13:INDIRECT(ADDRESS(ROW(),MATCH("",$4:$4,-1),1,1)))</f>
        <v>0</v>
      </c>
      <c r="G13" s="47">
        <f t="shared" ca="1" si="1"/>
        <v>0</v>
      </c>
      <c r="H13" s="47">
        <f ca="1">COUNTIF($L13:INDIRECT(ADDRESS(ROW(),MATCH("",$4:$4,-1),1,1)),"양호")</f>
        <v>0</v>
      </c>
      <c r="I13" s="47">
        <f ca="1">COUNTIF($L13:INDIRECT(ADDRESS(ROW(),MATCH("",$4:$4,-1),1,1)),"취약")</f>
        <v>0</v>
      </c>
      <c r="J13" s="47">
        <f ca="1">COUNTIF($L13:INDIRECT(ADDRESS(ROW(),MATCH("",$4:$4,-1),1,1)),"N/A")</f>
        <v>0</v>
      </c>
      <c r="K13" s="47"/>
      <c r="L13" s="49"/>
      <c r="M13" s="49"/>
      <c r="N13" s="94"/>
    </row>
    <row r="14" spans="1:14" ht="16.5" customHeight="1">
      <c r="A14" s="156" t="s">
        <v>754</v>
      </c>
      <c r="B14" s="90" t="s">
        <v>767</v>
      </c>
      <c r="C14" s="86" t="s">
        <v>787</v>
      </c>
      <c r="D14" s="73" t="s">
        <v>309</v>
      </c>
      <c r="E14" s="73">
        <v>5</v>
      </c>
      <c r="F14" s="47">
        <f ca="1">COUNTA($L14:INDIRECT(ADDRESS(ROW(),MATCH("",$4:$4,-1),1,1)))</f>
        <v>0</v>
      </c>
      <c r="G14" s="47">
        <f t="shared" ca="1" si="1"/>
        <v>0</v>
      </c>
      <c r="H14" s="47">
        <f ca="1">COUNTIF($L14:INDIRECT(ADDRESS(ROW(),MATCH("",$4:$4,-1),1,1)),"양호")</f>
        <v>0</v>
      </c>
      <c r="I14" s="47">
        <f ca="1">COUNTIF($L14:INDIRECT(ADDRESS(ROW(),MATCH("",$4:$4,-1),1,1)),"취약")</f>
        <v>0</v>
      </c>
      <c r="J14" s="47">
        <f ca="1">COUNTIF($L14:INDIRECT(ADDRESS(ROW(),MATCH("",$4:$4,-1),1,1)),"N/A")</f>
        <v>0</v>
      </c>
      <c r="K14" s="47"/>
      <c r="L14" s="49"/>
      <c r="M14" s="49"/>
      <c r="N14" s="94"/>
    </row>
    <row r="15" spans="1:14" ht="16.5" customHeight="1">
      <c r="A15" s="156" t="s">
        <v>754</v>
      </c>
      <c r="B15" s="90" t="s">
        <v>768</v>
      </c>
      <c r="C15" s="86" t="s">
        <v>788</v>
      </c>
      <c r="D15" s="73" t="s">
        <v>309</v>
      </c>
      <c r="E15" s="73">
        <v>5</v>
      </c>
      <c r="F15" s="47">
        <f ca="1">COUNTA($L15:INDIRECT(ADDRESS(ROW(),MATCH("",$4:$4,-1),1,1)))</f>
        <v>0</v>
      </c>
      <c r="G15" s="47">
        <f t="shared" ca="1" si="1"/>
        <v>0</v>
      </c>
      <c r="H15" s="47">
        <f ca="1">COUNTIF($L15:INDIRECT(ADDRESS(ROW(),MATCH("",$4:$4,-1),1,1)),"양호")</f>
        <v>0</v>
      </c>
      <c r="I15" s="47">
        <f ca="1">COUNTIF($L15:INDIRECT(ADDRESS(ROW(),MATCH("",$4:$4,-1),1,1)),"취약")</f>
        <v>0</v>
      </c>
      <c r="J15" s="47">
        <f ca="1">COUNTIF($L15:INDIRECT(ADDRESS(ROW(),MATCH("",$4:$4,-1),1,1)),"N/A")</f>
        <v>0</v>
      </c>
      <c r="K15" s="47"/>
      <c r="L15" s="49"/>
      <c r="M15" s="49"/>
      <c r="N15" s="94"/>
    </row>
    <row r="16" spans="1:14" ht="16.5" customHeight="1">
      <c r="A16" s="156" t="s">
        <v>754</v>
      </c>
      <c r="B16" s="90" t="s">
        <v>769</v>
      </c>
      <c r="C16" s="86" t="s">
        <v>789</v>
      </c>
      <c r="D16" s="73" t="s">
        <v>309</v>
      </c>
      <c r="E16" s="73">
        <v>5</v>
      </c>
      <c r="F16" s="47">
        <f ca="1">COUNTA($L16:INDIRECT(ADDRESS(ROW(),MATCH("",$4:$4,-1),1,1)))</f>
        <v>0</v>
      </c>
      <c r="G16" s="47">
        <f t="shared" ca="1" si="1"/>
        <v>0</v>
      </c>
      <c r="H16" s="47">
        <f ca="1">COUNTIF($L16:INDIRECT(ADDRESS(ROW(),MATCH("",$4:$4,-1),1,1)),"양호")</f>
        <v>0</v>
      </c>
      <c r="I16" s="47">
        <f ca="1">COUNTIF($L16:INDIRECT(ADDRESS(ROW(),MATCH("",$4:$4,-1),1,1)),"취약")</f>
        <v>0</v>
      </c>
      <c r="J16" s="47">
        <f ca="1">COUNTIF($L16:INDIRECT(ADDRESS(ROW(),MATCH("",$4:$4,-1),1,1)),"N/A")</f>
        <v>0</v>
      </c>
      <c r="K16" s="47"/>
      <c r="L16" s="49"/>
      <c r="M16" s="49"/>
      <c r="N16" s="94"/>
    </row>
    <row r="17" spans="1:14" ht="16.5" customHeight="1">
      <c r="A17" s="156" t="s">
        <v>754</v>
      </c>
      <c r="B17" s="90" t="s">
        <v>770</v>
      </c>
      <c r="C17" s="86" t="s">
        <v>790</v>
      </c>
      <c r="D17" s="73" t="s">
        <v>309</v>
      </c>
      <c r="E17" s="73">
        <v>5</v>
      </c>
      <c r="F17" s="47">
        <f ca="1">COUNTA($L17:INDIRECT(ADDRESS(ROW(),MATCH("",$4:$4,-1),1,1)))</f>
        <v>0</v>
      </c>
      <c r="G17" s="47">
        <f t="shared" ca="1" si="1"/>
        <v>0</v>
      </c>
      <c r="H17" s="47">
        <f ca="1">COUNTIF($L17:INDIRECT(ADDRESS(ROW(),MATCH("",$4:$4,-1),1,1)),"양호")</f>
        <v>0</v>
      </c>
      <c r="I17" s="47">
        <f ca="1">COUNTIF($L17:INDIRECT(ADDRESS(ROW(),MATCH("",$4:$4,-1),1,1)),"취약")</f>
        <v>0</v>
      </c>
      <c r="J17" s="47">
        <f ca="1">COUNTIF($L17:INDIRECT(ADDRESS(ROW(),MATCH("",$4:$4,-1),1,1)),"N/A")</f>
        <v>0</v>
      </c>
      <c r="K17" s="47"/>
      <c r="L17" s="49"/>
      <c r="M17" s="49"/>
      <c r="N17" s="94"/>
    </row>
    <row r="18" spans="1:14" ht="16.5" customHeight="1">
      <c r="A18" s="156" t="s">
        <v>756</v>
      </c>
      <c r="B18" s="90" t="s">
        <v>771</v>
      </c>
      <c r="C18" s="86" t="s">
        <v>791</v>
      </c>
      <c r="D18" s="73" t="s">
        <v>309</v>
      </c>
      <c r="E18" s="73">
        <v>5</v>
      </c>
      <c r="F18" s="47">
        <f ca="1">COUNTA($L18:INDIRECT(ADDRESS(ROW(),MATCH("",$4:$4,-1),1,1)))</f>
        <v>0</v>
      </c>
      <c r="G18" s="47">
        <f t="shared" ca="1" si="1"/>
        <v>0</v>
      </c>
      <c r="H18" s="47">
        <f ca="1">COUNTIF($L18:INDIRECT(ADDRESS(ROW(),MATCH("",$4:$4,-1),1,1)),"양호")</f>
        <v>0</v>
      </c>
      <c r="I18" s="47">
        <f ca="1">COUNTIF($L18:INDIRECT(ADDRESS(ROW(),MATCH("",$4:$4,-1),1,1)),"취약")</f>
        <v>0</v>
      </c>
      <c r="J18" s="47">
        <f ca="1">COUNTIF($L18:INDIRECT(ADDRESS(ROW(),MATCH("",$4:$4,-1),1,1)),"N/A")</f>
        <v>0</v>
      </c>
      <c r="K18" s="47"/>
      <c r="L18" s="49"/>
      <c r="M18" s="49"/>
      <c r="N18" s="94"/>
    </row>
    <row r="19" spans="1:14" ht="16.5" customHeight="1">
      <c r="A19" s="156" t="s">
        <v>757</v>
      </c>
      <c r="B19" s="90" t="s">
        <v>772</v>
      </c>
      <c r="C19" s="86" t="s">
        <v>792</v>
      </c>
      <c r="D19" s="73" t="s">
        <v>309</v>
      </c>
      <c r="E19" s="73">
        <v>5</v>
      </c>
      <c r="F19" s="47">
        <f ca="1">COUNTA($L19:INDIRECT(ADDRESS(ROW(),MATCH("",$4:$4,-1),1,1)))</f>
        <v>0</v>
      </c>
      <c r="G19" s="47">
        <f t="shared" ca="1" si="1"/>
        <v>0</v>
      </c>
      <c r="H19" s="47">
        <f ca="1">COUNTIF($L19:INDIRECT(ADDRESS(ROW(),MATCH("",$4:$4,-1),1,1)),"양호")</f>
        <v>0</v>
      </c>
      <c r="I19" s="47">
        <f ca="1">COUNTIF($L19:INDIRECT(ADDRESS(ROW(),MATCH("",$4:$4,-1),1,1)),"취약")</f>
        <v>0</v>
      </c>
      <c r="J19" s="47">
        <f ca="1">COUNTIF($L19:INDIRECT(ADDRESS(ROW(),MATCH("",$4:$4,-1),1,1)),"N/A")</f>
        <v>0</v>
      </c>
      <c r="K19" s="47"/>
      <c r="L19" s="49"/>
      <c r="M19" s="49"/>
      <c r="N19" s="94"/>
    </row>
    <row r="20" spans="1:14" ht="16.5" customHeight="1">
      <c r="A20" s="156" t="s">
        <v>754</v>
      </c>
      <c r="B20" s="90" t="s">
        <v>773</v>
      </c>
      <c r="C20" s="86" t="s">
        <v>793</v>
      </c>
      <c r="D20" s="73" t="s">
        <v>309</v>
      </c>
      <c r="E20" s="73">
        <v>5</v>
      </c>
      <c r="F20" s="47">
        <f ca="1">COUNTA($L20:INDIRECT(ADDRESS(ROW(),MATCH("",$4:$4,-1),1,1)))</f>
        <v>0</v>
      </c>
      <c r="G20" s="47">
        <f t="shared" ca="1" si="1"/>
        <v>0</v>
      </c>
      <c r="H20" s="47">
        <f ca="1">COUNTIF($L20:INDIRECT(ADDRESS(ROW(),MATCH("",$4:$4,-1),1,1)),"양호")</f>
        <v>0</v>
      </c>
      <c r="I20" s="47">
        <f ca="1">COUNTIF($L20:INDIRECT(ADDRESS(ROW(),MATCH("",$4:$4,-1),1,1)),"취약")</f>
        <v>0</v>
      </c>
      <c r="J20" s="47">
        <f ca="1">COUNTIF($L20:INDIRECT(ADDRESS(ROW(),MATCH("",$4:$4,-1),1,1)),"N/A")</f>
        <v>0</v>
      </c>
      <c r="K20" s="47"/>
      <c r="L20" s="49"/>
      <c r="M20" s="49"/>
      <c r="N20" s="94"/>
    </row>
    <row r="21" spans="1:14" ht="16.5" customHeight="1">
      <c r="A21" s="156" t="s">
        <v>754</v>
      </c>
      <c r="B21" s="90" t="s">
        <v>774</v>
      </c>
      <c r="C21" s="86" t="s">
        <v>794</v>
      </c>
      <c r="D21" s="73" t="s">
        <v>309</v>
      </c>
      <c r="E21" s="73">
        <v>5</v>
      </c>
      <c r="F21" s="47">
        <f ca="1">COUNTA($L21:INDIRECT(ADDRESS(ROW(),MATCH("",$4:$4,-1),1,1)))</f>
        <v>0</v>
      </c>
      <c r="G21" s="47">
        <f t="shared" ca="1" si="1"/>
        <v>0</v>
      </c>
      <c r="H21" s="47">
        <f ca="1">COUNTIF($L21:INDIRECT(ADDRESS(ROW(),MATCH("",$4:$4,-1),1,1)),"양호")</f>
        <v>0</v>
      </c>
      <c r="I21" s="47">
        <f ca="1">COUNTIF($L21:INDIRECT(ADDRESS(ROW(),MATCH("",$4:$4,-1),1,1)),"취약")</f>
        <v>0</v>
      </c>
      <c r="J21" s="47">
        <f ca="1">COUNTIF($L21:INDIRECT(ADDRESS(ROW(),MATCH("",$4:$4,-1),1,1)),"N/A")</f>
        <v>0</v>
      </c>
      <c r="K21" s="47"/>
      <c r="L21" s="49"/>
      <c r="M21" s="49"/>
      <c r="N21" s="94"/>
    </row>
    <row r="22" spans="1:14" ht="16.5" customHeight="1">
      <c r="A22" s="156" t="s">
        <v>754</v>
      </c>
      <c r="B22" s="90" t="s">
        <v>775</v>
      </c>
      <c r="C22" s="86" t="s">
        <v>795</v>
      </c>
      <c r="D22" s="73" t="s">
        <v>309</v>
      </c>
      <c r="E22" s="73">
        <v>5</v>
      </c>
      <c r="F22" s="47">
        <f ca="1">COUNTA($L22:INDIRECT(ADDRESS(ROW(),MATCH("",$4:$4,-1),1,1)))</f>
        <v>0</v>
      </c>
      <c r="G22" s="47">
        <f t="shared" ca="1" si="1"/>
        <v>0</v>
      </c>
      <c r="H22" s="47">
        <f ca="1">COUNTIF($L22:INDIRECT(ADDRESS(ROW(),MATCH("",$4:$4,-1),1,1)),"양호")</f>
        <v>0</v>
      </c>
      <c r="I22" s="47">
        <f ca="1">COUNTIF($L22:INDIRECT(ADDRESS(ROW(),MATCH("",$4:$4,-1),1,1)),"취약")</f>
        <v>0</v>
      </c>
      <c r="J22" s="47">
        <f ca="1">COUNTIF($L22:INDIRECT(ADDRESS(ROW(),MATCH("",$4:$4,-1),1,1)),"N/A")</f>
        <v>0</v>
      </c>
      <c r="K22" s="47"/>
      <c r="L22" s="49"/>
      <c r="M22" s="49"/>
      <c r="N22" s="94"/>
    </row>
    <row r="23" spans="1:14" ht="16.5" customHeight="1">
      <c r="A23" s="156" t="s">
        <v>756</v>
      </c>
      <c r="B23" s="90" t="s">
        <v>776</v>
      </c>
      <c r="C23" s="86" t="s">
        <v>796</v>
      </c>
      <c r="D23" s="73" t="s">
        <v>309</v>
      </c>
      <c r="E23" s="73">
        <v>5</v>
      </c>
      <c r="F23" s="47">
        <f ca="1">COUNTA($L23:INDIRECT(ADDRESS(ROW(),MATCH("",$4:$4,-1),1,1)))</f>
        <v>0</v>
      </c>
      <c r="G23" s="47">
        <f t="shared" ca="1" si="1"/>
        <v>0</v>
      </c>
      <c r="H23" s="47">
        <f ca="1">COUNTIF($L23:INDIRECT(ADDRESS(ROW(),MATCH("",$4:$4,-1),1,1)),"양호")</f>
        <v>0</v>
      </c>
      <c r="I23" s="47">
        <f ca="1">COUNTIF($L23:INDIRECT(ADDRESS(ROW(),MATCH("",$4:$4,-1),1,1)),"취약")</f>
        <v>0</v>
      </c>
      <c r="J23" s="47">
        <f ca="1">COUNTIF($L23:INDIRECT(ADDRESS(ROW(),MATCH("",$4:$4,-1),1,1)),"N/A")</f>
        <v>0</v>
      </c>
      <c r="K23" s="47"/>
      <c r="L23" s="49"/>
      <c r="M23" s="49"/>
      <c r="N23" s="94"/>
    </row>
    <row r="24" spans="1:14" ht="16.5" customHeight="1">
      <c r="A24" s="156" t="s">
        <v>758</v>
      </c>
      <c r="B24" s="90" t="s">
        <v>777</v>
      </c>
      <c r="C24" s="86" t="s">
        <v>797</v>
      </c>
      <c r="D24" s="73" t="s">
        <v>309</v>
      </c>
      <c r="E24" s="73">
        <v>5</v>
      </c>
      <c r="F24" s="47">
        <f ca="1">COUNTA($L24:INDIRECT(ADDRESS(ROW(),MATCH("",$4:$4,-1),1,1)))</f>
        <v>0</v>
      </c>
      <c r="G24" s="47">
        <f t="shared" ca="1" si="1"/>
        <v>0</v>
      </c>
      <c r="H24" s="47">
        <f ca="1">COUNTIF($L24:INDIRECT(ADDRESS(ROW(),MATCH("",$4:$4,-1),1,1)),"양호")</f>
        <v>0</v>
      </c>
      <c r="I24" s="47">
        <f ca="1">COUNTIF($L24:INDIRECT(ADDRESS(ROW(),MATCH("",$4:$4,-1),1,1)),"취약")</f>
        <v>0</v>
      </c>
      <c r="J24" s="47">
        <f ca="1">COUNTIF($L24:INDIRECT(ADDRESS(ROW(),MATCH("",$4:$4,-1),1,1)),"N/A")</f>
        <v>0</v>
      </c>
      <c r="K24" s="47"/>
      <c r="L24" s="49"/>
      <c r="M24" s="49"/>
      <c r="N24" s="94"/>
    </row>
    <row r="25" spans="1:14" ht="16.5" customHeight="1" thickBot="1">
      <c r="A25" s="156" t="s">
        <v>758</v>
      </c>
      <c r="B25" s="90" t="s">
        <v>778</v>
      </c>
      <c r="C25" s="86" t="s">
        <v>798</v>
      </c>
      <c r="D25" s="73" t="s">
        <v>309</v>
      </c>
      <c r="E25" s="73">
        <v>5</v>
      </c>
      <c r="F25" s="47">
        <f ca="1">COUNTA($L25:INDIRECT(ADDRESS(ROW(),MATCH("",$4:$4,-1),1,1)))</f>
        <v>0</v>
      </c>
      <c r="G25" s="47">
        <f t="shared" ca="1" si="1"/>
        <v>0</v>
      </c>
      <c r="H25" s="47">
        <f ca="1">COUNTIF($L25:INDIRECT(ADDRESS(ROW(),MATCH("",$4:$4,-1),1,1)),"양호")</f>
        <v>0</v>
      </c>
      <c r="I25" s="47">
        <f ca="1">COUNTIF($L25:INDIRECT(ADDRESS(ROW(),MATCH("",$4:$4,-1),1,1)),"취약")</f>
        <v>0</v>
      </c>
      <c r="J25" s="47">
        <f ca="1">COUNTIF($L25:INDIRECT(ADDRESS(ROW(),MATCH("",$4:$4,-1),1,1)),"N/A")</f>
        <v>0</v>
      </c>
      <c r="K25" s="47"/>
      <c r="L25" s="49"/>
      <c r="M25" s="49"/>
      <c r="N25" s="94"/>
    </row>
    <row r="26" spans="1:14" ht="17.25" thickBot="1">
      <c r="A26" s="467" t="s">
        <v>343</v>
      </c>
      <c r="B26" s="468"/>
      <c r="C26" s="468"/>
      <c r="D26" s="468"/>
      <c r="E26" s="101">
        <f t="shared" ref="E26:J26" si="2">SUM(E6:E25)</f>
        <v>90</v>
      </c>
      <c r="F26" s="101">
        <f t="shared" ca="1" si="2"/>
        <v>0</v>
      </c>
      <c r="G26" s="101">
        <f t="shared" ca="1" si="2"/>
        <v>0</v>
      </c>
      <c r="H26" s="101">
        <f t="shared" ca="1" si="2"/>
        <v>0</v>
      </c>
      <c r="I26" s="101">
        <f t="shared" ca="1" si="2"/>
        <v>0</v>
      </c>
      <c r="J26" s="101">
        <f t="shared" ca="1" si="2"/>
        <v>0</v>
      </c>
      <c r="K26" s="101"/>
      <c r="L26" s="102">
        <f>COUNTIF(L6:L25,"양호")+COUNTIF(L6:L25,"취약")+COUNTIF(L6:L25,"부분만족")+COUNTIF(L6:L25,"N/A")</f>
        <v>0</v>
      </c>
      <c r="M26" s="102">
        <f>COUNTIF(M6:M25,"양호")+COUNTIF(M6:M25,"취약")+COUNTIF(M6:M25,"부분만족")+COUNTIF(M6:M25,"N/A")</f>
        <v>0</v>
      </c>
      <c r="N26" s="103">
        <f>COUNTIF(N6:N25,"양호")+COUNTIF(N6:N25,"취약")+COUNTIF(N6:N25,"부분만족")+COUNTIF(N6:N25,"N/A")</f>
        <v>0</v>
      </c>
    </row>
    <row r="27" spans="1:14" ht="17.25" thickBot="1"/>
    <row r="28" spans="1:14">
      <c r="G28" s="455" t="s">
        <v>339</v>
      </c>
      <c r="H28" s="456"/>
      <c r="I28" s="457"/>
      <c r="J28" s="11">
        <f>SUM(K28:N28)</f>
        <v>0</v>
      </c>
      <c r="K28" s="22"/>
      <c r="L28" s="12">
        <f>COUNTIF(L$6:L$25,$G$28)</f>
        <v>0</v>
      </c>
      <c r="M28" s="12">
        <f>COUNTIF(M$6:M$25,$G$28)</f>
        <v>0</v>
      </c>
      <c r="N28" s="12">
        <f>COUNTIF(N$6:N$25,$G$28)</f>
        <v>0</v>
      </c>
    </row>
    <row r="29" spans="1:14">
      <c r="G29" s="458" t="s">
        <v>340</v>
      </c>
      <c r="H29" s="459"/>
      <c r="I29" s="460"/>
      <c r="J29" s="13">
        <f>SUM(K29:N29)</f>
        <v>0</v>
      </c>
      <c r="K29" s="23"/>
      <c r="L29" s="14">
        <f>COUNTIF(L$6:L$25,$G$29)</f>
        <v>0</v>
      </c>
      <c r="M29" s="14">
        <f>COUNTIF(M$6:M$25,$G$29)</f>
        <v>0</v>
      </c>
      <c r="N29" s="14">
        <f>COUNTIF(N$6:N$25,$G$29)</f>
        <v>0</v>
      </c>
    </row>
    <row r="30" spans="1:14" ht="17.25" thickBot="1">
      <c r="G30" s="461" t="s">
        <v>344</v>
      </c>
      <c r="H30" s="462"/>
      <c r="I30" s="463"/>
      <c r="J30" s="15">
        <f>SUM(K30:N30)</f>
        <v>0</v>
      </c>
      <c r="K30" s="24"/>
      <c r="L30" s="16">
        <f>COUNTIF(L$6:L$25,$G$30)</f>
        <v>0</v>
      </c>
      <c r="M30" s="16">
        <f>COUNTIF(M$6:M$25,$G$30)</f>
        <v>0</v>
      </c>
      <c r="N30" s="16">
        <f>COUNTIF(N$6:N$25,$G$30)</f>
        <v>0</v>
      </c>
    </row>
    <row r="31" spans="1:14" ht="17.25" thickBot="1"/>
    <row r="32" spans="1:14">
      <c r="I32" s="464" t="s">
        <v>280</v>
      </c>
      <c r="J32" s="11">
        <f>SUM(K32:N32)</f>
        <v>0</v>
      </c>
      <c r="K32" s="32"/>
      <c r="L32" s="32">
        <f>COUNTIFS($D$6:$D$25,$I$32,L$6:L$25,$G$28)</f>
        <v>0</v>
      </c>
      <c r="M32" s="32">
        <f>COUNTIFS($D$6:$D$25,$I$32,M$6:M$25,$G$28)</f>
        <v>0</v>
      </c>
      <c r="N32" s="32">
        <f>COUNTIFS($D$6:$D$25,$I$32,N$6:N$25,$G$28)</f>
        <v>0</v>
      </c>
    </row>
    <row r="33" spans="9:14" ht="16.5" customHeight="1">
      <c r="I33" s="465"/>
      <c r="J33" s="13">
        <f t="shared" ref="J33:J37" si="3">SUM(K33:N33)</f>
        <v>0</v>
      </c>
      <c r="K33" s="18"/>
      <c r="L33" s="18">
        <f>COUNTIFS($D$6:$D$25,$I$32,L$6:L$25,$G$29)</f>
        <v>0</v>
      </c>
      <c r="M33" s="18">
        <f>COUNTIFS($D$6:$D$25,$I$32,M$6:M$25,$G$29)</f>
        <v>0</v>
      </c>
      <c r="N33" s="18">
        <f>COUNTIFS($D$6:$D$25,$I$32,N$6:N$25,$G$29)</f>
        <v>0</v>
      </c>
    </row>
    <row r="34" spans="9:14" ht="16.5" customHeight="1" thickBot="1">
      <c r="I34" s="466"/>
      <c r="J34" s="15">
        <f t="shared" si="3"/>
        <v>0</v>
      </c>
      <c r="K34" s="33"/>
      <c r="L34" s="33">
        <f>COUNTIFS($D$6:$D$25,$I$32,L$6:L$25,$G$30)</f>
        <v>0</v>
      </c>
      <c r="M34" s="33">
        <f>COUNTIFS($D$6:$D$25,$I$32,M$6:M$25,$G$30)</f>
        <v>0</v>
      </c>
      <c r="N34" s="33">
        <f>COUNTIFS($D$6:$D$25,$I$32,N$6:N$25,$G$30)</f>
        <v>0</v>
      </c>
    </row>
    <row r="35" spans="9:14" ht="16.5" customHeight="1" thickBot="1">
      <c r="I35" s="454" t="s">
        <v>281</v>
      </c>
      <c r="J35" s="11">
        <f>SUM(K35:N35)</f>
        <v>0</v>
      </c>
      <c r="K35" s="32"/>
      <c r="L35" s="32">
        <f>COUNTIFS($D$6:$D$25,$I$35,L$6:L$25,$G$28)</f>
        <v>0</v>
      </c>
      <c r="M35" s="32">
        <f>COUNTIFS($D$6:$D$25,$I$35,M$6:M$25,$G$28)</f>
        <v>0</v>
      </c>
      <c r="N35" s="32">
        <f>COUNTIFS($D$6:$D$25,$I$35,N$6:N$25,$G$28)</f>
        <v>0</v>
      </c>
    </row>
    <row r="36" spans="9:14" ht="16.5" customHeight="1" thickBot="1">
      <c r="I36" s="454"/>
      <c r="J36" s="13">
        <f t="shared" si="3"/>
        <v>0</v>
      </c>
      <c r="K36" s="18"/>
      <c r="L36" s="18">
        <f>COUNTIFS($D$6:$D$25,$I$35,L$6:L$25,$G$29)</f>
        <v>0</v>
      </c>
      <c r="M36" s="18">
        <f>COUNTIFS($D$6:$D$25,$I$35,M$6:M$25,$G$29)</f>
        <v>0</v>
      </c>
      <c r="N36" s="18">
        <f>COUNTIFS($D$6:$D$25,$I$35,N$6:N$25,$G$29)</f>
        <v>0</v>
      </c>
    </row>
    <row r="37" spans="9:14" ht="16.5" customHeight="1" thickBot="1">
      <c r="I37" s="454"/>
      <c r="J37" s="15">
        <f t="shared" si="3"/>
        <v>0</v>
      </c>
      <c r="K37" s="33"/>
      <c r="L37" s="33">
        <f>COUNTIFS($D$6:$D$25,$I$35,L$6:L$25,$G$30)</f>
        <v>0</v>
      </c>
      <c r="M37" s="33">
        <f>COUNTIFS($D$6:$D$25,$I$35,M$6:M$25,$G$30)</f>
        <v>0</v>
      </c>
      <c r="N37" s="33">
        <f>COUNTIFS($D$6:$D$25,$I$35,N$6:N$25,$G$30)</f>
        <v>0</v>
      </c>
    </row>
    <row r="38" spans="9:14" ht="16.5" customHeight="1" thickBot="1">
      <c r="I38" s="454" t="s">
        <v>282</v>
      </c>
      <c r="J38" s="11">
        <f>SUM(K38:N38)</f>
        <v>0</v>
      </c>
      <c r="K38" s="32"/>
      <c r="L38" s="32">
        <f>COUNTIFS($D$6:$D$25,$I$38,L$6:L$25,$G$28)</f>
        <v>0</v>
      </c>
      <c r="M38" s="32">
        <f>COUNTIFS($D$6:$D$25,$I$38,M$6:M$25,$G$28)</f>
        <v>0</v>
      </c>
      <c r="N38" s="32">
        <f>COUNTIFS($D$6:$D$25,$I$38,N$6:N$25,$G$28)</f>
        <v>0</v>
      </c>
    </row>
    <row r="39" spans="9:14" ht="16.5" customHeight="1" thickBot="1">
      <c r="I39" s="454"/>
      <c r="J39" s="13">
        <f>SUM(K39:N39)</f>
        <v>0</v>
      </c>
      <c r="K39" s="18"/>
      <c r="L39" s="18">
        <f>COUNTIFS($D$6:$D$25,$I$38,L$6:L$25,$G$29)</f>
        <v>0</v>
      </c>
      <c r="M39" s="18">
        <f>COUNTIFS($D$6:$D$25,$I$38,M$6:M$25,$G$29)</f>
        <v>0</v>
      </c>
      <c r="N39" s="18">
        <f>COUNTIFS($D$6:$D$25,$I$38,N$6:N$25,$G$29)</f>
        <v>0</v>
      </c>
    </row>
    <row r="40" spans="9:14" ht="16.5" customHeight="1" thickBot="1">
      <c r="I40" s="454"/>
      <c r="J40" s="15">
        <f>SUM(K40:N40)</f>
        <v>0</v>
      </c>
      <c r="K40" s="33"/>
      <c r="L40" s="33">
        <f>COUNTIFS($D$6:$D$25,$I$38,L$6:L$25,$G$30)</f>
        <v>0</v>
      </c>
      <c r="M40" s="33">
        <f>COUNTIFS($D$6:$D$25,$I$38,M$6:M$25,$G$30)</f>
        <v>0</v>
      </c>
      <c r="N40" s="33">
        <f>COUNTIFS($D$6:$D$25,$I$38,N$6:N$25,$G$30)</f>
        <v>0</v>
      </c>
    </row>
    <row r="41" spans="9:14" ht="16.5" customHeight="1"/>
    <row r="42" spans="9:14" ht="16.5" customHeight="1"/>
    <row r="43" spans="9:14" ht="16.5" customHeight="1"/>
    <row r="44" spans="9:14" ht="16.5" customHeight="1"/>
    <row r="45" spans="9:14" ht="16.5" customHeight="1"/>
    <row r="46" spans="9:14" ht="16.5" customHeight="1"/>
    <row r="47" spans="9:14" ht="16.5" customHeight="1"/>
    <row r="48" spans="9:14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</sheetData>
  <mergeCells count="15">
    <mergeCell ref="I32:I34"/>
    <mergeCell ref="I35:I37"/>
    <mergeCell ref="I38:I40"/>
    <mergeCell ref="N4:N5"/>
    <mergeCell ref="A26:D26"/>
    <mergeCell ref="G28:I28"/>
    <mergeCell ref="G29:I29"/>
    <mergeCell ref="G30:I30"/>
    <mergeCell ref="M4:M5"/>
    <mergeCell ref="A4:C4"/>
    <mergeCell ref="D4:D5"/>
    <mergeCell ref="E4:E5"/>
    <mergeCell ref="F4:J4"/>
    <mergeCell ref="L4:L5"/>
    <mergeCell ref="K4:K5"/>
  </mergeCells>
  <phoneticPr fontId="1" type="noConversion"/>
  <conditionalFormatting sqref="L6:N25">
    <cfRule type="cellIs" dxfId="27" priority="4" stopIfTrue="1" operator="equal">
      <formula>"취약"</formula>
    </cfRule>
    <cfRule type="cellIs" dxfId="26" priority="5" stopIfTrue="1" operator="equal">
      <formula>"부분만족"</formula>
    </cfRule>
    <cfRule type="cellIs" dxfId="25" priority="6" stopIfTrue="1" operator="equal">
      <formula>"N/A"</formula>
    </cfRule>
  </conditionalFormatting>
  <printOptions horizontalCentered="1"/>
  <pageMargins left="0.39370078740157483" right="0.39370078740157483" top="0.59055118110236215" bottom="0.59055118110236215" header="0.19685039370078741" footer="0.19685039370078741"/>
  <pageSetup paperSize="9" scale="96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7030A0"/>
    <pageSetUpPr fitToPage="1"/>
  </sheetPr>
  <dimension ref="A1:N86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1" width="6.75" style="8" customWidth="1"/>
    <col min="12" max="14" width="9.25" style="8" customWidth="1"/>
    <col min="15" max="15" width="2.625" style="8" customWidth="1"/>
    <col min="16" max="207" width="9" style="8"/>
    <col min="208" max="208" width="2.625" style="8" customWidth="1"/>
    <col min="209" max="209" width="9.25" style="8" bestFit="1" customWidth="1"/>
    <col min="210" max="210" width="9" style="8"/>
    <col min="211" max="211" width="40.5" style="8" customWidth="1"/>
    <col min="212" max="213" width="6.125" style="8" customWidth="1"/>
    <col min="214" max="219" width="6.75" style="8" customWidth="1"/>
    <col min="220" max="269" width="9.25" style="8" customWidth="1"/>
    <col min="270" max="270" width="2.625" style="8" customWidth="1"/>
    <col min="271" max="463" width="9" style="8"/>
    <col min="464" max="464" width="2.625" style="8" customWidth="1"/>
    <col min="465" max="465" width="9.25" style="8" bestFit="1" customWidth="1"/>
    <col min="466" max="466" width="9" style="8"/>
    <col min="467" max="467" width="40.5" style="8" customWidth="1"/>
    <col min="468" max="469" width="6.125" style="8" customWidth="1"/>
    <col min="470" max="475" width="6.75" style="8" customWidth="1"/>
    <col min="476" max="525" width="9.25" style="8" customWidth="1"/>
    <col min="526" max="526" width="2.625" style="8" customWidth="1"/>
    <col min="527" max="719" width="9" style="8"/>
    <col min="720" max="720" width="2.625" style="8" customWidth="1"/>
    <col min="721" max="721" width="9.25" style="8" bestFit="1" customWidth="1"/>
    <col min="722" max="722" width="9" style="8"/>
    <col min="723" max="723" width="40.5" style="8" customWidth="1"/>
    <col min="724" max="725" width="6.125" style="8" customWidth="1"/>
    <col min="726" max="731" width="6.75" style="8" customWidth="1"/>
    <col min="732" max="781" width="9.25" style="8" customWidth="1"/>
    <col min="782" max="782" width="2.625" style="8" customWidth="1"/>
    <col min="783" max="975" width="9" style="8"/>
    <col min="976" max="976" width="2.625" style="8" customWidth="1"/>
    <col min="977" max="977" width="9.25" style="8" bestFit="1" customWidth="1"/>
    <col min="978" max="978" width="9" style="8"/>
    <col min="979" max="979" width="40.5" style="8" customWidth="1"/>
    <col min="980" max="981" width="6.125" style="8" customWidth="1"/>
    <col min="982" max="987" width="6.75" style="8" customWidth="1"/>
    <col min="988" max="1037" width="9.25" style="8" customWidth="1"/>
    <col min="1038" max="1038" width="2.625" style="8" customWidth="1"/>
    <col min="1039" max="1231" width="9" style="8"/>
    <col min="1232" max="1232" width="2.625" style="8" customWidth="1"/>
    <col min="1233" max="1233" width="9.25" style="8" bestFit="1" customWidth="1"/>
    <col min="1234" max="1234" width="9" style="8"/>
    <col min="1235" max="1235" width="40.5" style="8" customWidth="1"/>
    <col min="1236" max="1237" width="6.125" style="8" customWidth="1"/>
    <col min="1238" max="1243" width="6.75" style="8" customWidth="1"/>
    <col min="1244" max="1293" width="9.25" style="8" customWidth="1"/>
    <col min="1294" max="1294" width="2.625" style="8" customWidth="1"/>
    <col min="1295" max="1487" width="9" style="8"/>
    <col min="1488" max="1488" width="2.625" style="8" customWidth="1"/>
    <col min="1489" max="1489" width="9.25" style="8" bestFit="1" customWidth="1"/>
    <col min="1490" max="1490" width="9" style="8"/>
    <col min="1491" max="1491" width="40.5" style="8" customWidth="1"/>
    <col min="1492" max="1493" width="6.125" style="8" customWidth="1"/>
    <col min="1494" max="1499" width="6.75" style="8" customWidth="1"/>
    <col min="1500" max="1549" width="9.25" style="8" customWidth="1"/>
    <col min="1550" max="1550" width="2.625" style="8" customWidth="1"/>
    <col min="1551" max="1743" width="9" style="8"/>
    <col min="1744" max="1744" width="2.625" style="8" customWidth="1"/>
    <col min="1745" max="1745" width="9.25" style="8" bestFit="1" customWidth="1"/>
    <col min="1746" max="1746" width="9" style="8"/>
    <col min="1747" max="1747" width="40.5" style="8" customWidth="1"/>
    <col min="1748" max="1749" width="6.125" style="8" customWidth="1"/>
    <col min="1750" max="1755" width="6.75" style="8" customWidth="1"/>
    <col min="1756" max="1805" width="9.25" style="8" customWidth="1"/>
    <col min="1806" max="1806" width="2.625" style="8" customWidth="1"/>
    <col min="1807" max="1999" width="9" style="8"/>
    <col min="2000" max="2000" width="2.625" style="8" customWidth="1"/>
    <col min="2001" max="2001" width="9.25" style="8" bestFit="1" customWidth="1"/>
    <col min="2002" max="2002" width="9" style="8"/>
    <col min="2003" max="2003" width="40.5" style="8" customWidth="1"/>
    <col min="2004" max="2005" width="6.125" style="8" customWidth="1"/>
    <col min="2006" max="2011" width="6.75" style="8" customWidth="1"/>
    <col min="2012" max="2061" width="9.25" style="8" customWidth="1"/>
    <col min="2062" max="2062" width="2.625" style="8" customWidth="1"/>
    <col min="2063" max="2255" width="9" style="8"/>
    <col min="2256" max="2256" width="2.625" style="8" customWidth="1"/>
    <col min="2257" max="2257" width="9.25" style="8" bestFit="1" customWidth="1"/>
    <col min="2258" max="2258" width="9" style="8"/>
    <col min="2259" max="2259" width="40.5" style="8" customWidth="1"/>
    <col min="2260" max="2261" width="6.125" style="8" customWidth="1"/>
    <col min="2262" max="2267" width="6.75" style="8" customWidth="1"/>
    <col min="2268" max="2317" width="9.25" style="8" customWidth="1"/>
    <col min="2318" max="2318" width="2.625" style="8" customWidth="1"/>
    <col min="2319" max="2511" width="9" style="8"/>
    <col min="2512" max="2512" width="2.625" style="8" customWidth="1"/>
    <col min="2513" max="2513" width="9.25" style="8" bestFit="1" customWidth="1"/>
    <col min="2514" max="2514" width="9" style="8"/>
    <col min="2515" max="2515" width="40.5" style="8" customWidth="1"/>
    <col min="2516" max="2517" width="6.125" style="8" customWidth="1"/>
    <col min="2518" max="2523" width="6.75" style="8" customWidth="1"/>
    <col min="2524" max="2573" width="9.25" style="8" customWidth="1"/>
    <col min="2574" max="2574" width="2.625" style="8" customWidth="1"/>
    <col min="2575" max="2767" width="9" style="8"/>
    <col min="2768" max="2768" width="2.625" style="8" customWidth="1"/>
    <col min="2769" max="2769" width="9.25" style="8" bestFit="1" customWidth="1"/>
    <col min="2770" max="2770" width="9" style="8"/>
    <col min="2771" max="2771" width="40.5" style="8" customWidth="1"/>
    <col min="2772" max="2773" width="6.125" style="8" customWidth="1"/>
    <col min="2774" max="2779" width="6.75" style="8" customWidth="1"/>
    <col min="2780" max="2829" width="9.25" style="8" customWidth="1"/>
    <col min="2830" max="2830" width="2.625" style="8" customWidth="1"/>
    <col min="2831" max="3023" width="9" style="8"/>
    <col min="3024" max="3024" width="2.625" style="8" customWidth="1"/>
    <col min="3025" max="3025" width="9.25" style="8" bestFit="1" customWidth="1"/>
    <col min="3026" max="3026" width="9" style="8"/>
    <col min="3027" max="3027" width="40.5" style="8" customWidth="1"/>
    <col min="3028" max="3029" width="6.125" style="8" customWidth="1"/>
    <col min="3030" max="3035" width="6.75" style="8" customWidth="1"/>
    <col min="3036" max="3085" width="9.25" style="8" customWidth="1"/>
    <col min="3086" max="3086" width="2.625" style="8" customWidth="1"/>
    <col min="3087" max="3279" width="9" style="8"/>
    <col min="3280" max="3280" width="2.625" style="8" customWidth="1"/>
    <col min="3281" max="3281" width="9.25" style="8" bestFit="1" customWidth="1"/>
    <col min="3282" max="3282" width="9" style="8"/>
    <col min="3283" max="3283" width="40.5" style="8" customWidth="1"/>
    <col min="3284" max="3285" width="6.125" style="8" customWidth="1"/>
    <col min="3286" max="3291" width="6.75" style="8" customWidth="1"/>
    <col min="3292" max="3341" width="9.25" style="8" customWidth="1"/>
    <col min="3342" max="3342" width="2.625" style="8" customWidth="1"/>
    <col min="3343" max="3535" width="9" style="8"/>
    <col min="3536" max="3536" width="2.625" style="8" customWidth="1"/>
    <col min="3537" max="3537" width="9.25" style="8" bestFit="1" customWidth="1"/>
    <col min="3538" max="3538" width="9" style="8"/>
    <col min="3539" max="3539" width="40.5" style="8" customWidth="1"/>
    <col min="3540" max="3541" width="6.125" style="8" customWidth="1"/>
    <col min="3542" max="3547" width="6.75" style="8" customWidth="1"/>
    <col min="3548" max="3597" width="9.25" style="8" customWidth="1"/>
    <col min="3598" max="3598" width="2.625" style="8" customWidth="1"/>
    <col min="3599" max="3791" width="9" style="8"/>
    <col min="3792" max="3792" width="2.625" style="8" customWidth="1"/>
    <col min="3793" max="3793" width="9.25" style="8" bestFit="1" customWidth="1"/>
    <col min="3794" max="3794" width="9" style="8"/>
    <col min="3795" max="3795" width="40.5" style="8" customWidth="1"/>
    <col min="3796" max="3797" width="6.125" style="8" customWidth="1"/>
    <col min="3798" max="3803" width="6.75" style="8" customWidth="1"/>
    <col min="3804" max="3853" width="9.25" style="8" customWidth="1"/>
    <col min="3854" max="3854" width="2.625" style="8" customWidth="1"/>
    <col min="3855" max="4047" width="9" style="8"/>
    <col min="4048" max="4048" width="2.625" style="8" customWidth="1"/>
    <col min="4049" max="4049" width="9.25" style="8" bestFit="1" customWidth="1"/>
    <col min="4050" max="4050" width="9" style="8"/>
    <col min="4051" max="4051" width="40.5" style="8" customWidth="1"/>
    <col min="4052" max="4053" width="6.125" style="8" customWidth="1"/>
    <col min="4054" max="4059" width="6.75" style="8" customWidth="1"/>
    <col min="4060" max="4109" width="9.25" style="8" customWidth="1"/>
    <col min="4110" max="4110" width="2.625" style="8" customWidth="1"/>
    <col min="4111" max="4303" width="9" style="8"/>
    <col min="4304" max="4304" width="2.625" style="8" customWidth="1"/>
    <col min="4305" max="4305" width="9.25" style="8" bestFit="1" customWidth="1"/>
    <col min="4306" max="4306" width="9" style="8"/>
    <col min="4307" max="4307" width="40.5" style="8" customWidth="1"/>
    <col min="4308" max="4309" width="6.125" style="8" customWidth="1"/>
    <col min="4310" max="4315" width="6.75" style="8" customWidth="1"/>
    <col min="4316" max="4365" width="9.25" style="8" customWidth="1"/>
    <col min="4366" max="4366" width="2.625" style="8" customWidth="1"/>
    <col min="4367" max="4559" width="9" style="8"/>
    <col min="4560" max="4560" width="2.625" style="8" customWidth="1"/>
    <col min="4561" max="4561" width="9.25" style="8" bestFit="1" customWidth="1"/>
    <col min="4562" max="4562" width="9" style="8"/>
    <col min="4563" max="4563" width="40.5" style="8" customWidth="1"/>
    <col min="4564" max="4565" width="6.125" style="8" customWidth="1"/>
    <col min="4566" max="4571" width="6.75" style="8" customWidth="1"/>
    <col min="4572" max="4621" width="9.25" style="8" customWidth="1"/>
    <col min="4622" max="4622" width="2.625" style="8" customWidth="1"/>
    <col min="4623" max="4815" width="9" style="8"/>
    <col min="4816" max="4816" width="2.625" style="8" customWidth="1"/>
    <col min="4817" max="4817" width="9.25" style="8" bestFit="1" customWidth="1"/>
    <col min="4818" max="4818" width="9" style="8"/>
    <col min="4819" max="4819" width="40.5" style="8" customWidth="1"/>
    <col min="4820" max="4821" width="6.125" style="8" customWidth="1"/>
    <col min="4822" max="4827" width="6.75" style="8" customWidth="1"/>
    <col min="4828" max="4877" width="9.25" style="8" customWidth="1"/>
    <col min="4878" max="4878" width="2.625" style="8" customWidth="1"/>
    <col min="4879" max="5071" width="9" style="8"/>
    <col min="5072" max="5072" width="2.625" style="8" customWidth="1"/>
    <col min="5073" max="5073" width="9.25" style="8" bestFit="1" customWidth="1"/>
    <col min="5074" max="5074" width="9" style="8"/>
    <col min="5075" max="5075" width="40.5" style="8" customWidth="1"/>
    <col min="5076" max="5077" width="6.125" style="8" customWidth="1"/>
    <col min="5078" max="5083" width="6.75" style="8" customWidth="1"/>
    <col min="5084" max="5133" width="9.25" style="8" customWidth="1"/>
    <col min="5134" max="5134" width="2.625" style="8" customWidth="1"/>
    <col min="5135" max="5327" width="9" style="8"/>
    <col min="5328" max="5328" width="2.625" style="8" customWidth="1"/>
    <col min="5329" max="5329" width="9.25" style="8" bestFit="1" customWidth="1"/>
    <col min="5330" max="5330" width="9" style="8"/>
    <col min="5331" max="5331" width="40.5" style="8" customWidth="1"/>
    <col min="5332" max="5333" width="6.125" style="8" customWidth="1"/>
    <col min="5334" max="5339" width="6.75" style="8" customWidth="1"/>
    <col min="5340" max="5389" width="9.25" style="8" customWidth="1"/>
    <col min="5390" max="5390" width="2.625" style="8" customWidth="1"/>
    <col min="5391" max="5583" width="9" style="8"/>
    <col min="5584" max="5584" width="2.625" style="8" customWidth="1"/>
    <col min="5585" max="5585" width="9.25" style="8" bestFit="1" customWidth="1"/>
    <col min="5586" max="5586" width="9" style="8"/>
    <col min="5587" max="5587" width="40.5" style="8" customWidth="1"/>
    <col min="5588" max="5589" width="6.125" style="8" customWidth="1"/>
    <col min="5590" max="5595" width="6.75" style="8" customWidth="1"/>
    <col min="5596" max="5645" width="9.25" style="8" customWidth="1"/>
    <col min="5646" max="5646" width="2.625" style="8" customWidth="1"/>
    <col min="5647" max="5839" width="9" style="8"/>
    <col min="5840" max="5840" width="2.625" style="8" customWidth="1"/>
    <col min="5841" max="5841" width="9.25" style="8" bestFit="1" customWidth="1"/>
    <col min="5842" max="5842" width="9" style="8"/>
    <col min="5843" max="5843" width="40.5" style="8" customWidth="1"/>
    <col min="5844" max="5845" width="6.125" style="8" customWidth="1"/>
    <col min="5846" max="5851" width="6.75" style="8" customWidth="1"/>
    <col min="5852" max="5901" width="9.25" style="8" customWidth="1"/>
    <col min="5902" max="5902" width="2.625" style="8" customWidth="1"/>
    <col min="5903" max="6095" width="9" style="8"/>
    <col min="6096" max="6096" width="2.625" style="8" customWidth="1"/>
    <col min="6097" max="6097" width="9.25" style="8" bestFit="1" customWidth="1"/>
    <col min="6098" max="6098" width="9" style="8"/>
    <col min="6099" max="6099" width="40.5" style="8" customWidth="1"/>
    <col min="6100" max="6101" width="6.125" style="8" customWidth="1"/>
    <col min="6102" max="6107" width="6.75" style="8" customWidth="1"/>
    <col min="6108" max="6157" width="9.25" style="8" customWidth="1"/>
    <col min="6158" max="6158" width="2.625" style="8" customWidth="1"/>
    <col min="6159" max="6351" width="9" style="8"/>
    <col min="6352" max="6352" width="2.625" style="8" customWidth="1"/>
    <col min="6353" max="6353" width="9.25" style="8" bestFit="1" customWidth="1"/>
    <col min="6354" max="6354" width="9" style="8"/>
    <col min="6355" max="6355" width="40.5" style="8" customWidth="1"/>
    <col min="6356" max="6357" width="6.125" style="8" customWidth="1"/>
    <col min="6358" max="6363" width="6.75" style="8" customWidth="1"/>
    <col min="6364" max="6413" width="9.25" style="8" customWidth="1"/>
    <col min="6414" max="6414" width="2.625" style="8" customWidth="1"/>
    <col min="6415" max="6607" width="9" style="8"/>
    <col min="6608" max="6608" width="2.625" style="8" customWidth="1"/>
    <col min="6609" max="6609" width="9.25" style="8" bestFit="1" customWidth="1"/>
    <col min="6610" max="6610" width="9" style="8"/>
    <col min="6611" max="6611" width="40.5" style="8" customWidth="1"/>
    <col min="6612" max="6613" width="6.125" style="8" customWidth="1"/>
    <col min="6614" max="6619" width="6.75" style="8" customWidth="1"/>
    <col min="6620" max="6669" width="9.25" style="8" customWidth="1"/>
    <col min="6670" max="6670" width="2.625" style="8" customWidth="1"/>
    <col min="6671" max="6863" width="9" style="8"/>
    <col min="6864" max="6864" width="2.625" style="8" customWidth="1"/>
    <col min="6865" max="6865" width="9.25" style="8" bestFit="1" customWidth="1"/>
    <col min="6866" max="6866" width="9" style="8"/>
    <col min="6867" max="6867" width="40.5" style="8" customWidth="1"/>
    <col min="6868" max="6869" width="6.125" style="8" customWidth="1"/>
    <col min="6870" max="6875" width="6.75" style="8" customWidth="1"/>
    <col min="6876" max="6925" width="9.25" style="8" customWidth="1"/>
    <col min="6926" max="6926" width="2.625" style="8" customWidth="1"/>
    <col min="6927" max="7119" width="9" style="8"/>
    <col min="7120" max="7120" width="2.625" style="8" customWidth="1"/>
    <col min="7121" max="7121" width="9.25" style="8" bestFit="1" customWidth="1"/>
    <col min="7122" max="7122" width="9" style="8"/>
    <col min="7123" max="7123" width="40.5" style="8" customWidth="1"/>
    <col min="7124" max="7125" width="6.125" style="8" customWidth="1"/>
    <col min="7126" max="7131" width="6.75" style="8" customWidth="1"/>
    <col min="7132" max="7181" width="9.25" style="8" customWidth="1"/>
    <col min="7182" max="7182" width="2.625" style="8" customWidth="1"/>
    <col min="7183" max="7375" width="9" style="8"/>
    <col min="7376" max="7376" width="2.625" style="8" customWidth="1"/>
    <col min="7377" max="7377" width="9.25" style="8" bestFit="1" customWidth="1"/>
    <col min="7378" max="7378" width="9" style="8"/>
    <col min="7379" max="7379" width="40.5" style="8" customWidth="1"/>
    <col min="7380" max="7381" width="6.125" style="8" customWidth="1"/>
    <col min="7382" max="7387" width="6.75" style="8" customWidth="1"/>
    <col min="7388" max="7437" width="9.25" style="8" customWidth="1"/>
    <col min="7438" max="7438" width="2.625" style="8" customWidth="1"/>
    <col min="7439" max="7631" width="9" style="8"/>
    <col min="7632" max="7632" width="2.625" style="8" customWidth="1"/>
    <col min="7633" max="7633" width="9.25" style="8" bestFit="1" customWidth="1"/>
    <col min="7634" max="7634" width="9" style="8"/>
    <col min="7635" max="7635" width="40.5" style="8" customWidth="1"/>
    <col min="7636" max="7637" width="6.125" style="8" customWidth="1"/>
    <col min="7638" max="7643" width="6.75" style="8" customWidth="1"/>
    <col min="7644" max="7693" width="9.25" style="8" customWidth="1"/>
    <col min="7694" max="7694" width="2.625" style="8" customWidth="1"/>
    <col min="7695" max="7887" width="9" style="8"/>
    <col min="7888" max="7888" width="2.625" style="8" customWidth="1"/>
    <col min="7889" max="7889" width="9.25" style="8" bestFit="1" customWidth="1"/>
    <col min="7890" max="7890" width="9" style="8"/>
    <col min="7891" max="7891" width="40.5" style="8" customWidth="1"/>
    <col min="7892" max="7893" width="6.125" style="8" customWidth="1"/>
    <col min="7894" max="7899" width="6.75" style="8" customWidth="1"/>
    <col min="7900" max="7949" width="9.25" style="8" customWidth="1"/>
    <col min="7950" max="7950" width="2.625" style="8" customWidth="1"/>
    <col min="7951" max="8143" width="9" style="8"/>
    <col min="8144" max="8144" width="2.625" style="8" customWidth="1"/>
    <col min="8145" max="8145" width="9.25" style="8" bestFit="1" customWidth="1"/>
    <col min="8146" max="8146" width="9" style="8"/>
    <col min="8147" max="8147" width="40.5" style="8" customWidth="1"/>
    <col min="8148" max="8149" width="6.125" style="8" customWidth="1"/>
    <col min="8150" max="8155" width="6.75" style="8" customWidth="1"/>
    <col min="8156" max="8205" width="9.25" style="8" customWidth="1"/>
    <col min="8206" max="8206" width="2.625" style="8" customWidth="1"/>
    <col min="8207" max="8399" width="9" style="8"/>
    <col min="8400" max="8400" width="2.625" style="8" customWidth="1"/>
    <col min="8401" max="8401" width="9.25" style="8" bestFit="1" customWidth="1"/>
    <col min="8402" max="8402" width="9" style="8"/>
    <col min="8403" max="8403" width="40.5" style="8" customWidth="1"/>
    <col min="8404" max="8405" width="6.125" style="8" customWidth="1"/>
    <col min="8406" max="8411" width="6.75" style="8" customWidth="1"/>
    <col min="8412" max="8461" width="9.25" style="8" customWidth="1"/>
    <col min="8462" max="8462" width="2.625" style="8" customWidth="1"/>
    <col min="8463" max="8655" width="9" style="8"/>
    <col min="8656" max="8656" width="2.625" style="8" customWidth="1"/>
    <col min="8657" max="8657" width="9.25" style="8" bestFit="1" customWidth="1"/>
    <col min="8658" max="8658" width="9" style="8"/>
    <col min="8659" max="8659" width="40.5" style="8" customWidth="1"/>
    <col min="8660" max="8661" width="6.125" style="8" customWidth="1"/>
    <col min="8662" max="8667" width="6.75" style="8" customWidth="1"/>
    <col min="8668" max="8717" width="9.25" style="8" customWidth="1"/>
    <col min="8718" max="8718" width="2.625" style="8" customWidth="1"/>
    <col min="8719" max="8911" width="9" style="8"/>
    <col min="8912" max="8912" width="2.625" style="8" customWidth="1"/>
    <col min="8913" max="8913" width="9.25" style="8" bestFit="1" customWidth="1"/>
    <col min="8914" max="8914" width="9" style="8"/>
    <col min="8915" max="8915" width="40.5" style="8" customWidth="1"/>
    <col min="8916" max="8917" width="6.125" style="8" customWidth="1"/>
    <col min="8918" max="8923" width="6.75" style="8" customWidth="1"/>
    <col min="8924" max="8973" width="9.25" style="8" customWidth="1"/>
    <col min="8974" max="8974" width="2.625" style="8" customWidth="1"/>
    <col min="8975" max="9167" width="9" style="8"/>
    <col min="9168" max="9168" width="2.625" style="8" customWidth="1"/>
    <col min="9169" max="9169" width="9.25" style="8" bestFit="1" customWidth="1"/>
    <col min="9170" max="9170" width="9" style="8"/>
    <col min="9171" max="9171" width="40.5" style="8" customWidth="1"/>
    <col min="9172" max="9173" width="6.125" style="8" customWidth="1"/>
    <col min="9174" max="9179" width="6.75" style="8" customWidth="1"/>
    <col min="9180" max="9229" width="9.25" style="8" customWidth="1"/>
    <col min="9230" max="9230" width="2.625" style="8" customWidth="1"/>
    <col min="9231" max="9423" width="9" style="8"/>
    <col min="9424" max="9424" width="2.625" style="8" customWidth="1"/>
    <col min="9425" max="9425" width="9.25" style="8" bestFit="1" customWidth="1"/>
    <col min="9426" max="9426" width="9" style="8"/>
    <col min="9427" max="9427" width="40.5" style="8" customWidth="1"/>
    <col min="9428" max="9429" width="6.125" style="8" customWidth="1"/>
    <col min="9430" max="9435" width="6.75" style="8" customWidth="1"/>
    <col min="9436" max="9485" width="9.25" style="8" customWidth="1"/>
    <col min="9486" max="9486" width="2.625" style="8" customWidth="1"/>
    <col min="9487" max="9679" width="9" style="8"/>
    <col min="9680" max="9680" width="2.625" style="8" customWidth="1"/>
    <col min="9681" max="9681" width="9.25" style="8" bestFit="1" customWidth="1"/>
    <col min="9682" max="9682" width="9" style="8"/>
    <col min="9683" max="9683" width="40.5" style="8" customWidth="1"/>
    <col min="9684" max="9685" width="6.125" style="8" customWidth="1"/>
    <col min="9686" max="9691" width="6.75" style="8" customWidth="1"/>
    <col min="9692" max="9741" width="9.25" style="8" customWidth="1"/>
    <col min="9742" max="9742" width="2.625" style="8" customWidth="1"/>
    <col min="9743" max="9935" width="9" style="8"/>
    <col min="9936" max="9936" width="2.625" style="8" customWidth="1"/>
    <col min="9937" max="9937" width="9.25" style="8" bestFit="1" customWidth="1"/>
    <col min="9938" max="9938" width="9" style="8"/>
    <col min="9939" max="9939" width="40.5" style="8" customWidth="1"/>
    <col min="9940" max="9941" width="6.125" style="8" customWidth="1"/>
    <col min="9942" max="9947" width="6.75" style="8" customWidth="1"/>
    <col min="9948" max="9997" width="9.25" style="8" customWidth="1"/>
    <col min="9998" max="9998" width="2.625" style="8" customWidth="1"/>
    <col min="9999" max="10191" width="9" style="8"/>
    <col min="10192" max="10192" width="2.625" style="8" customWidth="1"/>
    <col min="10193" max="10193" width="9.25" style="8" bestFit="1" customWidth="1"/>
    <col min="10194" max="10194" width="9" style="8"/>
    <col min="10195" max="10195" width="40.5" style="8" customWidth="1"/>
    <col min="10196" max="10197" width="6.125" style="8" customWidth="1"/>
    <col min="10198" max="10203" width="6.75" style="8" customWidth="1"/>
    <col min="10204" max="10253" width="9.25" style="8" customWidth="1"/>
    <col min="10254" max="10254" width="2.625" style="8" customWidth="1"/>
    <col min="10255" max="10447" width="9" style="8"/>
    <col min="10448" max="10448" width="2.625" style="8" customWidth="1"/>
    <col min="10449" max="10449" width="9.25" style="8" bestFit="1" customWidth="1"/>
    <col min="10450" max="10450" width="9" style="8"/>
    <col min="10451" max="10451" width="40.5" style="8" customWidth="1"/>
    <col min="10452" max="10453" width="6.125" style="8" customWidth="1"/>
    <col min="10454" max="10459" width="6.75" style="8" customWidth="1"/>
    <col min="10460" max="10509" width="9.25" style="8" customWidth="1"/>
    <col min="10510" max="10510" width="2.625" style="8" customWidth="1"/>
    <col min="10511" max="10703" width="9" style="8"/>
    <col min="10704" max="10704" width="2.625" style="8" customWidth="1"/>
    <col min="10705" max="10705" width="9.25" style="8" bestFit="1" customWidth="1"/>
    <col min="10706" max="10706" width="9" style="8"/>
    <col min="10707" max="10707" width="40.5" style="8" customWidth="1"/>
    <col min="10708" max="10709" width="6.125" style="8" customWidth="1"/>
    <col min="10710" max="10715" width="6.75" style="8" customWidth="1"/>
    <col min="10716" max="10765" width="9.25" style="8" customWidth="1"/>
    <col min="10766" max="10766" width="2.625" style="8" customWidth="1"/>
    <col min="10767" max="10959" width="9" style="8"/>
    <col min="10960" max="10960" width="2.625" style="8" customWidth="1"/>
    <col min="10961" max="10961" width="9.25" style="8" bestFit="1" customWidth="1"/>
    <col min="10962" max="10962" width="9" style="8"/>
    <col min="10963" max="10963" width="40.5" style="8" customWidth="1"/>
    <col min="10964" max="10965" width="6.125" style="8" customWidth="1"/>
    <col min="10966" max="10971" width="6.75" style="8" customWidth="1"/>
    <col min="10972" max="11021" width="9.25" style="8" customWidth="1"/>
    <col min="11022" max="11022" width="2.625" style="8" customWidth="1"/>
    <col min="11023" max="11215" width="9" style="8"/>
    <col min="11216" max="11216" width="2.625" style="8" customWidth="1"/>
    <col min="11217" max="11217" width="9.25" style="8" bestFit="1" customWidth="1"/>
    <col min="11218" max="11218" width="9" style="8"/>
    <col min="11219" max="11219" width="40.5" style="8" customWidth="1"/>
    <col min="11220" max="11221" width="6.125" style="8" customWidth="1"/>
    <col min="11222" max="11227" width="6.75" style="8" customWidth="1"/>
    <col min="11228" max="11277" width="9.25" style="8" customWidth="1"/>
    <col min="11278" max="11278" width="2.625" style="8" customWidth="1"/>
    <col min="11279" max="11471" width="9" style="8"/>
    <col min="11472" max="11472" width="2.625" style="8" customWidth="1"/>
    <col min="11473" max="11473" width="9.25" style="8" bestFit="1" customWidth="1"/>
    <col min="11474" max="11474" width="9" style="8"/>
    <col min="11475" max="11475" width="40.5" style="8" customWidth="1"/>
    <col min="11476" max="11477" width="6.125" style="8" customWidth="1"/>
    <col min="11478" max="11483" width="6.75" style="8" customWidth="1"/>
    <col min="11484" max="11533" width="9.25" style="8" customWidth="1"/>
    <col min="11534" max="11534" width="2.625" style="8" customWidth="1"/>
    <col min="11535" max="11727" width="9" style="8"/>
    <col min="11728" max="11728" width="2.625" style="8" customWidth="1"/>
    <col min="11729" max="11729" width="9.25" style="8" bestFit="1" customWidth="1"/>
    <col min="11730" max="11730" width="9" style="8"/>
    <col min="11731" max="11731" width="40.5" style="8" customWidth="1"/>
    <col min="11732" max="11733" width="6.125" style="8" customWidth="1"/>
    <col min="11734" max="11739" width="6.75" style="8" customWidth="1"/>
    <col min="11740" max="11789" width="9.25" style="8" customWidth="1"/>
    <col min="11790" max="11790" width="2.625" style="8" customWidth="1"/>
    <col min="11791" max="11983" width="9" style="8"/>
    <col min="11984" max="11984" width="2.625" style="8" customWidth="1"/>
    <col min="11985" max="11985" width="9.25" style="8" bestFit="1" customWidth="1"/>
    <col min="11986" max="11986" width="9" style="8"/>
    <col min="11987" max="11987" width="40.5" style="8" customWidth="1"/>
    <col min="11988" max="11989" width="6.125" style="8" customWidth="1"/>
    <col min="11990" max="11995" width="6.75" style="8" customWidth="1"/>
    <col min="11996" max="12045" width="9.25" style="8" customWidth="1"/>
    <col min="12046" max="12046" width="2.625" style="8" customWidth="1"/>
    <col min="12047" max="12239" width="9" style="8"/>
    <col min="12240" max="12240" width="2.625" style="8" customWidth="1"/>
    <col min="12241" max="12241" width="9.25" style="8" bestFit="1" customWidth="1"/>
    <col min="12242" max="12242" width="9" style="8"/>
    <col min="12243" max="12243" width="40.5" style="8" customWidth="1"/>
    <col min="12244" max="12245" width="6.125" style="8" customWidth="1"/>
    <col min="12246" max="12251" width="6.75" style="8" customWidth="1"/>
    <col min="12252" max="12301" width="9.25" style="8" customWidth="1"/>
    <col min="12302" max="12302" width="2.625" style="8" customWidth="1"/>
    <col min="12303" max="12495" width="9" style="8"/>
    <col min="12496" max="12496" width="2.625" style="8" customWidth="1"/>
    <col min="12497" max="12497" width="9.25" style="8" bestFit="1" customWidth="1"/>
    <col min="12498" max="12498" width="9" style="8"/>
    <col min="12499" max="12499" width="40.5" style="8" customWidth="1"/>
    <col min="12500" max="12501" width="6.125" style="8" customWidth="1"/>
    <col min="12502" max="12507" width="6.75" style="8" customWidth="1"/>
    <col min="12508" max="12557" width="9.25" style="8" customWidth="1"/>
    <col min="12558" max="12558" width="2.625" style="8" customWidth="1"/>
    <col min="12559" max="12751" width="9" style="8"/>
    <col min="12752" max="12752" width="2.625" style="8" customWidth="1"/>
    <col min="12753" max="12753" width="9.25" style="8" bestFit="1" customWidth="1"/>
    <col min="12754" max="12754" width="9" style="8"/>
    <col min="12755" max="12755" width="40.5" style="8" customWidth="1"/>
    <col min="12756" max="12757" width="6.125" style="8" customWidth="1"/>
    <col min="12758" max="12763" width="6.75" style="8" customWidth="1"/>
    <col min="12764" max="12813" width="9.25" style="8" customWidth="1"/>
    <col min="12814" max="12814" width="2.625" style="8" customWidth="1"/>
    <col min="12815" max="13007" width="9" style="8"/>
    <col min="13008" max="13008" width="2.625" style="8" customWidth="1"/>
    <col min="13009" max="13009" width="9.25" style="8" bestFit="1" customWidth="1"/>
    <col min="13010" max="13010" width="9" style="8"/>
    <col min="13011" max="13011" width="40.5" style="8" customWidth="1"/>
    <col min="13012" max="13013" width="6.125" style="8" customWidth="1"/>
    <col min="13014" max="13019" width="6.75" style="8" customWidth="1"/>
    <col min="13020" max="13069" width="9.25" style="8" customWidth="1"/>
    <col min="13070" max="13070" width="2.625" style="8" customWidth="1"/>
    <col min="13071" max="13263" width="9" style="8"/>
    <col min="13264" max="13264" width="2.625" style="8" customWidth="1"/>
    <col min="13265" max="13265" width="9.25" style="8" bestFit="1" customWidth="1"/>
    <col min="13266" max="13266" width="9" style="8"/>
    <col min="13267" max="13267" width="40.5" style="8" customWidth="1"/>
    <col min="13268" max="13269" width="6.125" style="8" customWidth="1"/>
    <col min="13270" max="13275" width="6.75" style="8" customWidth="1"/>
    <col min="13276" max="13325" width="9.25" style="8" customWidth="1"/>
    <col min="13326" max="13326" width="2.625" style="8" customWidth="1"/>
    <col min="13327" max="13519" width="9" style="8"/>
    <col min="13520" max="13520" width="2.625" style="8" customWidth="1"/>
    <col min="13521" max="13521" width="9.25" style="8" bestFit="1" customWidth="1"/>
    <col min="13522" max="13522" width="9" style="8"/>
    <col min="13523" max="13523" width="40.5" style="8" customWidth="1"/>
    <col min="13524" max="13525" width="6.125" style="8" customWidth="1"/>
    <col min="13526" max="13531" width="6.75" style="8" customWidth="1"/>
    <col min="13532" max="13581" width="9.25" style="8" customWidth="1"/>
    <col min="13582" max="13582" width="2.625" style="8" customWidth="1"/>
    <col min="13583" max="13775" width="9" style="8"/>
    <col min="13776" max="13776" width="2.625" style="8" customWidth="1"/>
    <col min="13777" max="13777" width="9.25" style="8" bestFit="1" customWidth="1"/>
    <col min="13778" max="13778" width="9" style="8"/>
    <col min="13779" max="13779" width="40.5" style="8" customWidth="1"/>
    <col min="13780" max="13781" width="6.125" style="8" customWidth="1"/>
    <col min="13782" max="13787" width="6.75" style="8" customWidth="1"/>
    <col min="13788" max="13837" width="9.25" style="8" customWidth="1"/>
    <col min="13838" max="13838" width="2.625" style="8" customWidth="1"/>
    <col min="13839" max="14031" width="9" style="8"/>
    <col min="14032" max="14032" width="2.625" style="8" customWidth="1"/>
    <col min="14033" max="14033" width="9.25" style="8" bestFit="1" customWidth="1"/>
    <col min="14034" max="14034" width="9" style="8"/>
    <col min="14035" max="14035" width="40.5" style="8" customWidth="1"/>
    <col min="14036" max="14037" width="6.125" style="8" customWidth="1"/>
    <col min="14038" max="14043" width="6.75" style="8" customWidth="1"/>
    <col min="14044" max="14093" width="9.25" style="8" customWidth="1"/>
    <col min="14094" max="14094" width="2.625" style="8" customWidth="1"/>
    <col min="14095" max="14287" width="9" style="8"/>
    <col min="14288" max="14288" width="2.625" style="8" customWidth="1"/>
    <col min="14289" max="14289" width="9.25" style="8" bestFit="1" customWidth="1"/>
    <col min="14290" max="14290" width="9" style="8"/>
    <col min="14291" max="14291" width="40.5" style="8" customWidth="1"/>
    <col min="14292" max="14293" width="6.125" style="8" customWidth="1"/>
    <col min="14294" max="14299" width="6.75" style="8" customWidth="1"/>
    <col min="14300" max="14349" width="9.25" style="8" customWidth="1"/>
    <col min="14350" max="14350" width="2.625" style="8" customWidth="1"/>
    <col min="14351" max="14543" width="9" style="8"/>
    <col min="14544" max="14544" width="2.625" style="8" customWidth="1"/>
    <col min="14545" max="14545" width="9.25" style="8" bestFit="1" customWidth="1"/>
    <col min="14546" max="14546" width="9" style="8"/>
    <col min="14547" max="14547" width="40.5" style="8" customWidth="1"/>
    <col min="14548" max="14549" width="6.125" style="8" customWidth="1"/>
    <col min="14550" max="14555" width="6.75" style="8" customWidth="1"/>
    <col min="14556" max="14605" width="9.25" style="8" customWidth="1"/>
    <col min="14606" max="14606" width="2.625" style="8" customWidth="1"/>
    <col min="14607" max="14799" width="9" style="8"/>
    <col min="14800" max="14800" width="2.625" style="8" customWidth="1"/>
    <col min="14801" max="14801" width="9.25" style="8" bestFit="1" customWidth="1"/>
    <col min="14802" max="14802" width="9" style="8"/>
    <col min="14803" max="14803" width="40.5" style="8" customWidth="1"/>
    <col min="14804" max="14805" width="6.125" style="8" customWidth="1"/>
    <col min="14806" max="14811" width="6.75" style="8" customWidth="1"/>
    <col min="14812" max="14861" width="9.25" style="8" customWidth="1"/>
    <col min="14862" max="14862" width="2.625" style="8" customWidth="1"/>
    <col min="14863" max="15055" width="9" style="8"/>
    <col min="15056" max="15056" width="2.625" style="8" customWidth="1"/>
    <col min="15057" max="15057" width="9.25" style="8" bestFit="1" customWidth="1"/>
    <col min="15058" max="15058" width="9" style="8"/>
    <col min="15059" max="15059" width="40.5" style="8" customWidth="1"/>
    <col min="15060" max="15061" width="6.125" style="8" customWidth="1"/>
    <col min="15062" max="15067" width="6.75" style="8" customWidth="1"/>
    <col min="15068" max="15117" width="9.25" style="8" customWidth="1"/>
    <col min="15118" max="15118" width="2.625" style="8" customWidth="1"/>
    <col min="15119" max="15311" width="9" style="8"/>
    <col min="15312" max="15312" width="2.625" style="8" customWidth="1"/>
    <col min="15313" max="15313" width="9.25" style="8" bestFit="1" customWidth="1"/>
    <col min="15314" max="15314" width="9" style="8"/>
    <col min="15315" max="15315" width="40.5" style="8" customWidth="1"/>
    <col min="15316" max="15317" width="6.125" style="8" customWidth="1"/>
    <col min="15318" max="15323" width="6.75" style="8" customWidth="1"/>
    <col min="15324" max="15373" width="9.25" style="8" customWidth="1"/>
    <col min="15374" max="15374" width="2.625" style="8" customWidth="1"/>
    <col min="15375" max="15567" width="9" style="8"/>
    <col min="15568" max="15568" width="2.625" style="8" customWidth="1"/>
    <col min="15569" max="15569" width="9.25" style="8" bestFit="1" customWidth="1"/>
    <col min="15570" max="15570" width="9" style="8"/>
    <col min="15571" max="15571" width="40.5" style="8" customWidth="1"/>
    <col min="15572" max="15573" width="6.125" style="8" customWidth="1"/>
    <col min="15574" max="15579" width="6.75" style="8" customWidth="1"/>
    <col min="15580" max="15629" width="9.25" style="8" customWidth="1"/>
    <col min="15630" max="15630" width="2.625" style="8" customWidth="1"/>
    <col min="15631" max="15823" width="9" style="8"/>
    <col min="15824" max="15824" width="2.625" style="8" customWidth="1"/>
    <col min="15825" max="15825" width="9.25" style="8" bestFit="1" customWidth="1"/>
    <col min="15826" max="15826" width="9" style="8"/>
    <col min="15827" max="15827" width="40.5" style="8" customWidth="1"/>
    <col min="15828" max="15829" width="6.125" style="8" customWidth="1"/>
    <col min="15830" max="15835" width="6.75" style="8" customWidth="1"/>
    <col min="15836" max="15885" width="9.25" style="8" customWidth="1"/>
    <col min="15886" max="15886" width="2.625" style="8" customWidth="1"/>
    <col min="15887" max="16079" width="9" style="8"/>
    <col min="16080" max="16080" width="2.625" style="8" customWidth="1"/>
    <col min="16081" max="16081" width="9.25" style="8" bestFit="1" customWidth="1"/>
    <col min="16082" max="16082" width="9" style="8"/>
    <col min="16083" max="16083" width="40.5" style="8" customWidth="1"/>
    <col min="16084" max="16085" width="6.125" style="8" customWidth="1"/>
    <col min="16086" max="16091" width="6.75" style="8" customWidth="1"/>
    <col min="16092" max="16141" width="9.25" style="8" customWidth="1"/>
    <col min="16142" max="16142" width="2.625" style="8" customWidth="1"/>
    <col min="16143" max="16384" width="9" style="8"/>
  </cols>
  <sheetData>
    <row r="1" spans="1:14" s="5" customFormat="1" ht="13.5">
      <c r="L1" s="41"/>
      <c r="M1" s="41"/>
    </row>
    <row r="2" spans="1:14" s="7" customFormat="1" ht="18" customHeight="1">
      <c r="A2" s="67" t="s">
        <v>350</v>
      </c>
      <c r="B2" s="6"/>
      <c r="C2" s="6"/>
      <c r="D2" s="36"/>
      <c r="E2" s="6"/>
      <c r="F2" s="6"/>
      <c r="G2" s="6"/>
      <c r="H2" s="6"/>
      <c r="I2" s="6"/>
      <c r="J2" s="6"/>
      <c r="K2" s="6"/>
      <c r="L2" s="6"/>
      <c r="M2" s="6"/>
    </row>
    <row r="3" spans="1:14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 ht="18" customHeight="1">
      <c r="A4" s="323" t="s">
        <v>279</v>
      </c>
      <c r="B4" s="425"/>
      <c r="C4" s="425"/>
      <c r="D4" s="425" t="s">
        <v>333</v>
      </c>
      <c r="E4" s="425" t="s">
        <v>284</v>
      </c>
      <c r="F4" s="425" t="s">
        <v>334</v>
      </c>
      <c r="G4" s="425"/>
      <c r="H4" s="425"/>
      <c r="I4" s="425"/>
      <c r="J4" s="425"/>
      <c r="K4" s="425"/>
      <c r="L4" s="477" t="str">
        <f ca="1">'요약 통계'!L4:L5</f>
        <v>클라우드관리체계(샘플)</v>
      </c>
      <c r="M4" s="477" t="str">
        <f ca="1">'요약 통계'!M4:M5</f>
        <v>클라우드관리체계(샘플)_이행</v>
      </c>
      <c r="N4" s="475">
        <f ca="1">'요약 통계'!N4:N5</f>
        <v>0</v>
      </c>
    </row>
    <row r="5" spans="1:14" ht="17.25" thickBot="1">
      <c r="A5" s="69" t="s">
        <v>335</v>
      </c>
      <c r="B5" s="70" t="s">
        <v>348</v>
      </c>
      <c r="C5" s="70" t="s">
        <v>337</v>
      </c>
      <c r="D5" s="474"/>
      <c r="E5" s="474"/>
      <c r="F5" s="70" t="s">
        <v>338</v>
      </c>
      <c r="G5" s="70" t="s">
        <v>323</v>
      </c>
      <c r="H5" s="70" t="s">
        <v>339</v>
      </c>
      <c r="I5" s="70" t="s">
        <v>351</v>
      </c>
      <c r="J5" s="70" t="s">
        <v>352</v>
      </c>
      <c r="K5" s="70" t="s">
        <v>353</v>
      </c>
      <c r="L5" s="478"/>
      <c r="M5" s="478"/>
      <c r="N5" s="476"/>
    </row>
    <row r="6" spans="1:14" ht="16.5" customHeight="1">
      <c r="A6" s="155" t="s">
        <v>754</v>
      </c>
      <c r="B6" s="89" t="s">
        <v>759</v>
      </c>
      <c r="C6" s="83" t="s">
        <v>779</v>
      </c>
      <c r="D6" s="72" t="s">
        <v>309</v>
      </c>
      <c r="E6" s="72">
        <v>5</v>
      </c>
      <c r="F6" s="50">
        <f ca="1">COUNTA($L6:INDIRECT(ADDRESS(ROW(),MATCH("",$4:$4,-1),1,1)))</f>
        <v>2</v>
      </c>
      <c r="G6" s="50">
        <f ca="1">F6-K6</f>
        <v>2</v>
      </c>
      <c r="H6" s="50">
        <f ca="1">COUNTIF($L6:INDIRECT(ADDRESS(ROW(),MATCH("",$4:$4,-1),1,1)),"양호")</f>
        <v>0</v>
      </c>
      <c r="I6" s="50">
        <f ca="1">COUNTIF($L6:INDIRECT(ADDRESS(ROW(),MATCH("",$4:$4,-1),1,1)),"신규")</f>
        <v>0</v>
      </c>
      <c r="J6" s="50">
        <f ca="1">COUNTIF($L6:INDIRECT(ADDRESS(ROW(),MATCH("",$4:$4,-1),1,1)),"조치")</f>
        <v>0</v>
      </c>
      <c r="K6" s="50">
        <f ca="1">COUNTIF($L6:INDIRECT(ADDRESS(ROW(),MATCH("",$4:$4,-1),1,1)),"미조치")</f>
        <v>0</v>
      </c>
      <c r="L6" s="51" t="str">
        <f ca="1">IFERROR(fn_Compare(ADDRESS(ROW(),COLUMN())),"")</f>
        <v/>
      </c>
      <c r="M6" s="51" t="str">
        <f ca="1">IFERROR(fn_Compare(ADDRESS(ROW(),COLUMN())),"")</f>
        <v/>
      </c>
      <c r="N6" s="93" t="str">
        <f ca="1">IFERROR(fn_Compare(ADDRESS(ROW(),COLUMN())),"")</f>
        <v/>
      </c>
    </row>
    <row r="7" spans="1:14" ht="16.5" customHeight="1">
      <c r="A7" s="156" t="s">
        <v>754</v>
      </c>
      <c r="B7" s="90" t="s">
        <v>760</v>
      </c>
      <c r="C7" s="86" t="s">
        <v>780</v>
      </c>
      <c r="D7" s="73" t="s">
        <v>342</v>
      </c>
      <c r="E7" s="73">
        <v>3</v>
      </c>
      <c r="F7" s="47">
        <f ca="1">COUNTA($L7:INDIRECT(ADDRESS(ROW(),MATCH("",$4:$4,-1),1,1)))</f>
        <v>2</v>
      </c>
      <c r="G7" s="47">
        <f t="shared" ref="G7" ca="1" si="0">F7-K7</f>
        <v>2</v>
      </c>
      <c r="H7" s="47">
        <f ca="1">COUNTIF($L7:INDIRECT(ADDRESS(ROW(),MATCH("",$4:$4,-1),1,1)),"양호")</f>
        <v>0</v>
      </c>
      <c r="I7" s="47">
        <f ca="1">COUNTIF($L7:INDIRECT(ADDRESS(ROW(),MATCH("",$4:$4,-1),1,1)),"신규")</f>
        <v>0</v>
      </c>
      <c r="J7" s="47">
        <f ca="1">COUNTIF($L7:INDIRECT(ADDRESS(ROW(),MATCH("",$4:$4,-1),1,1)),"조치")</f>
        <v>0</v>
      </c>
      <c r="K7" s="47">
        <f ca="1">COUNTIF($L7:INDIRECT(ADDRESS(ROW(),MATCH("",$4:$4,-1),1,1)),"미조치")</f>
        <v>0</v>
      </c>
      <c r="L7" s="49" t="str">
        <f ca="1">IFERROR(fn_Compare(ADDRESS(ROW(),COLUMN())),"")</f>
        <v/>
      </c>
      <c r="M7" s="49" t="str">
        <f ca="1">IFERROR(fn_Compare(ADDRESS(ROW(),COLUMN())),"")</f>
        <v/>
      </c>
      <c r="N7" s="94" t="str">
        <f ca="1">IFERROR(fn_Compare(ADDRESS(ROW(),COLUMN())),"")</f>
        <v/>
      </c>
    </row>
    <row r="8" spans="1:14" ht="16.5" customHeight="1">
      <c r="A8" s="156" t="s">
        <v>754</v>
      </c>
      <c r="B8" s="90" t="s">
        <v>761</v>
      </c>
      <c r="C8" s="86" t="s">
        <v>781</v>
      </c>
      <c r="D8" s="73" t="s">
        <v>342</v>
      </c>
      <c r="E8" s="73">
        <v>3</v>
      </c>
      <c r="F8" s="47">
        <f ca="1">COUNTA($L8:INDIRECT(ADDRESS(ROW(),MATCH("",$4:$4,-1),1,1)))</f>
        <v>2</v>
      </c>
      <c r="G8" s="47">
        <f t="shared" ref="G8:G25" ca="1" si="1">F8-K8</f>
        <v>2</v>
      </c>
      <c r="H8" s="47">
        <f ca="1">COUNTIF($L8:INDIRECT(ADDRESS(ROW(),MATCH("",$4:$4,-1),1,1)),"양호")</f>
        <v>0</v>
      </c>
      <c r="I8" s="47">
        <f ca="1">COUNTIF($L8:INDIRECT(ADDRESS(ROW(),MATCH("",$4:$4,-1),1,1)),"신규")</f>
        <v>0</v>
      </c>
      <c r="J8" s="47">
        <f ca="1">COUNTIF($L8:INDIRECT(ADDRESS(ROW(),MATCH("",$4:$4,-1),1,1)),"조치")</f>
        <v>0</v>
      </c>
      <c r="K8" s="47">
        <f ca="1">COUNTIF($L8:INDIRECT(ADDRESS(ROW(),MATCH("",$4:$4,-1),1,1)),"미조치")</f>
        <v>0</v>
      </c>
      <c r="L8" s="49" t="str">
        <f ca="1">IFERROR(fn_Compare(ADDRESS(ROW(),COLUMN())),"")</f>
        <v/>
      </c>
      <c r="M8" s="49" t="str">
        <f ca="1">IFERROR(fn_Compare(ADDRESS(ROW(),COLUMN())),"")</f>
        <v/>
      </c>
      <c r="N8" s="94" t="str">
        <f ca="1">IFERROR(fn_Compare(ADDRESS(ROW(),COLUMN())),"")</f>
        <v/>
      </c>
    </row>
    <row r="9" spans="1:14" ht="16.5" customHeight="1">
      <c r="A9" s="156" t="s">
        <v>754</v>
      </c>
      <c r="B9" s="90" t="s">
        <v>762</v>
      </c>
      <c r="C9" s="86" t="s">
        <v>782</v>
      </c>
      <c r="D9" s="73" t="s">
        <v>309</v>
      </c>
      <c r="E9" s="73">
        <v>5</v>
      </c>
      <c r="F9" s="47">
        <f ca="1">COUNTA($L9:INDIRECT(ADDRESS(ROW(),MATCH("",$4:$4,-1),1,1)))</f>
        <v>2</v>
      </c>
      <c r="G9" s="47">
        <f t="shared" ca="1" si="1"/>
        <v>2</v>
      </c>
      <c r="H9" s="47">
        <f ca="1">COUNTIF($L9:INDIRECT(ADDRESS(ROW(),MATCH("",$4:$4,-1),1,1)),"양호")</f>
        <v>0</v>
      </c>
      <c r="I9" s="47">
        <f ca="1">COUNTIF($L9:INDIRECT(ADDRESS(ROW(),MATCH("",$4:$4,-1),1,1)),"신규")</f>
        <v>0</v>
      </c>
      <c r="J9" s="47">
        <f ca="1">COUNTIF($L9:INDIRECT(ADDRESS(ROW(),MATCH("",$4:$4,-1),1,1)),"조치")</f>
        <v>0</v>
      </c>
      <c r="K9" s="47">
        <f ca="1">COUNTIF($L9:INDIRECT(ADDRESS(ROW(),MATCH("",$4:$4,-1),1,1)),"미조치")</f>
        <v>0</v>
      </c>
      <c r="L9" s="49" t="str">
        <f ca="1">IFERROR(fn_Compare(ADDRESS(ROW(),COLUMN())),"")</f>
        <v/>
      </c>
      <c r="M9" s="49" t="str">
        <f ca="1">IFERROR(fn_Compare(ADDRESS(ROW(),COLUMN())),"")</f>
        <v/>
      </c>
      <c r="N9" s="94" t="str">
        <f ca="1">IFERROR(fn_Compare(ADDRESS(ROW(),COLUMN())),"")</f>
        <v/>
      </c>
    </row>
    <row r="10" spans="1:14" ht="16.5" customHeight="1">
      <c r="A10" s="156" t="s">
        <v>754</v>
      </c>
      <c r="B10" s="90" t="s">
        <v>763</v>
      </c>
      <c r="C10" s="86" t="s">
        <v>783</v>
      </c>
      <c r="D10" s="73" t="s">
        <v>342</v>
      </c>
      <c r="E10" s="73">
        <v>3</v>
      </c>
      <c r="F10" s="47">
        <f ca="1">COUNTA($L10:INDIRECT(ADDRESS(ROW(),MATCH("",$4:$4,-1),1,1)))</f>
        <v>2</v>
      </c>
      <c r="G10" s="47">
        <f t="shared" ca="1" si="1"/>
        <v>2</v>
      </c>
      <c r="H10" s="47">
        <f ca="1">COUNTIF($L10:INDIRECT(ADDRESS(ROW(),MATCH("",$4:$4,-1),1,1)),"양호")</f>
        <v>0</v>
      </c>
      <c r="I10" s="47">
        <f ca="1">COUNTIF($L10:INDIRECT(ADDRESS(ROW(),MATCH("",$4:$4,-1),1,1)),"신규")</f>
        <v>0</v>
      </c>
      <c r="J10" s="47">
        <f ca="1">COUNTIF($L10:INDIRECT(ADDRESS(ROW(),MATCH("",$4:$4,-1),1,1)),"조치")</f>
        <v>0</v>
      </c>
      <c r="K10" s="47">
        <f ca="1">COUNTIF($L10:INDIRECT(ADDRESS(ROW(),MATCH("",$4:$4,-1),1,1)),"미조치")</f>
        <v>0</v>
      </c>
      <c r="L10" s="49" t="str">
        <f ca="1">IFERROR(fn_Compare(ADDRESS(ROW(),COLUMN())),"")</f>
        <v/>
      </c>
      <c r="M10" s="49" t="str">
        <f ca="1">IFERROR(fn_Compare(ADDRESS(ROW(),COLUMN())),"")</f>
        <v/>
      </c>
      <c r="N10" s="94" t="str">
        <f ca="1">IFERROR(fn_Compare(ADDRESS(ROW(),COLUMN())),"")</f>
        <v/>
      </c>
    </row>
    <row r="11" spans="1:14" ht="16.5" customHeight="1">
      <c r="A11" s="156" t="s">
        <v>755</v>
      </c>
      <c r="B11" s="90" t="s">
        <v>764</v>
      </c>
      <c r="C11" s="86" t="s">
        <v>784</v>
      </c>
      <c r="D11" s="73" t="s">
        <v>342</v>
      </c>
      <c r="E11" s="73">
        <v>3</v>
      </c>
      <c r="F11" s="47">
        <f ca="1">COUNTA($L11:INDIRECT(ADDRESS(ROW(),MATCH("",$4:$4,-1),1,1)))</f>
        <v>2</v>
      </c>
      <c r="G11" s="47">
        <f t="shared" ca="1" si="1"/>
        <v>2</v>
      </c>
      <c r="H11" s="47">
        <f ca="1">COUNTIF($L11:INDIRECT(ADDRESS(ROW(),MATCH("",$4:$4,-1),1,1)),"양호")</f>
        <v>0</v>
      </c>
      <c r="I11" s="47">
        <f ca="1">COUNTIF($L11:INDIRECT(ADDRESS(ROW(),MATCH("",$4:$4,-1),1,1)),"신규")</f>
        <v>0</v>
      </c>
      <c r="J11" s="47">
        <f ca="1">COUNTIF($L11:INDIRECT(ADDRESS(ROW(),MATCH("",$4:$4,-1),1,1)),"조치")</f>
        <v>0</v>
      </c>
      <c r="K11" s="47">
        <f ca="1">COUNTIF($L11:INDIRECT(ADDRESS(ROW(),MATCH("",$4:$4,-1),1,1)),"미조치")</f>
        <v>0</v>
      </c>
      <c r="L11" s="49" t="str">
        <f ca="1">IFERROR(fn_Compare(ADDRESS(ROW(),COLUMN())),"")</f>
        <v/>
      </c>
      <c r="M11" s="49" t="str">
        <f ca="1">IFERROR(fn_Compare(ADDRESS(ROW(),COLUMN())),"")</f>
        <v/>
      </c>
      <c r="N11" s="94" t="str">
        <f ca="1">IFERROR(fn_Compare(ADDRESS(ROW(),COLUMN())),"")</f>
        <v/>
      </c>
    </row>
    <row r="12" spans="1:14" ht="16.5" customHeight="1">
      <c r="A12" s="156" t="s">
        <v>755</v>
      </c>
      <c r="B12" s="90" t="s">
        <v>765</v>
      </c>
      <c r="C12" s="86" t="s">
        <v>785</v>
      </c>
      <c r="D12" s="73" t="s">
        <v>342</v>
      </c>
      <c r="E12" s="73">
        <v>3</v>
      </c>
      <c r="F12" s="47">
        <f ca="1">COUNTA($L12:INDIRECT(ADDRESS(ROW(),MATCH("",$4:$4,-1),1,1)))</f>
        <v>2</v>
      </c>
      <c r="G12" s="47">
        <f t="shared" ca="1" si="1"/>
        <v>2</v>
      </c>
      <c r="H12" s="47">
        <f ca="1">COUNTIF($L12:INDIRECT(ADDRESS(ROW(),MATCH("",$4:$4,-1),1,1)),"양호")</f>
        <v>0</v>
      </c>
      <c r="I12" s="47">
        <f ca="1">COUNTIF($L12:INDIRECT(ADDRESS(ROW(),MATCH("",$4:$4,-1),1,1)),"신규")</f>
        <v>0</v>
      </c>
      <c r="J12" s="47">
        <f ca="1">COUNTIF($L12:INDIRECT(ADDRESS(ROW(),MATCH("",$4:$4,-1),1,1)),"조치")</f>
        <v>0</v>
      </c>
      <c r="K12" s="47">
        <f ca="1">COUNTIF($L12:INDIRECT(ADDRESS(ROW(),MATCH("",$4:$4,-1),1,1)),"미조치")</f>
        <v>0</v>
      </c>
      <c r="L12" s="49" t="str">
        <f ca="1">IFERROR(fn_Compare(ADDRESS(ROW(),COLUMN())),"")</f>
        <v/>
      </c>
      <c r="M12" s="49" t="str">
        <f ca="1">IFERROR(fn_Compare(ADDRESS(ROW(),COLUMN())),"")</f>
        <v/>
      </c>
      <c r="N12" s="94" t="str">
        <f ca="1">IFERROR(fn_Compare(ADDRESS(ROW(),COLUMN())),"")</f>
        <v/>
      </c>
    </row>
    <row r="13" spans="1:14" ht="16.5" customHeight="1">
      <c r="A13" s="156" t="s">
        <v>754</v>
      </c>
      <c r="B13" s="90" t="s">
        <v>766</v>
      </c>
      <c r="C13" s="86" t="s">
        <v>786</v>
      </c>
      <c r="D13" s="73" t="s">
        <v>309</v>
      </c>
      <c r="E13" s="73">
        <v>5</v>
      </c>
      <c r="F13" s="47">
        <f ca="1">COUNTA($L13:INDIRECT(ADDRESS(ROW(),MATCH("",$4:$4,-1),1,1)))</f>
        <v>2</v>
      </c>
      <c r="G13" s="47">
        <f t="shared" ca="1" si="1"/>
        <v>2</v>
      </c>
      <c r="H13" s="47">
        <f ca="1">COUNTIF($L13:INDIRECT(ADDRESS(ROW(),MATCH("",$4:$4,-1),1,1)),"양호")</f>
        <v>0</v>
      </c>
      <c r="I13" s="47">
        <f ca="1">COUNTIF($L13:INDIRECT(ADDRESS(ROW(),MATCH("",$4:$4,-1),1,1)),"신규")</f>
        <v>0</v>
      </c>
      <c r="J13" s="47">
        <f ca="1">COUNTIF($L13:INDIRECT(ADDRESS(ROW(),MATCH("",$4:$4,-1),1,1)),"조치")</f>
        <v>0</v>
      </c>
      <c r="K13" s="47">
        <f ca="1">COUNTIF($L13:INDIRECT(ADDRESS(ROW(),MATCH("",$4:$4,-1),1,1)),"미조치")</f>
        <v>0</v>
      </c>
      <c r="L13" s="49" t="str">
        <f ca="1">IFERROR(fn_Compare(ADDRESS(ROW(),COLUMN())),"")</f>
        <v/>
      </c>
      <c r="M13" s="49" t="str">
        <f ca="1">IFERROR(fn_Compare(ADDRESS(ROW(),COLUMN())),"")</f>
        <v/>
      </c>
      <c r="N13" s="94" t="str">
        <f ca="1">IFERROR(fn_Compare(ADDRESS(ROW(),COLUMN())),"")</f>
        <v/>
      </c>
    </row>
    <row r="14" spans="1:14" ht="16.5" customHeight="1">
      <c r="A14" s="156" t="s">
        <v>754</v>
      </c>
      <c r="B14" s="90" t="s">
        <v>767</v>
      </c>
      <c r="C14" s="86" t="s">
        <v>787</v>
      </c>
      <c r="D14" s="73" t="s">
        <v>309</v>
      </c>
      <c r="E14" s="73">
        <v>5</v>
      </c>
      <c r="F14" s="47">
        <f ca="1">COUNTA($L14:INDIRECT(ADDRESS(ROW(),MATCH("",$4:$4,-1),1,1)))</f>
        <v>2</v>
      </c>
      <c r="G14" s="47">
        <f t="shared" ca="1" si="1"/>
        <v>2</v>
      </c>
      <c r="H14" s="47">
        <f ca="1">COUNTIF($L14:INDIRECT(ADDRESS(ROW(),MATCH("",$4:$4,-1),1,1)),"양호")</f>
        <v>0</v>
      </c>
      <c r="I14" s="47">
        <f ca="1">COUNTIF($L14:INDIRECT(ADDRESS(ROW(),MATCH("",$4:$4,-1),1,1)),"신규")</f>
        <v>0</v>
      </c>
      <c r="J14" s="47">
        <f ca="1">COUNTIF($L14:INDIRECT(ADDRESS(ROW(),MATCH("",$4:$4,-1),1,1)),"조치")</f>
        <v>0</v>
      </c>
      <c r="K14" s="47">
        <f ca="1">COUNTIF($L14:INDIRECT(ADDRESS(ROW(),MATCH("",$4:$4,-1),1,1)),"미조치")</f>
        <v>0</v>
      </c>
      <c r="L14" s="49" t="str">
        <f ca="1">IFERROR(fn_Compare(ADDRESS(ROW(),COLUMN())),"")</f>
        <v/>
      </c>
      <c r="M14" s="49" t="str">
        <f ca="1">IFERROR(fn_Compare(ADDRESS(ROW(),COLUMN())),"")</f>
        <v/>
      </c>
      <c r="N14" s="94" t="str">
        <f ca="1">IFERROR(fn_Compare(ADDRESS(ROW(),COLUMN())),"")</f>
        <v/>
      </c>
    </row>
    <row r="15" spans="1:14" ht="16.5" customHeight="1">
      <c r="A15" s="156" t="s">
        <v>754</v>
      </c>
      <c r="B15" s="90" t="s">
        <v>768</v>
      </c>
      <c r="C15" s="86" t="s">
        <v>788</v>
      </c>
      <c r="D15" s="73" t="s">
        <v>309</v>
      </c>
      <c r="E15" s="73">
        <v>5</v>
      </c>
      <c r="F15" s="47">
        <f ca="1">COUNTA($L15:INDIRECT(ADDRESS(ROW(),MATCH("",$4:$4,-1),1,1)))</f>
        <v>2</v>
      </c>
      <c r="G15" s="47">
        <f t="shared" ca="1" si="1"/>
        <v>2</v>
      </c>
      <c r="H15" s="47">
        <f ca="1">COUNTIF($L15:INDIRECT(ADDRESS(ROW(),MATCH("",$4:$4,-1),1,1)),"양호")</f>
        <v>0</v>
      </c>
      <c r="I15" s="47">
        <f ca="1">COUNTIF($L15:INDIRECT(ADDRESS(ROW(),MATCH("",$4:$4,-1),1,1)),"신규")</f>
        <v>0</v>
      </c>
      <c r="J15" s="47">
        <f ca="1">COUNTIF($L15:INDIRECT(ADDRESS(ROW(),MATCH("",$4:$4,-1),1,1)),"조치")</f>
        <v>0</v>
      </c>
      <c r="K15" s="47">
        <f ca="1">COUNTIF($L15:INDIRECT(ADDRESS(ROW(),MATCH("",$4:$4,-1),1,1)),"미조치")</f>
        <v>0</v>
      </c>
      <c r="L15" s="49" t="str">
        <f ca="1">IFERROR(fn_Compare(ADDRESS(ROW(),COLUMN())),"")</f>
        <v/>
      </c>
      <c r="M15" s="49" t="str">
        <f ca="1">IFERROR(fn_Compare(ADDRESS(ROW(),COLUMN())),"")</f>
        <v/>
      </c>
      <c r="N15" s="94" t="str">
        <f ca="1">IFERROR(fn_Compare(ADDRESS(ROW(),COLUMN())),"")</f>
        <v/>
      </c>
    </row>
    <row r="16" spans="1:14" ht="16.5" customHeight="1">
      <c r="A16" s="156" t="s">
        <v>754</v>
      </c>
      <c r="B16" s="90" t="s">
        <v>769</v>
      </c>
      <c r="C16" s="86" t="s">
        <v>789</v>
      </c>
      <c r="D16" s="73" t="s">
        <v>309</v>
      </c>
      <c r="E16" s="73">
        <v>5</v>
      </c>
      <c r="F16" s="47">
        <f ca="1">COUNTA($L16:INDIRECT(ADDRESS(ROW(),MATCH("",$4:$4,-1),1,1)))</f>
        <v>2</v>
      </c>
      <c r="G16" s="47">
        <f t="shared" ca="1" si="1"/>
        <v>2</v>
      </c>
      <c r="H16" s="47">
        <f ca="1">COUNTIF($L16:INDIRECT(ADDRESS(ROW(),MATCH("",$4:$4,-1),1,1)),"양호")</f>
        <v>0</v>
      </c>
      <c r="I16" s="47">
        <f ca="1">COUNTIF($L16:INDIRECT(ADDRESS(ROW(),MATCH("",$4:$4,-1),1,1)),"신규")</f>
        <v>0</v>
      </c>
      <c r="J16" s="47">
        <f ca="1">COUNTIF($L16:INDIRECT(ADDRESS(ROW(),MATCH("",$4:$4,-1),1,1)),"조치")</f>
        <v>0</v>
      </c>
      <c r="K16" s="47">
        <f ca="1">COUNTIF($L16:INDIRECT(ADDRESS(ROW(),MATCH("",$4:$4,-1),1,1)),"미조치")</f>
        <v>0</v>
      </c>
      <c r="L16" s="49" t="str">
        <f ca="1">IFERROR(fn_Compare(ADDRESS(ROW(),COLUMN())),"")</f>
        <v/>
      </c>
      <c r="M16" s="49" t="str">
        <f ca="1">IFERROR(fn_Compare(ADDRESS(ROW(),COLUMN())),"")</f>
        <v/>
      </c>
      <c r="N16" s="94" t="str">
        <f ca="1">IFERROR(fn_Compare(ADDRESS(ROW(),COLUMN())),"")</f>
        <v/>
      </c>
    </row>
    <row r="17" spans="1:14" ht="16.5" customHeight="1">
      <c r="A17" s="156" t="s">
        <v>754</v>
      </c>
      <c r="B17" s="90" t="s">
        <v>770</v>
      </c>
      <c r="C17" s="86" t="s">
        <v>790</v>
      </c>
      <c r="D17" s="73" t="s">
        <v>309</v>
      </c>
      <c r="E17" s="73">
        <v>5</v>
      </c>
      <c r="F17" s="47">
        <f ca="1">COUNTA($L17:INDIRECT(ADDRESS(ROW(),MATCH("",$4:$4,-1),1,1)))</f>
        <v>2</v>
      </c>
      <c r="G17" s="47">
        <f t="shared" ca="1" si="1"/>
        <v>2</v>
      </c>
      <c r="H17" s="47">
        <f ca="1">COUNTIF($L17:INDIRECT(ADDRESS(ROW(),MATCH("",$4:$4,-1),1,1)),"양호")</f>
        <v>0</v>
      </c>
      <c r="I17" s="47">
        <f ca="1">COUNTIF($L17:INDIRECT(ADDRESS(ROW(),MATCH("",$4:$4,-1),1,1)),"신규")</f>
        <v>0</v>
      </c>
      <c r="J17" s="47">
        <f ca="1">COUNTIF($L17:INDIRECT(ADDRESS(ROW(),MATCH("",$4:$4,-1),1,1)),"조치")</f>
        <v>0</v>
      </c>
      <c r="K17" s="47">
        <f ca="1">COUNTIF($L17:INDIRECT(ADDRESS(ROW(),MATCH("",$4:$4,-1),1,1)),"미조치")</f>
        <v>0</v>
      </c>
      <c r="L17" s="49" t="str">
        <f ca="1">IFERROR(fn_Compare(ADDRESS(ROW(),COLUMN())),"")</f>
        <v/>
      </c>
      <c r="M17" s="49" t="str">
        <f ca="1">IFERROR(fn_Compare(ADDRESS(ROW(),COLUMN())),"")</f>
        <v/>
      </c>
      <c r="N17" s="94" t="str">
        <f ca="1">IFERROR(fn_Compare(ADDRESS(ROW(),COLUMN())),"")</f>
        <v/>
      </c>
    </row>
    <row r="18" spans="1:14" ht="16.5" customHeight="1">
      <c r="A18" s="156" t="s">
        <v>756</v>
      </c>
      <c r="B18" s="90" t="s">
        <v>771</v>
      </c>
      <c r="C18" s="86" t="s">
        <v>791</v>
      </c>
      <c r="D18" s="73" t="s">
        <v>309</v>
      </c>
      <c r="E18" s="73">
        <v>5</v>
      </c>
      <c r="F18" s="47">
        <f ca="1">COUNTA($L18:INDIRECT(ADDRESS(ROW(),MATCH("",$4:$4,-1),1,1)))</f>
        <v>2</v>
      </c>
      <c r="G18" s="47">
        <f t="shared" ca="1" si="1"/>
        <v>2</v>
      </c>
      <c r="H18" s="47">
        <f ca="1">COUNTIF($L18:INDIRECT(ADDRESS(ROW(),MATCH("",$4:$4,-1),1,1)),"양호")</f>
        <v>0</v>
      </c>
      <c r="I18" s="47">
        <f ca="1">COUNTIF($L18:INDIRECT(ADDRESS(ROW(),MATCH("",$4:$4,-1),1,1)),"신규")</f>
        <v>0</v>
      </c>
      <c r="J18" s="47">
        <f ca="1">COUNTIF($L18:INDIRECT(ADDRESS(ROW(),MATCH("",$4:$4,-1),1,1)),"조치")</f>
        <v>0</v>
      </c>
      <c r="K18" s="47">
        <f ca="1">COUNTIF($L18:INDIRECT(ADDRESS(ROW(),MATCH("",$4:$4,-1),1,1)),"미조치")</f>
        <v>0</v>
      </c>
      <c r="L18" s="49" t="str">
        <f ca="1">IFERROR(fn_Compare(ADDRESS(ROW(),COLUMN())),"")</f>
        <v/>
      </c>
      <c r="M18" s="49" t="str">
        <f ca="1">IFERROR(fn_Compare(ADDRESS(ROW(),COLUMN())),"")</f>
        <v/>
      </c>
      <c r="N18" s="94" t="str">
        <f ca="1">IFERROR(fn_Compare(ADDRESS(ROW(),COLUMN())),"")</f>
        <v/>
      </c>
    </row>
    <row r="19" spans="1:14" ht="16.5" customHeight="1">
      <c r="A19" s="156" t="s">
        <v>757</v>
      </c>
      <c r="B19" s="90" t="s">
        <v>772</v>
      </c>
      <c r="C19" s="86" t="s">
        <v>792</v>
      </c>
      <c r="D19" s="73" t="s">
        <v>309</v>
      </c>
      <c r="E19" s="73">
        <v>5</v>
      </c>
      <c r="F19" s="47">
        <f ca="1">COUNTA($L19:INDIRECT(ADDRESS(ROW(),MATCH("",$4:$4,-1),1,1)))</f>
        <v>2</v>
      </c>
      <c r="G19" s="47">
        <f t="shared" ca="1" si="1"/>
        <v>2</v>
      </c>
      <c r="H19" s="47">
        <f ca="1">COUNTIF($L19:INDIRECT(ADDRESS(ROW(),MATCH("",$4:$4,-1),1,1)),"양호")</f>
        <v>0</v>
      </c>
      <c r="I19" s="47">
        <f ca="1">COUNTIF($L19:INDIRECT(ADDRESS(ROW(),MATCH("",$4:$4,-1),1,1)),"신규")</f>
        <v>0</v>
      </c>
      <c r="J19" s="47">
        <f ca="1">COUNTIF($L19:INDIRECT(ADDRESS(ROW(),MATCH("",$4:$4,-1),1,1)),"조치")</f>
        <v>0</v>
      </c>
      <c r="K19" s="47">
        <f ca="1">COUNTIF($L19:INDIRECT(ADDRESS(ROW(),MATCH("",$4:$4,-1),1,1)),"미조치")</f>
        <v>0</v>
      </c>
      <c r="L19" s="49" t="str">
        <f ca="1">IFERROR(fn_Compare(ADDRESS(ROW(),COLUMN())),"")</f>
        <v/>
      </c>
      <c r="M19" s="49" t="str">
        <f ca="1">IFERROR(fn_Compare(ADDRESS(ROW(),COLUMN())),"")</f>
        <v/>
      </c>
      <c r="N19" s="94" t="str">
        <f ca="1">IFERROR(fn_Compare(ADDRESS(ROW(),COLUMN())),"")</f>
        <v/>
      </c>
    </row>
    <row r="20" spans="1:14" ht="16.5" customHeight="1">
      <c r="A20" s="156" t="s">
        <v>754</v>
      </c>
      <c r="B20" s="90" t="s">
        <v>773</v>
      </c>
      <c r="C20" s="86" t="s">
        <v>793</v>
      </c>
      <c r="D20" s="73" t="s">
        <v>309</v>
      </c>
      <c r="E20" s="73">
        <v>5</v>
      </c>
      <c r="F20" s="47">
        <f ca="1">COUNTA($L20:INDIRECT(ADDRESS(ROW(),MATCH("",$4:$4,-1),1,1)))</f>
        <v>2</v>
      </c>
      <c r="G20" s="47">
        <f t="shared" ca="1" si="1"/>
        <v>2</v>
      </c>
      <c r="H20" s="47">
        <f ca="1">COUNTIF($L20:INDIRECT(ADDRESS(ROW(),MATCH("",$4:$4,-1),1,1)),"양호")</f>
        <v>0</v>
      </c>
      <c r="I20" s="47">
        <f ca="1">COUNTIF($L20:INDIRECT(ADDRESS(ROW(),MATCH("",$4:$4,-1),1,1)),"신규")</f>
        <v>0</v>
      </c>
      <c r="J20" s="47">
        <f ca="1">COUNTIF($L20:INDIRECT(ADDRESS(ROW(),MATCH("",$4:$4,-1),1,1)),"조치")</f>
        <v>0</v>
      </c>
      <c r="K20" s="47">
        <f ca="1">COUNTIF($L20:INDIRECT(ADDRESS(ROW(),MATCH("",$4:$4,-1),1,1)),"미조치")</f>
        <v>0</v>
      </c>
      <c r="L20" s="49" t="str">
        <f ca="1">IFERROR(fn_Compare(ADDRESS(ROW(),COLUMN())),"")</f>
        <v/>
      </c>
      <c r="M20" s="49" t="str">
        <f ca="1">IFERROR(fn_Compare(ADDRESS(ROW(),COLUMN())),"")</f>
        <v/>
      </c>
      <c r="N20" s="94" t="str">
        <f ca="1">IFERROR(fn_Compare(ADDRESS(ROW(),COLUMN())),"")</f>
        <v/>
      </c>
    </row>
    <row r="21" spans="1:14" ht="16.5" customHeight="1">
      <c r="A21" s="156" t="s">
        <v>754</v>
      </c>
      <c r="B21" s="90" t="s">
        <v>774</v>
      </c>
      <c r="C21" s="86" t="s">
        <v>794</v>
      </c>
      <c r="D21" s="73" t="s">
        <v>309</v>
      </c>
      <c r="E21" s="73">
        <v>5</v>
      </c>
      <c r="F21" s="47">
        <f ca="1">COUNTA($L21:INDIRECT(ADDRESS(ROW(),MATCH("",$4:$4,-1),1,1)))</f>
        <v>2</v>
      </c>
      <c r="G21" s="47">
        <f t="shared" ca="1" si="1"/>
        <v>2</v>
      </c>
      <c r="H21" s="47">
        <f ca="1">COUNTIF($L21:INDIRECT(ADDRESS(ROW(),MATCH("",$4:$4,-1),1,1)),"양호")</f>
        <v>0</v>
      </c>
      <c r="I21" s="47">
        <f ca="1">COUNTIF($L21:INDIRECT(ADDRESS(ROW(),MATCH("",$4:$4,-1),1,1)),"신규")</f>
        <v>0</v>
      </c>
      <c r="J21" s="47">
        <f ca="1">COUNTIF($L21:INDIRECT(ADDRESS(ROW(),MATCH("",$4:$4,-1),1,1)),"조치")</f>
        <v>0</v>
      </c>
      <c r="K21" s="47">
        <f ca="1">COUNTIF($L21:INDIRECT(ADDRESS(ROW(),MATCH("",$4:$4,-1),1,1)),"미조치")</f>
        <v>0</v>
      </c>
      <c r="L21" s="49" t="str">
        <f ca="1">IFERROR(fn_Compare(ADDRESS(ROW(),COLUMN())),"")</f>
        <v/>
      </c>
      <c r="M21" s="49" t="str">
        <f ca="1">IFERROR(fn_Compare(ADDRESS(ROW(),COLUMN())),"")</f>
        <v/>
      </c>
      <c r="N21" s="94" t="str">
        <f ca="1">IFERROR(fn_Compare(ADDRESS(ROW(),COLUMN())),"")</f>
        <v/>
      </c>
    </row>
    <row r="22" spans="1:14" ht="16.5" customHeight="1">
      <c r="A22" s="156" t="s">
        <v>754</v>
      </c>
      <c r="B22" s="90" t="s">
        <v>775</v>
      </c>
      <c r="C22" s="86" t="s">
        <v>795</v>
      </c>
      <c r="D22" s="73" t="s">
        <v>309</v>
      </c>
      <c r="E22" s="73">
        <v>5</v>
      </c>
      <c r="F22" s="47">
        <f ca="1">COUNTA($L22:INDIRECT(ADDRESS(ROW(),MATCH("",$4:$4,-1),1,1)))</f>
        <v>2</v>
      </c>
      <c r="G22" s="47">
        <f t="shared" ca="1" si="1"/>
        <v>2</v>
      </c>
      <c r="H22" s="47">
        <f ca="1">COUNTIF($L22:INDIRECT(ADDRESS(ROW(),MATCH("",$4:$4,-1),1,1)),"양호")</f>
        <v>0</v>
      </c>
      <c r="I22" s="47">
        <f ca="1">COUNTIF($L22:INDIRECT(ADDRESS(ROW(),MATCH("",$4:$4,-1),1,1)),"신규")</f>
        <v>0</v>
      </c>
      <c r="J22" s="47">
        <f ca="1">COUNTIF($L22:INDIRECT(ADDRESS(ROW(),MATCH("",$4:$4,-1),1,1)),"조치")</f>
        <v>0</v>
      </c>
      <c r="K22" s="47">
        <f ca="1">COUNTIF($L22:INDIRECT(ADDRESS(ROW(),MATCH("",$4:$4,-1),1,1)),"미조치")</f>
        <v>0</v>
      </c>
      <c r="L22" s="49" t="str">
        <f ca="1">IFERROR(fn_Compare(ADDRESS(ROW(),COLUMN())),"")</f>
        <v/>
      </c>
      <c r="M22" s="49" t="str">
        <f ca="1">IFERROR(fn_Compare(ADDRESS(ROW(),COLUMN())),"")</f>
        <v/>
      </c>
      <c r="N22" s="94" t="str">
        <f ca="1">IFERROR(fn_Compare(ADDRESS(ROW(),COLUMN())),"")</f>
        <v/>
      </c>
    </row>
    <row r="23" spans="1:14" ht="16.5" customHeight="1">
      <c r="A23" s="156" t="s">
        <v>756</v>
      </c>
      <c r="B23" s="90" t="s">
        <v>776</v>
      </c>
      <c r="C23" s="86" t="s">
        <v>796</v>
      </c>
      <c r="D23" s="73" t="s">
        <v>309</v>
      </c>
      <c r="E23" s="73">
        <v>5</v>
      </c>
      <c r="F23" s="47">
        <f ca="1">COUNTA($L23:INDIRECT(ADDRESS(ROW(),MATCH("",$4:$4,-1),1,1)))</f>
        <v>2</v>
      </c>
      <c r="G23" s="47">
        <f t="shared" ca="1" si="1"/>
        <v>2</v>
      </c>
      <c r="H23" s="47">
        <f ca="1">COUNTIF($L23:INDIRECT(ADDRESS(ROW(),MATCH("",$4:$4,-1),1,1)),"양호")</f>
        <v>0</v>
      </c>
      <c r="I23" s="47">
        <f ca="1">COUNTIF($L23:INDIRECT(ADDRESS(ROW(),MATCH("",$4:$4,-1),1,1)),"신규")</f>
        <v>0</v>
      </c>
      <c r="J23" s="47">
        <f ca="1">COUNTIF($L23:INDIRECT(ADDRESS(ROW(),MATCH("",$4:$4,-1),1,1)),"조치")</f>
        <v>0</v>
      </c>
      <c r="K23" s="47">
        <f ca="1">COUNTIF($L23:INDIRECT(ADDRESS(ROW(),MATCH("",$4:$4,-1),1,1)),"미조치")</f>
        <v>0</v>
      </c>
      <c r="L23" s="49" t="str">
        <f ca="1">IFERROR(fn_Compare(ADDRESS(ROW(),COLUMN())),"")</f>
        <v/>
      </c>
      <c r="M23" s="49" t="str">
        <f ca="1">IFERROR(fn_Compare(ADDRESS(ROW(),COLUMN())),"")</f>
        <v/>
      </c>
      <c r="N23" s="94" t="str">
        <f ca="1">IFERROR(fn_Compare(ADDRESS(ROW(),COLUMN())),"")</f>
        <v/>
      </c>
    </row>
    <row r="24" spans="1:14" ht="16.5" customHeight="1">
      <c r="A24" s="156" t="s">
        <v>758</v>
      </c>
      <c r="B24" s="90" t="s">
        <v>777</v>
      </c>
      <c r="C24" s="86" t="s">
        <v>797</v>
      </c>
      <c r="D24" s="73" t="s">
        <v>309</v>
      </c>
      <c r="E24" s="73">
        <v>5</v>
      </c>
      <c r="F24" s="47">
        <f ca="1">COUNTA($L24:INDIRECT(ADDRESS(ROW(),MATCH("",$4:$4,-1),1,1)))</f>
        <v>2</v>
      </c>
      <c r="G24" s="47">
        <f t="shared" ca="1" si="1"/>
        <v>2</v>
      </c>
      <c r="H24" s="47">
        <f ca="1">COUNTIF($L24:INDIRECT(ADDRESS(ROW(),MATCH("",$4:$4,-1),1,1)),"양호")</f>
        <v>0</v>
      </c>
      <c r="I24" s="47">
        <f ca="1">COUNTIF($L24:INDIRECT(ADDRESS(ROW(),MATCH("",$4:$4,-1),1,1)),"신규")</f>
        <v>0</v>
      </c>
      <c r="J24" s="47">
        <f ca="1">COUNTIF($L24:INDIRECT(ADDRESS(ROW(),MATCH("",$4:$4,-1),1,1)),"조치")</f>
        <v>0</v>
      </c>
      <c r="K24" s="47">
        <f ca="1">COUNTIF($L24:INDIRECT(ADDRESS(ROW(),MATCH("",$4:$4,-1),1,1)),"미조치")</f>
        <v>0</v>
      </c>
      <c r="L24" s="49" t="str">
        <f ca="1">IFERROR(fn_Compare(ADDRESS(ROW(),COLUMN())),"")</f>
        <v/>
      </c>
      <c r="M24" s="49" t="str">
        <f ca="1">IFERROR(fn_Compare(ADDRESS(ROW(),COLUMN())),"")</f>
        <v/>
      </c>
      <c r="N24" s="94" t="str">
        <f ca="1">IFERROR(fn_Compare(ADDRESS(ROW(),COLUMN())),"")</f>
        <v/>
      </c>
    </row>
    <row r="25" spans="1:14" ht="16.5" customHeight="1" thickBot="1">
      <c r="A25" s="156" t="s">
        <v>758</v>
      </c>
      <c r="B25" s="90" t="s">
        <v>778</v>
      </c>
      <c r="C25" s="86" t="s">
        <v>798</v>
      </c>
      <c r="D25" s="73" t="s">
        <v>309</v>
      </c>
      <c r="E25" s="73">
        <v>5</v>
      </c>
      <c r="F25" s="47">
        <f ca="1">COUNTA($L25:INDIRECT(ADDRESS(ROW(),MATCH("",$4:$4,-1),1,1)))</f>
        <v>2</v>
      </c>
      <c r="G25" s="47">
        <f t="shared" ca="1" si="1"/>
        <v>2</v>
      </c>
      <c r="H25" s="47">
        <f ca="1">COUNTIF($L25:INDIRECT(ADDRESS(ROW(),MATCH("",$4:$4,-1),1,1)),"양호")</f>
        <v>0</v>
      </c>
      <c r="I25" s="47">
        <f ca="1">COUNTIF($L25:INDIRECT(ADDRESS(ROW(),MATCH("",$4:$4,-1),1,1)),"신규")</f>
        <v>0</v>
      </c>
      <c r="J25" s="47">
        <f ca="1">COUNTIF($L25:INDIRECT(ADDRESS(ROW(),MATCH("",$4:$4,-1),1,1)),"조치")</f>
        <v>0</v>
      </c>
      <c r="K25" s="47">
        <f ca="1">COUNTIF($L25:INDIRECT(ADDRESS(ROW(),MATCH("",$4:$4,-1),1,1)),"미조치")</f>
        <v>0</v>
      </c>
      <c r="L25" s="49" t="str">
        <f ca="1">IFERROR(fn_Compare(ADDRESS(ROW(),COLUMN())),"")</f>
        <v/>
      </c>
      <c r="M25" s="49" t="str">
        <f ca="1">IFERROR(fn_Compare(ADDRESS(ROW(),COLUMN())),"")</f>
        <v/>
      </c>
      <c r="N25" s="94" t="str">
        <f ca="1">IFERROR(fn_Compare(ADDRESS(ROW(),COLUMN())),"")</f>
        <v/>
      </c>
    </row>
    <row r="26" spans="1:14" ht="17.25" thickBot="1">
      <c r="A26" s="467" t="s">
        <v>343</v>
      </c>
      <c r="B26" s="468"/>
      <c r="C26" s="468"/>
      <c r="D26" s="468"/>
      <c r="E26" s="101">
        <f t="shared" ref="E26:K26" si="2">SUM(E6:E25)</f>
        <v>90</v>
      </c>
      <c r="F26" s="101">
        <f t="shared" ca="1" si="2"/>
        <v>40</v>
      </c>
      <c r="G26" s="101">
        <f t="shared" ca="1" si="2"/>
        <v>40</v>
      </c>
      <c r="H26" s="101">
        <f t="shared" ca="1" si="2"/>
        <v>0</v>
      </c>
      <c r="I26" s="101">
        <f t="shared" ca="1" si="2"/>
        <v>0</v>
      </c>
      <c r="J26" s="101">
        <f t="shared" ca="1" si="2"/>
        <v>0</v>
      </c>
      <c r="K26" s="101">
        <f t="shared" ca="1" si="2"/>
        <v>0</v>
      </c>
      <c r="L26" s="102">
        <f ca="1">COUNTIF(L6:L25,"양호")+COUNTIF(L6:L25,"신규")+COUNTIF(L6:L25,"조치")+COUNTIF(L6:L25,"미조치")</f>
        <v>0</v>
      </c>
      <c r="M26" s="102">
        <f ca="1">COUNTIF(M6:M25,"양호")+COUNTIF(M6:M25,"신규")+COUNTIF(M6:M25,"조치")+COUNTIF(M6:M25,"미조치")</f>
        <v>0</v>
      </c>
      <c r="N26" s="103">
        <f ca="1">COUNTIF(N6:N25,"양호")+COUNTIF(N6:N25,"신규")+COUNTIF(N6:N25,"조치")+COUNTIF(N6:N25,"미조치")</f>
        <v>0</v>
      </c>
    </row>
    <row r="27" spans="1:14" ht="17.25" thickBot="1">
      <c r="L27" s="104">
        <f ca="1">COUNTA(L6:L25)-(COUNTIF(L6:L25,"양호")+COUNTIF(L6:L25,"신규")+COUNTIF(L6:L25,"조치")+COUNTIF(L6:L25,"미조치"))</f>
        <v>20</v>
      </c>
      <c r="M27" s="105">
        <f ca="1">COUNTA(M6:M25)-(COUNTIF(M6:M25,"양호")+COUNTIF(M6:M25,"신규")+COUNTIF(M6:M25,"조치")+COUNTIF(M6:M25,"미조치"))</f>
        <v>20</v>
      </c>
      <c r="N27" s="106">
        <f ca="1">COUNTA(N6:N25)-(COUNTIF(N6:N25,"양호")+COUNTIF(N6:N25,"신규")+COUNTIF(N6:N25,"조치")+COUNTIF(N6:N25,"미조치"))</f>
        <v>20</v>
      </c>
    </row>
    <row r="28" spans="1:14" ht="17.25" thickBot="1">
      <c r="L28" s="52"/>
      <c r="M28" s="52"/>
      <c r="N28" s="52"/>
    </row>
    <row r="29" spans="1:14">
      <c r="I29" s="479" t="s">
        <v>354</v>
      </c>
      <c r="J29" s="17" t="s">
        <v>339</v>
      </c>
      <c r="K29" s="11">
        <f ca="1">SUM(L29:N29)</f>
        <v>0</v>
      </c>
      <c r="L29" s="32">
        <f ca="1">COUNTIF(L$6:L$25,$J29)</f>
        <v>0</v>
      </c>
      <c r="M29" s="12">
        <f t="shared" ref="L29:N32" ca="1" si="3">COUNTIF(M$6:M$25,$J29)</f>
        <v>0</v>
      </c>
      <c r="N29" s="17">
        <f t="shared" ca="1" si="3"/>
        <v>0</v>
      </c>
    </row>
    <row r="30" spans="1:14">
      <c r="I30" s="480"/>
      <c r="J30" s="25" t="s">
        <v>351</v>
      </c>
      <c r="K30" s="13">
        <f ca="1">SUM(L30:N30)</f>
        <v>0</v>
      </c>
      <c r="L30" s="18">
        <f t="shared" ca="1" si="3"/>
        <v>0</v>
      </c>
      <c r="M30" s="14">
        <f t="shared" ca="1" si="3"/>
        <v>0</v>
      </c>
      <c r="N30" s="19">
        <f t="shared" ca="1" si="3"/>
        <v>0</v>
      </c>
    </row>
    <row r="31" spans="1:14">
      <c r="I31" s="480"/>
      <c r="J31" s="26" t="s">
        <v>352</v>
      </c>
      <c r="K31" s="13">
        <f ca="1">SUM(L31:N31)</f>
        <v>0</v>
      </c>
      <c r="L31" s="18">
        <f t="shared" ca="1" si="3"/>
        <v>0</v>
      </c>
      <c r="M31" s="14">
        <f t="shared" ca="1" si="3"/>
        <v>0</v>
      </c>
      <c r="N31" s="19">
        <f t="shared" ca="1" si="3"/>
        <v>0</v>
      </c>
    </row>
    <row r="32" spans="1:14">
      <c r="I32" s="480"/>
      <c r="J32" s="27" t="s">
        <v>353</v>
      </c>
      <c r="K32" s="28">
        <f ca="1">SUM(L32:N32)</f>
        <v>0</v>
      </c>
      <c r="L32" s="29">
        <f t="shared" ca="1" si="3"/>
        <v>0</v>
      </c>
      <c r="M32" s="30">
        <f t="shared" ca="1" si="3"/>
        <v>0</v>
      </c>
      <c r="N32" s="31">
        <f t="shared" ca="1" si="3"/>
        <v>0</v>
      </c>
    </row>
    <row r="33" spans="9:14" ht="17.25" thickBot="1">
      <c r="I33" s="481"/>
      <c r="J33" s="20" t="s">
        <v>355</v>
      </c>
      <c r="K33" s="15">
        <f ca="1">SUM(L33:N33)</f>
        <v>0</v>
      </c>
      <c r="L33" s="24">
        <f ca="1">IF(L26=0,0,L27)</f>
        <v>0</v>
      </c>
      <c r="M33" s="16">
        <f t="shared" ref="M33:N33" ca="1" si="4">IF(M26=0,0,M27)</f>
        <v>0</v>
      </c>
      <c r="N33" s="20">
        <f t="shared" ca="1" si="4"/>
        <v>0</v>
      </c>
    </row>
    <row r="34" spans="9:14" ht="16.5" customHeight="1"/>
    <row r="35" spans="9:14" ht="16.5" customHeight="1"/>
    <row r="36" spans="9:14" ht="16.5" customHeight="1"/>
    <row r="37" spans="9:14" ht="16.5" customHeight="1"/>
    <row r="38" spans="9:14" ht="16.5" customHeight="1"/>
    <row r="39" spans="9:14" ht="16.5" customHeight="1"/>
    <row r="40" spans="9:14" ht="16.5" customHeight="1"/>
    <row r="41" spans="9:14" ht="16.5" customHeight="1"/>
    <row r="42" spans="9:14" ht="16.5" customHeight="1"/>
    <row r="43" spans="9:14" ht="16.5" customHeight="1"/>
    <row r="44" spans="9:14" ht="16.5" customHeight="1"/>
    <row r="45" spans="9:14" ht="16.5" customHeight="1"/>
    <row r="46" spans="9:14" ht="16.5" customHeight="1"/>
    <row r="47" spans="9:14" ht="16.5" customHeight="1"/>
    <row r="48" spans="9:14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</sheetData>
  <mergeCells count="9">
    <mergeCell ref="M4:M5"/>
    <mergeCell ref="N4:N5"/>
    <mergeCell ref="I29:I33"/>
    <mergeCell ref="A26:D26"/>
    <mergeCell ref="A4:C4"/>
    <mergeCell ref="D4:D5"/>
    <mergeCell ref="E4:E5"/>
    <mergeCell ref="F4:K4"/>
    <mergeCell ref="L4:L5"/>
  </mergeCells>
  <phoneticPr fontId="1" type="noConversion"/>
  <conditionalFormatting sqref="L6:N25">
    <cfRule type="cellIs" dxfId="24" priority="5" stopIfTrue="1" operator="equal">
      <formula>"미조치"</formula>
    </cfRule>
    <cfRule type="cellIs" dxfId="23" priority="7" stopIfTrue="1" operator="equal">
      <formula>"신규"</formula>
    </cfRule>
    <cfRule type="cellIs" dxfId="22" priority="8" stopIfTrue="1" operator="equal">
      <formula>"양호"</formula>
    </cfRule>
  </conditionalFormatting>
  <conditionalFormatting sqref="L6:N25">
    <cfRule type="cellIs" dxfId="21" priority="6" stopIfTrue="1" operator="equal">
      <formula>"조치"</formula>
    </cfRule>
  </conditionalFormatting>
  <printOptions horizontalCentered="1"/>
  <pageMargins left="0.7" right="0.7" top="0.75" bottom="0.75" header="0.3" footer="0.3"/>
  <pageSetup paperSize="9" fitToWidth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  <pageSetUpPr fitToPage="1"/>
  </sheetPr>
  <dimension ref="A1:N98"/>
  <sheetViews>
    <sheetView showGridLines="0" view="pageBreakPreview" zoomScale="85" zoomScaleNormal="85" zoomScaleSheetLayoutView="85" workbookViewId="0">
      <pane ySplit="6" topLeftCell="A7" activePane="bottomLeft" state="frozen"/>
      <selection pane="bottomLeft"/>
    </sheetView>
  </sheetViews>
  <sheetFormatPr defaultColWidth="10" defaultRowHeight="13.5"/>
  <cols>
    <col min="1" max="1" width="5" style="5" bestFit="1" customWidth="1"/>
    <col min="2" max="2" width="5" style="5" customWidth="1"/>
    <col min="3" max="3" width="8.25" style="5" bestFit="1" customWidth="1"/>
    <col min="4" max="4" width="30.625" style="5" customWidth="1"/>
    <col min="5" max="14" width="6.625" style="5" customWidth="1"/>
    <col min="15" max="25" width="10" style="5"/>
    <col min="26" max="26" width="2.625" style="5" customWidth="1"/>
    <col min="27" max="16384" width="10" style="5"/>
  </cols>
  <sheetData>
    <row r="1" spans="1:14" s="56" customFormat="1" ht="16.5" customHeight="1">
      <c r="A1" s="57"/>
      <c r="E1" s="484" t="s">
        <v>356</v>
      </c>
      <c r="F1" s="485"/>
      <c r="G1" s="485"/>
      <c r="H1" s="485"/>
      <c r="I1" s="485"/>
      <c r="J1" s="485"/>
      <c r="K1" s="485"/>
      <c r="L1" s="485"/>
      <c r="M1" s="485"/>
      <c r="N1" s="486"/>
    </row>
    <row r="2" spans="1:14" s="56" customFormat="1" ht="16.5">
      <c r="E2" s="487" t="s">
        <v>357</v>
      </c>
      <c r="F2" s="488"/>
      <c r="G2" s="488"/>
      <c r="H2" s="488"/>
      <c r="I2" s="488"/>
      <c r="J2" s="488"/>
      <c r="K2" s="488"/>
      <c r="L2" s="488"/>
      <c r="M2" s="488"/>
      <c r="N2" s="489"/>
    </row>
    <row r="3" spans="1:14" s="56" customFormat="1" ht="16.5">
      <c r="E3" s="487" t="s">
        <v>358</v>
      </c>
      <c r="F3" s="488"/>
      <c r="G3" s="488"/>
      <c r="H3" s="488"/>
      <c r="I3" s="488"/>
      <c r="J3" s="488"/>
      <c r="K3" s="488"/>
      <c r="L3" s="488"/>
      <c r="M3" s="488"/>
      <c r="N3" s="489"/>
    </row>
    <row r="4" spans="1:14" s="56" customFormat="1" ht="17.25" thickBot="1">
      <c r="E4" s="487" t="s">
        <v>359</v>
      </c>
      <c r="F4" s="488"/>
      <c r="G4" s="488"/>
      <c r="H4" s="488"/>
      <c r="I4" s="488"/>
      <c r="J4" s="488"/>
      <c r="K4" s="488"/>
      <c r="L4" s="488"/>
      <c r="M4" s="488"/>
      <c r="N4" s="489"/>
    </row>
    <row r="5" spans="1:14" s="56" customFormat="1" ht="17.100000000000001" customHeight="1">
      <c r="A5" s="482" t="s">
        <v>279</v>
      </c>
      <c r="B5" s="490" t="s">
        <v>41</v>
      </c>
      <c r="C5" s="490"/>
      <c r="D5" s="490"/>
      <c r="E5" s="490" t="s">
        <v>360</v>
      </c>
      <c r="F5" s="490"/>
      <c r="G5" s="490"/>
      <c r="H5" s="490"/>
      <c r="I5" s="490"/>
      <c r="J5" s="490"/>
      <c r="K5" s="490"/>
      <c r="L5" s="490"/>
      <c r="M5" s="490"/>
      <c r="N5" s="491"/>
    </row>
    <row r="6" spans="1:14" ht="27.75" customHeight="1" thickBot="1">
      <c r="A6" s="483"/>
      <c r="B6" s="111" t="s">
        <v>92</v>
      </c>
      <c r="C6" s="111" t="s">
        <v>336</v>
      </c>
      <c r="D6" s="111" t="s">
        <v>361</v>
      </c>
      <c r="E6" s="111" t="s">
        <v>404</v>
      </c>
      <c r="F6" s="111" t="s">
        <v>362</v>
      </c>
      <c r="G6" s="111" t="s">
        <v>362</v>
      </c>
      <c r="H6" s="111" t="s">
        <v>362</v>
      </c>
      <c r="I6" s="111" t="s">
        <v>362</v>
      </c>
      <c r="J6" s="111" t="s">
        <v>362</v>
      </c>
      <c r="K6" s="111" t="s">
        <v>362</v>
      </c>
      <c r="L6" s="111" t="s">
        <v>362</v>
      </c>
      <c r="M6" s="111" t="s">
        <v>362</v>
      </c>
      <c r="N6" s="112" t="s">
        <v>362</v>
      </c>
    </row>
    <row r="7" spans="1:14" ht="13.5" customHeight="1">
      <c r="A7" s="210">
        <v>1</v>
      </c>
      <c r="B7" s="221" t="s">
        <v>754</v>
      </c>
      <c r="C7" s="222" t="s">
        <v>759</v>
      </c>
      <c r="D7" s="211" t="s">
        <v>779</v>
      </c>
      <c r="E7" s="212"/>
      <c r="F7" s="212"/>
      <c r="G7" s="212"/>
      <c r="H7" s="212"/>
      <c r="I7" s="212"/>
      <c r="J7" s="212"/>
      <c r="K7" s="213"/>
      <c r="L7" s="213"/>
      <c r="M7" s="213"/>
      <c r="N7" s="214"/>
    </row>
    <row r="8" spans="1:14" ht="13.5" customHeight="1">
      <c r="A8" s="113">
        <v>2</v>
      </c>
      <c r="B8" s="223" t="s">
        <v>754</v>
      </c>
      <c r="C8" s="224" t="s">
        <v>760</v>
      </c>
      <c r="D8" s="171" t="s">
        <v>780</v>
      </c>
      <c r="E8" s="54"/>
      <c r="F8" s="54"/>
      <c r="G8" s="54"/>
      <c r="H8" s="54"/>
      <c r="I8" s="54"/>
      <c r="J8" s="54"/>
      <c r="K8" s="55"/>
      <c r="L8" s="55"/>
      <c r="M8" s="55"/>
      <c r="N8" s="114"/>
    </row>
    <row r="9" spans="1:14" ht="13.5" customHeight="1">
      <c r="A9" s="115">
        <v>3</v>
      </c>
      <c r="B9" s="223" t="s">
        <v>754</v>
      </c>
      <c r="C9" s="224" t="s">
        <v>761</v>
      </c>
      <c r="D9" s="171" t="s">
        <v>781</v>
      </c>
      <c r="E9" s="54"/>
      <c r="F9" s="54"/>
      <c r="G9" s="54"/>
      <c r="H9" s="54"/>
      <c r="I9" s="54"/>
      <c r="J9" s="54"/>
      <c r="K9" s="55"/>
      <c r="L9" s="55"/>
      <c r="M9" s="55"/>
      <c r="N9" s="114"/>
    </row>
    <row r="10" spans="1:14" ht="13.5" customHeight="1">
      <c r="A10" s="113">
        <v>4</v>
      </c>
      <c r="B10" s="223" t="s">
        <v>754</v>
      </c>
      <c r="C10" s="224" t="s">
        <v>762</v>
      </c>
      <c r="D10" s="171" t="s">
        <v>782</v>
      </c>
      <c r="E10" s="54"/>
      <c r="F10" s="54"/>
      <c r="G10" s="54"/>
      <c r="H10" s="54"/>
      <c r="I10" s="54"/>
      <c r="J10" s="54"/>
      <c r="K10" s="55"/>
      <c r="L10" s="55"/>
      <c r="M10" s="55"/>
      <c r="N10" s="114"/>
    </row>
    <row r="11" spans="1:14" ht="13.5" customHeight="1">
      <c r="A11" s="115">
        <v>5</v>
      </c>
      <c r="B11" s="223" t="s">
        <v>754</v>
      </c>
      <c r="C11" s="224" t="s">
        <v>763</v>
      </c>
      <c r="D11" s="171" t="s">
        <v>783</v>
      </c>
      <c r="E11" s="54"/>
      <c r="F11" s="54"/>
      <c r="G11" s="54"/>
      <c r="H11" s="54"/>
      <c r="I11" s="54"/>
      <c r="J11" s="54"/>
      <c r="K11" s="55"/>
      <c r="L11" s="55"/>
      <c r="M11" s="55"/>
      <c r="N11" s="114"/>
    </row>
    <row r="12" spans="1:14" ht="13.5" customHeight="1">
      <c r="A12" s="113">
        <v>6</v>
      </c>
      <c r="B12" s="223" t="s">
        <v>755</v>
      </c>
      <c r="C12" s="224" t="s">
        <v>764</v>
      </c>
      <c r="D12" s="171" t="s">
        <v>784</v>
      </c>
      <c r="E12" s="54"/>
      <c r="F12" s="54"/>
      <c r="G12" s="54"/>
      <c r="H12" s="54"/>
      <c r="I12" s="54"/>
      <c r="J12" s="54"/>
      <c r="K12" s="55"/>
      <c r="L12" s="55"/>
      <c r="M12" s="55"/>
      <c r="N12" s="114"/>
    </row>
    <row r="13" spans="1:14" ht="13.5" customHeight="1">
      <c r="A13" s="115">
        <v>7</v>
      </c>
      <c r="B13" s="223" t="s">
        <v>755</v>
      </c>
      <c r="C13" s="224" t="s">
        <v>765</v>
      </c>
      <c r="D13" s="171" t="s">
        <v>785</v>
      </c>
      <c r="E13" s="54"/>
      <c r="F13" s="54"/>
      <c r="G13" s="54"/>
      <c r="H13" s="54"/>
      <c r="I13" s="54"/>
      <c r="J13" s="54"/>
      <c r="K13" s="55"/>
      <c r="L13" s="55"/>
      <c r="M13" s="55"/>
      <c r="N13" s="114"/>
    </row>
    <row r="14" spans="1:14" ht="13.5" customHeight="1">
      <c r="A14" s="113">
        <v>8</v>
      </c>
      <c r="B14" s="223" t="s">
        <v>754</v>
      </c>
      <c r="C14" s="224" t="s">
        <v>766</v>
      </c>
      <c r="D14" s="171" t="s">
        <v>786</v>
      </c>
      <c r="E14" s="54"/>
      <c r="F14" s="54"/>
      <c r="G14" s="54"/>
      <c r="H14" s="54"/>
      <c r="I14" s="54"/>
      <c r="J14" s="54"/>
      <c r="K14" s="55"/>
      <c r="L14" s="55"/>
      <c r="M14" s="55"/>
      <c r="N14" s="114"/>
    </row>
    <row r="15" spans="1:14" ht="13.5" customHeight="1">
      <c r="A15" s="115">
        <v>9</v>
      </c>
      <c r="B15" s="223" t="s">
        <v>754</v>
      </c>
      <c r="C15" s="224" t="s">
        <v>767</v>
      </c>
      <c r="D15" s="171" t="s">
        <v>787</v>
      </c>
      <c r="E15" s="54"/>
      <c r="F15" s="54"/>
      <c r="G15" s="54"/>
      <c r="H15" s="54"/>
      <c r="I15" s="54"/>
      <c r="J15" s="54"/>
      <c r="K15" s="55"/>
      <c r="L15" s="55"/>
      <c r="M15" s="55"/>
      <c r="N15" s="114"/>
    </row>
    <row r="16" spans="1:14" ht="13.5" customHeight="1">
      <c r="A16" s="113">
        <v>10</v>
      </c>
      <c r="B16" s="223" t="s">
        <v>754</v>
      </c>
      <c r="C16" s="224" t="s">
        <v>768</v>
      </c>
      <c r="D16" s="171" t="s">
        <v>788</v>
      </c>
      <c r="E16" s="54"/>
      <c r="F16" s="54"/>
      <c r="G16" s="54"/>
      <c r="H16" s="54"/>
      <c r="I16" s="54"/>
      <c r="J16" s="54"/>
      <c r="K16" s="55"/>
      <c r="L16" s="55"/>
      <c r="M16" s="55"/>
      <c r="N16" s="114"/>
    </row>
    <row r="17" spans="1:14" ht="13.5" customHeight="1">
      <c r="A17" s="115">
        <v>11</v>
      </c>
      <c r="B17" s="223" t="s">
        <v>754</v>
      </c>
      <c r="C17" s="224" t="s">
        <v>769</v>
      </c>
      <c r="D17" s="171" t="s">
        <v>789</v>
      </c>
      <c r="E17" s="54"/>
      <c r="F17" s="54"/>
      <c r="G17" s="54"/>
      <c r="H17" s="54"/>
      <c r="I17" s="54"/>
      <c r="J17" s="54"/>
      <c r="K17" s="55"/>
      <c r="L17" s="55"/>
      <c r="M17" s="55"/>
      <c r="N17" s="114"/>
    </row>
    <row r="18" spans="1:14" ht="13.5" customHeight="1">
      <c r="A18" s="113">
        <v>12</v>
      </c>
      <c r="B18" s="223" t="s">
        <v>754</v>
      </c>
      <c r="C18" s="224" t="s">
        <v>770</v>
      </c>
      <c r="D18" s="171" t="s">
        <v>790</v>
      </c>
      <c r="E18" s="54"/>
      <c r="F18" s="54"/>
      <c r="G18" s="54"/>
      <c r="H18" s="54"/>
      <c r="I18" s="54"/>
      <c r="J18" s="54"/>
      <c r="K18" s="55"/>
      <c r="L18" s="55"/>
      <c r="M18" s="55"/>
      <c r="N18" s="114"/>
    </row>
    <row r="19" spans="1:14" ht="13.5" customHeight="1">
      <c r="A19" s="115">
        <v>13</v>
      </c>
      <c r="B19" s="223" t="s">
        <v>756</v>
      </c>
      <c r="C19" s="224" t="s">
        <v>771</v>
      </c>
      <c r="D19" s="171" t="s">
        <v>791</v>
      </c>
      <c r="E19" s="54"/>
      <c r="F19" s="54"/>
      <c r="G19" s="54"/>
      <c r="H19" s="54"/>
      <c r="I19" s="54"/>
      <c r="J19" s="54"/>
      <c r="K19" s="55"/>
      <c r="L19" s="55"/>
      <c r="M19" s="55"/>
      <c r="N19" s="114"/>
    </row>
    <row r="20" spans="1:14" ht="13.5" customHeight="1">
      <c r="A20" s="113">
        <v>14</v>
      </c>
      <c r="B20" s="223" t="s">
        <v>757</v>
      </c>
      <c r="C20" s="224" t="s">
        <v>772</v>
      </c>
      <c r="D20" s="171" t="s">
        <v>792</v>
      </c>
      <c r="E20" s="54"/>
      <c r="F20" s="54"/>
      <c r="G20" s="54"/>
      <c r="H20" s="54"/>
      <c r="I20" s="54"/>
      <c r="J20" s="54"/>
      <c r="K20" s="55"/>
      <c r="L20" s="55"/>
      <c r="M20" s="55"/>
      <c r="N20" s="114"/>
    </row>
    <row r="21" spans="1:14" ht="13.5" customHeight="1">
      <c r="A21" s="115">
        <v>15</v>
      </c>
      <c r="B21" s="223" t="s">
        <v>754</v>
      </c>
      <c r="C21" s="224" t="s">
        <v>773</v>
      </c>
      <c r="D21" s="171" t="s">
        <v>793</v>
      </c>
      <c r="E21" s="54"/>
      <c r="F21" s="54"/>
      <c r="G21" s="54"/>
      <c r="H21" s="54"/>
      <c r="I21" s="54"/>
      <c r="J21" s="54"/>
      <c r="K21" s="55"/>
      <c r="L21" s="55"/>
      <c r="M21" s="55"/>
      <c r="N21" s="114"/>
    </row>
    <row r="22" spans="1:14" ht="13.5" customHeight="1">
      <c r="A22" s="113">
        <v>16</v>
      </c>
      <c r="B22" s="223" t="s">
        <v>754</v>
      </c>
      <c r="C22" s="224" t="s">
        <v>774</v>
      </c>
      <c r="D22" s="171" t="s">
        <v>794</v>
      </c>
      <c r="E22" s="54"/>
      <c r="F22" s="54"/>
      <c r="G22" s="54"/>
      <c r="H22" s="54"/>
      <c r="I22" s="54"/>
      <c r="J22" s="54"/>
      <c r="K22" s="55"/>
      <c r="L22" s="55"/>
      <c r="M22" s="55"/>
      <c r="N22" s="114"/>
    </row>
    <row r="23" spans="1:14" ht="13.5" customHeight="1">
      <c r="A23" s="115">
        <v>17</v>
      </c>
      <c r="B23" s="223" t="s">
        <v>754</v>
      </c>
      <c r="C23" s="224" t="s">
        <v>775</v>
      </c>
      <c r="D23" s="171" t="s">
        <v>795</v>
      </c>
      <c r="E23" s="54"/>
      <c r="F23" s="54"/>
      <c r="G23" s="54"/>
      <c r="H23" s="54"/>
      <c r="I23" s="54"/>
      <c r="J23" s="54"/>
      <c r="K23" s="55"/>
      <c r="L23" s="55"/>
      <c r="M23" s="55"/>
      <c r="N23" s="114"/>
    </row>
    <row r="24" spans="1:14" ht="13.5" customHeight="1">
      <c r="A24" s="113">
        <v>18</v>
      </c>
      <c r="B24" s="223" t="s">
        <v>756</v>
      </c>
      <c r="C24" s="224" t="s">
        <v>776</v>
      </c>
      <c r="D24" s="171" t="s">
        <v>796</v>
      </c>
      <c r="E24" s="54"/>
      <c r="F24" s="54"/>
      <c r="G24" s="54"/>
      <c r="H24" s="54"/>
      <c r="I24" s="54"/>
      <c r="J24" s="54"/>
      <c r="K24" s="55"/>
      <c r="L24" s="55"/>
      <c r="M24" s="55"/>
      <c r="N24" s="114"/>
    </row>
    <row r="25" spans="1:14" ht="13.5" customHeight="1">
      <c r="A25" s="115">
        <v>19</v>
      </c>
      <c r="B25" s="223" t="s">
        <v>758</v>
      </c>
      <c r="C25" s="224" t="s">
        <v>777</v>
      </c>
      <c r="D25" s="171" t="s">
        <v>797</v>
      </c>
      <c r="E25" s="54"/>
      <c r="F25" s="54"/>
      <c r="G25" s="54"/>
      <c r="H25" s="54"/>
      <c r="I25" s="54"/>
      <c r="J25" s="54"/>
      <c r="K25" s="55"/>
      <c r="L25" s="55"/>
      <c r="M25" s="55"/>
      <c r="N25" s="114"/>
    </row>
    <row r="26" spans="1:14" ht="13.5" customHeight="1">
      <c r="A26" s="113">
        <v>20</v>
      </c>
      <c r="B26" s="223" t="s">
        <v>758</v>
      </c>
      <c r="C26" s="224" t="s">
        <v>778</v>
      </c>
      <c r="D26" s="171" t="s">
        <v>798</v>
      </c>
      <c r="E26" s="54"/>
      <c r="F26" s="54"/>
      <c r="G26" s="54"/>
      <c r="H26" s="54"/>
      <c r="I26" s="54"/>
      <c r="J26" s="54"/>
      <c r="K26" s="55"/>
      <c r="L26" s="55"/>
      <c r="M26" s="55"/>
      <c r="N26" s="114"/>
    </row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</sheetData>
  <autoFilter ref="A6:N26" xr:uid="{00000000-0009-0000-0000-00000C000000}"/>
  <mergeCells count="7">
    <mergeCell ref="A5:A6"/>
    <mergeCell ref="E1:N1"/>
    <mergeCell ref="E2:N2"/>
    <mergeCell ref="E3:N3"/>
    <mergeCell ref="E4:N4"/>
    <mergeCell ref="B5:D5"/>
    <mergeCell ref="E5:N5"/>
  </mergeCells>
  <phoneticPr fontId="1" type="noConversion"/>
  <conditionalFormatting sqref="K7:K26">
    <cfRule type="cellIs" dxfId="20" priority="25" operator="equal">
      <formula>"인터뷰"</formula>
    </cfRule>
    <cfRule type="cellIs" dxfId="19" priority="26" stopIfTrue="1" operator="equal">
      <formula>"취약"</formula>
    </cfRule>
    <cfRule type="cellIs" dxfId="18" priority="27" stopIfTrue="1" operator="equal">
      <formula>"부분만족"</formula>
    </cfRule>
    <cfRule type="cellIs" dxfId="17" priority="28" stopIfTrue="1" operator="equal">
      <formula>"N/A"</formula>
    </cfRule>
  </conditionalFormatting>
  <conditionalFormatting sqref="L7:M26">
    <cfRule type="cellIs" dxfId="16" priority="17" operator="equal">
      <formula>"인터뷰"</formula>
    </cfRule>
    <cfRule type="cellIs" dxfId="15" priority="18" stopIfTrue="1" operator="equal">
      <formula>"취약"</formula>
    </cfRule>
    <cfRule type="cellIs" dxfId="14" priority="19" stopIfTrue="1" operator="equal">
      <formula>"부분만족"</formula>
    </cfRule>
    <cfRule type="cellIs" dxfId="13" priority="20" stopIfTrue="1" operator="equal">
      <formula>"N/A"</formula>
    </cfRule>
  </conditionalFormatting>
  <conditionalFormatting sqref="N7:N26">
    <cfRule type="cellIs" dxfId="12" priority="13" operator="equal">
      <formula>"인터뷰"</formula>
    </cfRule>
    <cfRule type="cellIs" dxfId="11" priority="14" stopIfTrue="1" operator="equal">
      <formula>"취약"</formula>
    </cfRule>
    <cfRule type="cellIs" dxfId="10" priority="15" stopIfTrue="1" operator="equal">
      <formula>"부분만족"</formula>
    </cfRule>
    <cfRule type="cellIs" dxfId="9" priority="16" stopIfTrue="1" operator="equal">
      <formula>"N/A"</formula>
    </cfRule>
  </conditionalFormatting>
  <printOptions horizontalCentered="1"/>
  <pageMargins left="0.39370078740157483" right="0.39370078740157483" top="0.59055118110236227" bottom="0.59055118110236227" header="0.19685039370078741" footer="0.19685039370078741"/>
  <pageSetup paperSize="9" scale="76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3" r:id="rId5" name="Button 5">
              <controlPr defaultSize="0" print="0" autoFill="0" autoPict="0" macro="[0]!text_to_excel">
                <anchor moveWithCells="1" sizeWithCells="1">
                  <from>
                    <xdr:col>0</xdr:col>
                    <xdr:colOff>361950</xdr:colOff>
                    <xdr:row>1</xdr:row>
                    <xdr:rowOff>9525</xdr:rowOff>
                  </from>
                  <to>
                    <xdr:col>3</xdr:col>
                    <xdr:colOff>257175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2:P6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ColWidth="10" defaultRowHeight="13.5"/>
  <cols>
    <col min="1" max="1" width="4.625" style="63" customWidth="1"/>
    <col min="2" max="2" width="9.625" style="63" bestFit="1" customWidth="1"/>
    <col min="3" max="3" width="9.625" style="63" customWidth="1"/>
    <col min="4" max="4" width="7.875" style="63" bestFit="1" customWidth="1"/>
    <col min="5" max="5" width="12.875" style="63" bestFit="1" customWidth="1"/>
    <col min="6" max="6" width="11.625" style="63" bestFit="1" customWidth="1"/>
    <col min="7" max="7" width="6.625" style="63" bestFit="1" customWidth="1"/>
    <col min="8" max="9" width="9.875" style="63" customWidth="1"/>
    <col min="10" max="10" width="9.375" style="63" customWidth="1"/>
    <col min="11" max="11" width="48.125" style="5" bestFit="1" customWidth="1"/>
    <col min="12" max="12" width="9.875" style="63" customWidth="1"/>
    <col min="13" max="13" width="6.625" style="63" customWidth="1"/>
    <col min="14" max="14" width="12.875" style="5" customWidth="1"/>
    <col min="15" max="15" width="12.875" style="63" customWidth="1"/>
    <col min="16" max="16" width="12.875" style="63" bestFit="1" customWidth="1"/>
    <col min="17" max="30" width="10" style="63"/>
    <col min="31" max="31" width="2.625" style="63" customWidth="1"/>
    <col min="32" max="16384" width="10" style="63"/>
  </cols>
  <sheetData>
    <row r="2" spans="1:16" ht="17.25">
      <c r="A2" s="97" t="s">
        <v>363</v>
      </c>
    </row>
    <row r="3" spans="1:16" ht="5.0999999999999996" customHeight="1" thickBot="1"/>
    <row r="4" spans="1:16" ht="16.5" customHeight="1">
      <c r="A4" s="494" t="s">
        <v>364</v>
      </c>
      <c r="B4" s="492" t="s">
        <v>365</v>
      </c>
      <c r="C4" s="496"/>
      <c r="D4" s="496"/>
      <c r="E4" s="496"/>
      <c r="F4" s="496"/>
      <c r="G4" s="496"/>
      <c r="H4" s="494"/>
      <c r="I4" s="491" t="s">
        <v>41</v>
      </c>
      <c r="J4" s="497"/>
      <c r="K4" s="497"/>
      <c r="L4" s="497"/>
      <c r="M4" s="497"/>
      <c r="N4" s="482"/>
      <c r="O4" s="187"/>
      <c r="P4" s="492" t="s">
        <v>366</v>
      </c>
    </row>
    <row r="5" spans="1:16" ht="27.75" customHeight="1">
      <c r="A5" s="495"/>
      <c r="B5" s="188" t="s">
        <v>367</v>
      </c>
      <c r="C5" s="188" t="s">
        <v>368</v>
      </c>
      <c r="D5" s="188" t="s">
        <v>369</v>
      </c>
      <c r="E5" s="188" t="s">
        <v>370</v>
      </c>
      <c r="F5" s="188" t="s">
        <v>294</v>
      </c>
      <c r="G5" s="188" t="s">
        <v>295</v>
      </c>
      <c r="H5" s="188" t="s">
        <v>371</v>
      </c>
      <c r="I5" s="188" t="s">
        <v>92</v>
      </c>
      <c r="J5" s="188" t="s">
        <v>336</v>
      </c>
      <c r="K5" s="188" t="s">
        <v>361</v>
      </c>
      <c r="L5" s="188" t="s">
        <v>372</v>
      </c>
      <c r="M5" s="188" t="s">
        <v>373</v>
      </c>
      <c r="N5" s="188" t="s">
        <v>374</v>
      </c>
      <c r="O5" s="189" t="s">
        <v>375</v>
      </c>
      <c r="P5" s="493"/>
    </row>
    <row r="6" spans="1:16" ht="13.9" customHeight="1">
      <c r="A6" s="190">
        <f>ROW()-5</f>
        <v>1</v>
      </c>
      <c r="B6" s="190" t="str">
        <f ca="1">VLOOKUP(QUOTIENT($A6-1,79)+1,점검대상!$A:$K,2,)</f>
        <v>클라우드관리체계(샘플)</v>
      </c>
      <c r="C6" s="190" t="str">
        <f ca="1">VLOOKUP(QUOTIENT($A6-1,79)+1,점검대상!$A:$K,3,)</f>
        <v>LINUX</v>
      </c>
      <c r="D6" s="190" t="str">
        <f ca="1">VLOOKUP(QUOTIENT($A6-1,79)+1,점검대상!$A:$K,4,)</f>
        <v>172.31.1.39</v>
      </c>
      <c r="E6" s="190" t="str">
        <f ca="1">VLOOKUP(QUOTIENT($A6-1,79)+1,점검대상!$A:$K,5,)</f>
        <v>파일 서버 용도</v>
      </c>
      <c r="F6" s="190" t="str">
        <f ca="1">VLOOKUP(QUOTIENT($A6-1,79)+1,점검대상!$A:$K,6,)</f>
        <v>시스템운영팀</v>
      </c>
      <c r="G6" s="190" t="str">
        <f ca="1">VLOOKUP(QUOTIENT($A6-1,79)+1,점검대상!$A:$K,7,)</f>
        <v>김담당</v>
      </c>
      <c r="H6" s="191" t="str">
        <f ca="1">VLOOKUP(QUOTIENT($A6-1,79)+1,점검대상!$A:$K,11,)</f>
        <v>상</v>
      </c>
      <c r="I6" s="192" t="str">
        <f>VLOOKUP($A6-((QUOTIENT($A6-1,79)+1)-1)*79,'#숨김. 클라우드관리체계 보안 가이드'!$A:$V,2,)</f>
        <v>정보처리시스템 보호대책</v>
      </c>
      <c r="J6" s="192" t="str">
        <f>VLOOKUP($A6-((QUOTIENT($A6-1,79)+1)-1)*79,'#숨김. 클라우드관리체계 보안 가이드'!$A:$V,3,)</f>
        <v>PRCI-001</v>
      </c>
      <c r="K6" s="193" t="str">
        <f>VLOOKUP($A6-((QUOTIENT($A6-1,79)+1)-1)*79,'#숨김. 클라우드관리체계 보안 가이드'!$A:$V,4,)</f>
        <v>정기적인 가상화 인스턴스(가상머신, 컨테이너) 식별 여부</v>
      </c>
      <c r="L6" s="194">
        <f>VLOOKUP($A6-((QUOTIENT($A6-1,79)+1)-1)*79,'#숨김. 클라우드관리체계 보안 가이드'!$A:$V,7,)</f>
        <v>5</v>
      </c>
      <c r="M6" s="195" t="s">
        <v>271</v>
      </c>
      <c r="N6" s="196" t="s">
        <v>407</v>
      </c>
      <c r="O6" s="196" t="str">
        <f>IF(EXACT($M6,"취약"),VLOOKUP($A6-((QUOTIENT($A6-1,79)+1)-1)*79,'#숨김. 클라우드관리체계 보안 가이드'!$A:$V,22,),"-")</f>
        <v>네트워크 모니터링 서비스를 비활성화하거나, 서비스를 사용하는 경우 프로토콜에 따라 알맞은 버전 및 안전한 보안설정을 적용하여 사용</v>
      </c>
      <c r="P6" s="197"/>
    </row>
  </sheetData>
  <mergeCells count="4">
    <mergeCell ref="P4:P5"/>
    <mergeCell ref="A4:A5"/>
    <mergeCell ref="B4:H4"/>
    <mergeCell ref="I4:N4"/>
  </mergeCells>
  <phoneticPr fontId="1" type="noConversion"/>
  <conditionalFormatting sqref="M1:M3 M5:M1048576">
    <cfRule type="cellIs" dxfId="8" priority="38" operator="equal">
      <formula>"인터뷰"</formula>
    </cfRule>
    <cfRule type="cellIs" dxfId="7" priority="60" stopIfTrue="1" operator="equal">
      <formula>"취약"</formula>
    </cfRule>
    <cfRule type="cellIs" dxfId="6" priority="61" stopIfTrue="1" operator="equal">
      <formula>"부분만족"</formula>
    </cfRule>
    <cfRule type="cellIs" dxfId="5" priority="62" stopIfTrue="1" operator="equal">
      <formula>"N/A"</formula>
    </cfRule>
  </conditionalFormatting>
  <dataValidations count="2">
    <dataValidation allowBlank="1" showInputMessage="1" showErrorMessage="1" errorTitle="잘못된 입력값" error="&quot;Y&quot;, &quot;N&quot;, &quot;P&quot;, &quot;N/A&quot; 로 입력해 주세요." sqref="M982841:M982913 M65337:M65409 M130873:M130945 M196409:M196481 M261945:M262017 M327481:M327553 M393017:M393089 M458553:M458625 M524089:M524161 M589625:M589697 M655161:M655233 M720697:M720769 M786233:M786305 M851769:M851841 M917305:M917377" xr:uid="{00000000-0002-0000-0D00-000000000000}"/>
    <dataValidation type="list" showInputMessage="1" showErrorMessage="1" errorTitle="잘못된 입력값" error="양호, 취약, 부분만족, N/A 만 입력 가능합니다." sqref="M6" xr:uid="{00000000-0002-0000-0D00-000001000000}">
      <formula1>"양호,취약,부분만족,N/A,인터뷰"</formula1>
    </dataValidation>
  </dataValidations>
  <printOptions horizontalCentered="1"/>
  <pageMargins left="0.25" right="0.25" top="0.75" bottom="0.75" header="0.3" footer="0.3"/>
  <pageSetup paperSize="9" scale="67" fitToHeight="0" orientation="landscape" r:id="rId1"/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pageSetUpPr fitToPage="1"/>
  </sheetPr>
  <dimension ref="A2:R110"/>
  <sheetViews>
    <sheetView showGridLines="0" view="pageBreakPreview" zoomScale="85" zoomScaleNormal="85" zoomScaleSheetLayoutView="85" workbookViewId="0">
      <pane ySplit="18" topLeftCell="A19" activePane="bottomLeft" state="frozen"/>
      <selection pane="bottomLeft"/>
    </sheetView>
  </sheetViews>
  <sheetFormatPr defaultColWidth="10" defaultRowHeight="13.5"/>
  <cols>
    <col min="1" max="11" width="6.625" style="5" customWidth="1"/>
    <col min="12" max="12" width="6.625" style="5" hidden="1" customWidth="1"/>
    <col min="13" max="17" width="6.625" style="5" customWidth="1"/>
    <col min="18" max="18" width="24.625" style="5" customWidth="1"/>
    <col min="19" max="32" width="10" style="5"/>
    <col min="33" max="33" width="2.625" style="5" customWidth="1"/>
    <col min="34" max="16384" width="10" style="5"/>
  </cols>
  <sheetData>
    <row r="2" spans="1:18" ht="18" customHeight="1">
      <c r="A2" s="44" t="s">
        <v>376</v>
      </c>
      <c r="B2" s="42"/>
      <c r="C2" s="42"/>
      <c r="D2" s="42"/>
      <c r="G2" s="42"/>
      <c r="H2" s="42"/>
      <c r="I2" s="42"/>
      <c r="J2" s="42"/>
      <c r="K2" s="42"/>
      <c r="Q2" s="168"/>
      <c r="R2" s="168" t="str">
        <f ca="1">HYPERLINK("[" &amp; MID(CELL("filename"),SEARCH("[",CELL("filename"))+1, SEARCH("]",CELL("filename"))-SEARCH("[",CELL("filename"))-1) &amp; "]'" &amp; "점검대상" &amp; "'!A1","[목차 바로가기]")</f>
        <v>[목차 바로가기]</v>
      </c>
    </row>
    <row r="3" spans="1:18" ht="4.5" customHeight="1" thickBot="1">
      <c r="A3" s="43"/>
      <c r="B3" s="43"/>
      <c r="C3" s="43"/>
      <c r="D3" s="43"/>
      <c r="E3" s="43"/>
      <c r="F3" s="43"/>
      <c r="K3" s="43"/>
    </row>
    <row r="4" spans="1:18" ht="27.75" customHeight="1" thickBot="1">
      <c r="A4" s="516" t="s">
        <v>377</v>
      </c>
      <c r="B4" s="521"/>
      <c r="C4" s="521" t="s">
        <v>378</v>
      </c>
      <c r="D4" s="521"/>
      <c r="E4" s="521" t="s">
        <v>379</v>
      </c>
      <c r="F4" s="521"/>
      <c r="G4" s="521" t="s">
        <v>380</v>
      </c>
      <c r="H4" s="521"/>
      <c r="I4" s="514" t="s">
        <v>381</v>
      </c>
      <c r="J4" s="516"/>
      <c r="K4" s="514" t="s">
        <v>295</v>
      </c>
      <c r="L4" s="515"/>
      <c r="M4" s="516"/>
      <c r="N4" s="514" t="s">
        <v>382</v>
      </c>
      <c r="O4" s="516"/>
      <c r="P4" s="514" t="s">
        <v>383</v>
      </c>
      <c r="Q4" s="516"/>
    </row>
    <row r="5" spans="1:18" ht="16.5" customHeight="1" thickBot="1">
      <c r="A5" s="523" t="str">
        <f ca="1">MID(CELL("filename",$A$1),FIND("]",CELL("filename",$A$1))+1,100)</f>
        <v>클라우드관리체계(샘플)</v>
      </c>
      <c r="B5" s="522"/>
      <c r="C5" s="522" t="str">
        <f ca="1">IFERROR(VLOOKUP($A$5,점검대상!$B:$K,3,FALSE),"-")</f>
        <v>172.31.1.39</v>
      </c>
      <c r="D5" s="522"/>
      <c r="E5" s="522" t="str">
        <f ca="1">IFERROR(VLOOKUP($A$5,점검대상!$B:$K,2,FALSE),"-")</f>
        <v>LINUX</v>
      </c>
      <c r="F5" s="522"/>
      <c r="G5" s="522" t="str">
        <f ca="1">IFERROR(VLOOKUP($A$5,점검대상!$B:$K,4,FALSE),"-")</f>
        <v>파일 서버 용도</v>
      </c>
      <c r="H5" s="522"/>
      <c r="I5" s="517" t="str">
        <f ca="1">IFERROR(VLOOKUP($A$5,점검대상!$B:$K,5,FALSE),"-")</f>
        <v>시스템운영팀</v>
      </c>
      <c r="J5" s="519"/>
      <c r="K5" s="517" t="str">
        <f ca="1">IFERROR(VLOOKUP($A$5,점검대상!$B:$K,6,FALSE),"-")</f>
        <v>김담당</v>
      </c>
      <c r="L5" s="518"/>
      <c r="M5" s="519"/>
      <c r="N5" s="534" t="str">
        <f ca="1">IFERROR(VLOOKUP($A$5,점검대상!$B:$K,10,FALSE),"-")</f>
        <v>상</v>
      </c>
      <c r="O5" s="523"/>
      <c r="P5" s="532" t="e">
        <f ca="1">K14</f>
        <v>#N/A</v>
      </c>
      <c r="Q5" s="533"/>
    </row>
    <row r="6" spans="1:18" ht="18" hidden="1" thickBot="1">
      <c r="A6" s="45" t="s">
        <v>384</v>
      </c>
    </row>
    <row r="7" spans="1:18" hidden="1">
      <c r="A7" s="505" t="s">
        <v>385</v>
      </c>
      <c r="B7" s="506"/>
      <c r="C7" s="506"/>
      <c r="D7" s="506" t="s">
        <v>386</v>
      </c>
      <c r="E7" s="506"/>
      <c r="F7" s="506"/>
      <c r="G7" s="506"/>
      <c r="H7" s="506"/>
      <c r="I7" s="506" t="s">
        <v>387</v>
      </c>
      <c r="J7" s="506"/>
      <c r="K7" s="520"/>
    </row>
    <row r="8" spans="1:18" ht="13.5" hidden="1" customHeight="1" thickBot="1">
      <c r="A8" s="507"/>
      <c r="B8" s="508"/>
      <c r="C8" s="508"/>
      <c r="D8" s="108" t="s">
        <v>388</v>
      </c>
      <c r="E8" s="108" t="s">
        <v>389</v>
      </c>
      <c r="F8" s="108" t="s">
        <v>390</v>
      </c>
      <c r="G8" s="108" t="s">
        <v>391</v>
      </c>
      <c r="H8" s="108" t="s">
        <v>392</v>
      </c>
      <c r="I8" s="108" t="s">
        <v>393</v>
      </c>
      <c r="J8" s="108" t="s">
        <v>394</v>
      </c>
      <c r="K8" s="109" t="s">
        <v>395</v>
      </c>
    </row>
    <row r="9" spans="1:18" hidden="1">
      <c r="A9" s="512" t="str">
        <f>'보안수준 통계'!A11</f>
        <v>정보처리시스템 보호대책</v>
      </c>
      <c r="B9" s="513"/>
      <c r="C9" s="513"/>
      <c r="D9" s="107">
        <f>COUNTIF($A$19:$B$38,$A9)</f>
        <v>24</v>
      </c>
      <c r="E9" s="107" t="e">
        <f ca="1">$D9-H9</f>
        <v>#N/A</v>
      </c>
      <c r="F9" s="53" t="e" cm="1">
        <f t="array" aca="1" ref="F9" ca="1">SUMPRODUCT(($A$19:$B$38=$A9)*($M$19:$M$38=F$8))</f>
        <v>#N/A</v>
      </c>
      <c r="G9" s="53" t="e" cm="1">
        <f t="array" aca="1" ref="G9" ca="1">SUMPRODUCT(($A$19:$B$38=$A9)*($M$19:$M$38=G$8))</f>
        <v>#N/A</v>
      </c>
      <c r="H9" s="53" t="e" cm="1">
        <f t="array" aca="1" ref="H9" ca="1">SUMPRODUCT(($A$19:$B$38=$A9)*($M$19:$M$38="N/A"))</f>
        <v>#N/A</v>
      </c>
      <c r="I9" s="50" t="e">
        <f ca="1">SUMIF($A$19:$B$38,$A9,$L$19:$L$38)</f>
        <v>#N/A</v>
      </c>
      <c r="J9" s="50">
        <f ca="1">SUMIFS($L$19:$L$38,$M$19:$M$38,"양호",$A$19:$A$38,$A9)</f>
        <v>0</v>
      </c>
      <c r="K9" s="181" t="e">
        <f ca="1">IF(I9=0,"N/A",J9/I9)</f>
        <v>#N/A</v>
      </c>
    </row>
    <row r="10" spans="1:18" hidden="1">
      <c r="A10" s="503" t="str">
        <f>'보안수준 통계'!A12</f>
        <v>취약점 분석·평가</v>
      </c>
      <c r="B10" s="504"/>
      <c r="C10" s="504"/>
      <c r="D10" s="107">
        <f t="shared" ref="D10:D11" si="0">COUNTIF($A$19:$B$38,$A10)</f>
        <v>4</v>
      </c>
      <c r="E10" s="53" t="e">
        <f t="shared" ref="E10:E11" ca="1" si="1">$D10-H10</f>
        <v>#N/A</v>
      </c>
      <c r="F10" s="53" t="e" cm="1">
        <f t="array" aca="1" ref="F10" ca="1">SUMPRODUCT(($A$19:$B$38=$A10)*($M$19:$M$38=F$8))</f>
        <v>#N/A</v>
      </c>
      <c r="G10" s="53" t="e" cm="1">
        <f t="array" aca="1" ref="G10" ca="1">SUMPRODUCT(($A$19:$B$38=$A10)*($M$19:$M$38=G$8))</f>
        <v>#N/A</v>
      </c>
      <c r="H10" s="53" t="e" cm="1">
        <f t="array" aca="1" ref="H10" ca="1">SUMPRODUCT(($A$19:$B$38=$A10)*($M$19:$M$38="N/A"))</f>
        <v>#N/A</v>
      </c>
      <c r="I10" s="47" t="e">
        <f t="shared" ref="I10:I11" ca="1" si="2">SUMIF($A$19:$B$38,$A10,$L$19:$L$38)</f>
        <v>#N/A</v>
      </c>
      <c r="J10" s="47">
        <f t="shared" ref="J10:J11" ca="1" si="3">SUMIFS($L$19:$L$38,$M$19:$M$38,"양호",$A$19:$A$38,$A10)</f>
        <v>0</v>
      </c>
      <c r="K10" s="182" t="e">
        <f t="shared" ref="K10:K11" ca="1" si="4">IF(I10=0,"N/A",J10/I10)</f>
        <v>#N/A</v>
      </c>
    </row>
    <row r="11" spans="1:18" hidden="1">
      <c r="A11" s="503" t="str">
        <f>'보안수준 통계'!A13</f>
        <v>업무 지속성 확보방안</v>
      </c>
      <c r="B11" s="504"/>
      <c r="C11" s="504"/>
      <c r="D11" s="107">
        <f t="shared" si="0"/>
        <v>4</v>
      </c>
      <c r="E11" s="53" t="e">
        <f t="shared" ca="1" si="1"/>
        <v>#N/A</v>
      </c>
      <c r="F11" s="53" t="e" cm="1">
        <f t="array" aca="1" ref="F11" ca="1">SUMPRODUCT(($A$19:$B$38=$A11)*($M$19:$M$38=F$8))</f>
        <v>#N/A</v>
      </c>
      <c r="G11" s="53" t="e" cm="1">
        <f t="array" aca="1" ref="G11" ca="1">SUMPRODUCT(($A$19:$B$38=$A11)*($M$19:$M$38=G$8))</f>
        <v>#N/A</v>
      </c>
      <c r="H11" s="53" t="e" cm="1">
        <f t="array" aca="1" ref="H11" ca="1">SUMPRODUCT(($A$19:$B$38=$A11)*($M$19:$M$38="N/A"))</f>
        <v>#N/A</v>
      </c>
      <c r="I11" s="47" t="e">
        <f t="shared" ca="1" si="2"/>
        <v>#N/A</v>
      </c>
      <c r="J11" s="47">
        <f t="shared" ca="1" si="3"/>
        <v>0</v>
      </c>
      <c r="K11" s="182" t="e">
        <f t="shared" ca="1" si="4"/>
        <v>#N/A</v>
      </c>
    </row>
    <row r="12" spans="1:18" hidden="1">
      <c r="A12" s="503" t="str">
        <f>'보안수준 통계'!A14</f>
        <v>단말기 보호대책</v>
      </c>
      <c r="B12" s="504"/>
      <c r="C12" s="504"/>
      <c r="D12" s="107">
        <f>COUNTIF($A$19:$B$38,$A12)</f>
        <v>2</v>
      </c>
      <c r="E12" s="53" t="e">
        <f ca="1">$D12-H12</f>
        <v>#N/A</v>
      </c>
      <c r="F12" s="53" t="e" cm="1">
        <f t="array" aca="1" ref="F12" ca="1">SUMPRODUCT(($A$19:$B$38=$A12)*($M$19:$M$38=F$8))</f>
        <v>#N/A</v>
      </c>
      <c r="G12" s="53" t="e" cm="1">
        <f t="array" aca="1" ref="G12" ca="1">SUMPRODUCT(($A$19:$B$38=$A12)*($M$19:$M$38=G$8))</f>
        <v>#N/A</v>
      </c>
      <c r="H12" s="53" t="e" cm="1">
        <f t="array" aca="1" ref="H12" ca="1">SUMPRODUCT(($A$19:$B$38=$A12)*($M$19:$M$38="N/A"))</f>
        <v>#N/A</v>
      </c>
      <c r="I12" s="47" t="e">
        <f ca="1">SUMIF($A$19:$B$38,$A12,$L$19:$L$38)</f>
        <v>#N/A</v>
      </c>
      <c r="J12" s="47">
        <f ca="1">SUMIFS($L$19:$L$38,$M$19:$M$38,"양호",$A$19:$A$38,$A12)</f>
        <v>0</v>
      </c>
      <c r="K12" s="182" t="e">
        <f ca="1">IF(I12=0,"N/A",J12/I12)</f>
        <v>#N/A</v>
      </c>
    </row>
    <row r="13" spans="1:18" ht="14.25" hidden="1" thickBot="1">
      <c r="A13" s="503" t="str">
        <f>'보안수준 통계'!A15</f>
        <v>IP주소 관리</v>
      </c>
      <c r="B13" s="504"/>
      <c r="C13" s="504"/>
      <c r="D13" s="107">
        <f>COUNTIF($A$19:$B$38,$A13)</f>
        <v>4</v>
      </c>
      <c r="E13" s="53" t="e">
        <f ca="1">$D13-H13</f>
        <v>#N/A</v>
      </c>
      <c r="F13" s="53" t="e" cm="1">
        <f t="array" aca="1" ref="F13" ca="1">SUMPRODUCT(($A$19:$B$38=$A13)*($M$19:$M$38=F$8))</f>
        <v>#N/A</v>
      </c>
      <c r="G13" s="53" t="e" cm="1">
        <f t="array" aca="1" ref="G13" ca="1">SUMPRODUCT(($A$19:$B$38=$A13)*($M$19:$M$38=G$8))</f>
        <v>#N/A</v>
      </c>
      <c r="H13" s="53" t="e" cm="1">
        <f t="array" aca="1" ref="H13" ca="1">SUMPRODUCT(($A$19:$B$38=$A13)*($M$19:$M$38="N/A"))</f>
        <v>#N/A</v>
      </c>
      <c r="I13" s="47" t="e">
        <f ca="1">SUMIF($A$19:$B$38,$A13,$L$19:$L$38)</f>
        <v>#N/A</v>
      </c>
      <c r="J13" s="47">
        <f ca="1">SUMIFS($L$19:$L$38,$M$19:$M$38,"양호",$A$19:$A$38,$A13)</f>
        <v>0</v>
      </c>
      <c r="K13" s="182" t="e">
        <f ca="1">IF(I13=0,"N/A",J13/I13)</f>
        <v>#N/A</v>
      </c>
    </row>
    <row r="14" spans="1:18" ht="14.25" hidden="1" thickBot="1">
      <c r="A14" s="524" t="s">
        <v>396</v>
      </c>
      <c r="B14" s="525"/>
      <c r="C14" s="525"/>
      <c r="D14" s="110">
        <f>SUM(D9:D13)</f>
        <v>38</v>
      </c>
      <c r="E14" s="110" t="e">
        <f t="shared" ref="E14:J14" ca="1" si="5">SUM(E9:E13)</f>
        <v>#N/A</v>
      </c>
      <c r="F14" s="110" t="e">
        <f ca="1">SUM(F9:F13)</f>
        <v>#N/A</v>
      </c>
      <c r="G14" s="110" t="e">
        <f t="shared" ca="1" si="5"/>
        <v>#N/A</v>
      </c>
      <c r="H14" s="110" t="e">
        <f ca="1">SUM(H9:H13)</f>
        <v>#N/A</v>
      </c>
      <c r="I14" s="110" t="e">
        <f t="shared" ca="1" si="5"/>
        <v>#N/A</v>
      </c>
      <c r="J14" s="110">
        <f t="shared" ca="1" si="5"/>
        <v>0</v>
      </c>
      <c r="K14" s="183" t="e">
        <f ca="1">IF(I14=0,"N/A",J14/I14)</f>
        <v>#N/A</v>
      </c>
    </row>
    <row r="15" spans="1:18" ht="4.5" customHeight="1"/>
    <row r="16" spans="1:18" ht="17.25">
      <c r="A16" s="45" t="s">
        <v>397</v>
      </c>
      <c r="R16" s="169"/>
    </row>
    <row r="17" spans="1:18" ht="4.5" customHeight="1" thickBot="1"/>
    <row r="18" spans="1:18" ht="27.75" customHeight="1" thickBot="1">
      <c r="A18" s="528" t="s">
        <v>279</v>
      </c>
      <c r="B18" s="529"/>
      <c r="C18" s="529" t="s">
        <v>337</v>
      </c>
      <c r="D18" s="529"/>
      <c r="E18" s="529"/>
      <c r="F18" s="529"/>
      <c r="G18" s="529"/>
      <c r="H18" s="529"/>
      <c r="I18" s="529"/>
      <c r="J18" s="529"/>
      <c r="K18" s="95" t="s">
        <v>333</v>
      </c>
      <c r="L18" s="95" t="s">
        <v>398</v>
      </c>
      <c r="M18" s="95" t="s">
        <v>373</v>
      </c>
      <c r="N18" s="530" t="s">
        <v>399</v>
      </c>
      <c r="O18" s="531"/>
      <c r="P18" s="531"/>
      <c r="Q18" s="528"/>
      <c r="R18" s="96" t="s">
        <v>400</v>
      </c>
    </row>
    <row r="19" spans="1:18" ht="13.5" customHeight="1">
      <c r="A19" s="509" t="s">
        <v>754</v>
      </c>
      <c r="B19" s="510"/>
      <c r="C19" s="526" t="s">
        <v>759</v>
      </c>
      <c r="D19" s="527"/>
      <c r="E19" s="511" t="s">
        <v>415</v>
      </c>
      <c r="F19" s="511"/>
      <c r="G19" s="511"/>
      <c r="H19" s="511"/>
      <c r="I19" s="511"/>
      <c r="J19" s="511"/>
      <c r="K19" s="217" t="s">
        <v>309</v>
      </c>
      <c r="L19" s="72">
        <f ca="1">IF(M19="N/A","-",'요약 통계'!E6)</f>
        <v>5</v>
      </c>
      <c r="M19" s="218" t="str" cm="1">
        <f t="array" aca="1" ref="M19" ca="1">INDEX('통합 점검결과'!$M:$M,MATCH(1,('통합 점검결과'!$B:$B=$A$5)*('통합 점검결과'!$J:$J=$C19),0))</f>
        <v>취약</v>
      </c>
      <c r="N19" s="355" t="str">
        <f t="array" aca="1" ref="N19" ca="1">INDEX('통합 점검결과'!$N:$N,MATCH(1,('통합 점검결과'!$B:$B=$A$5)*('통합 점검결과'!$J:$J=$C19),0))</f>
        <v>SNMP 서비스가 활성화되어 있으며, SNMP community string을 “public, private"를 사용하거나, 복잡도를 만족하지 않음</v>
      </c>
      <c r="O19" s="535"/>
      <c r="P19" s="535"/>
      <c r="Q19" s="536"/>
      <c r="R19" s="215" t="str">
        <f t="array" aca="1" ref="R19" ca="1">INDEX('통합 점검결과'!$O:$O,MATCH(1,('통합 점검결과'!$B:$B=$A$5)*('통합 점검결과'!$J:$J=$C19),0))</f>
        <v>네트워크 모니터링 서비스를 비활성화하거나, 서비스를 사용하는 경우 프로토콜에 따라 알맞은 버전 및 안전한 보안설정을 적용하여 사용</v>
      </c>
    </row>
    <row r="20" spans="1:18" ht="13.5" customHeight="1">
      <c r="A20" s="498" t="s">
        <v>754</v>
      </c>
      <c r="B20" s="499"/>
      <c r="C20" s="500" t="s">
        <v>760</v>
      </c>
      <c r="D20" s="501"/>
      <c r="E20" s="502" t="s">
        <v>120</v>
      </c>
      <c r="F20" s="502"/>
      <c r="G20" s="502"/>
      <c r="H20" s="502"/>
      <c r="I20" s="502"/>
      <c r="J20" s="502"/>
      <c r="K20" s="219" t="s">
        <v>342</v>
      </c>
      <c r="L20" s="73" t="e">
        <f ca="1">IF(M20="N/A","-",'요약 통계'!E7)</f>
        <v>#N/A</v>
      </c>
      <c r="M20" s="220" t="e" cm="1">
        <f t="array" aca="1" ref="M20" ca="1">INDEX('통합 점검결과'!$M:$M,MATCH(1,('통합 점검결과'!$B:$B=$A$5)*('통합 점검결과'!$J:$J=$C20),0))</f>
        <v>#N/A</v>
      </c>
      <c r="N20" s="340" t="e" cm="1">
        <f t="array" aca="1" ref="N20" ca="1">INDEX('통합 점검결과'!$N:$N,MATCH(1,('통합 점검결과'!$B:$B=$A$5)*('통합 점검결과'!$J:$J=$C20),0))</f>
        <v>#N/A</v>
      </c>
      <c r="O20" s="340"/>
      <c r="P20" s="340"/>
      <c r="Q20" s="340"/>
      <c r="R20" s="216" t="e">
        <f t="array" aca="1" ref="R20" ca="1">INDEX('통합 점검결과'!$O:$O,MATCH(1,('통합 점검결과'!$B:$B=$A$5)*('통합 점검결과'!$J:$J=$C20),0))</f>
        <v>#N/A</v>
      </c>
    </row>
    <row r="21" spans="1:18" ht="13.5" customHeight="1">
      <c r="A21" s="498" t="s">
        <v>754</v>
      </c>
      <c r="B21" s="499" t="s">
        <v>754</v>
      </c>
      <c r="C21" s="500" t="s">
        <v>761</v>
      </c>
      <c r="D21" s="501" t="s">
        <v>761</v>
      </c>
      <c r="E21" s="502" t="s">
        <v>127</v>
      </c>
      <c r="F21" s="502"/>
      <c r="G21" s="502"/>
      <c r="H21" s="502"/>
      <c r="I21" s="502"/>
      <c r="J21" s="502"/>
      <c r="K21" s="219" t="s">
        <v>342</v>
      </c>
      <c r="L21" s="73" t="e">
        <f ca="1">IF(M21="N/A","-",'요약 통계'!E8)</f>
        <v>#N/A</v>
      </c>
      <c r="M21" s="220" t="e" cm="1">
        <f t="array" aca="1" ref="M21" ca="1">INDEX('통합 점검결과'!$M:$M,MATCH(1,('통합 점검결과'!$B:$B=$A$5)*('통합 점검결과'!$J:$J=$C21),0))</f>
        <v>#N/A</v>
      </c>
      <c r="N21" s="340" t="e" cm="1">
        <f t="array" aca="1" ref="N21" ca="1">INDEX('통합 점검결과'!$N:$N,MATCH(1,('통합 점검결과'!$B:$B=$A$5)*('통합 점검결과'!$J:$J=$C21),0))</f>
        <v>#N/A</v>
      </c>
      <c r="O21" s="340"/>
      <c r="P21" s="340"/>
      <c r="Q21" s="340"/>
      <c r="R21" s="216" t="e">
        <f t="array" aca="1" ref="R21" ca="1">INDEX('통합 점검결과'!$O:$O,MATCH(1,('통합 점검결과'!$B:$B=$A$5)*('통합 점검결과'!$J:$J=$C21),0))</f>
        <v>#N/A</v>
      </c>
    </row>
    <row r="22" spans="1:18" ht="13.5" customHeight="1">
      <c r="A22" s="498" t="s">
        <v>754</v>
      </c>
      <c r="B22" s="499" t="s">
        <v>754</v>
      </c>
      <c r="C22" s="500" t="s">
        <v>762</v>
      </c>
      <c r="D22" s="501" t="s">
        <v>762</v>
      </c>
      <c r="E22" s="502" t="s">
        <v>133</v>
      </c>
      <c r="F22" s="502"/>
      <c r="G22" s="502"/>
      <c r="H22" s="502"/>
      <c r="I22" s="502"/>
      <c r="J22" s="502"/>
      <c r="K22" s="219" t="s">
        <v>309</v>
      </c>
      <c r="L22" s="73" t="e">
        <f ca="1">IF(M22="N/A","-",'요약 통계'!E9)</f>
        <v>#N/A</v>
      </c>
      <c r="M22" s="220" t="e" cm="1">
        <f t="array" aca="1" ref="M22" ca="1">INDEX('통합 점검결과'!$M:$M,MATCH(1,('통합 점검결과'!$B:$B=$A$5)*('통합 점검결과'!$J:$J=$C22),0))</f>
        <v>#N/A</v>
      </c>
      <c r="N22" s="340" t="e" cm="1">
        <f t="array" aca="1" ref="N22" ca="1">INDEX('통합 점검결과'!$N:$N,MATCH(1,('통합 점검결과'!$B:$B=$A$5)*('통합 점검결과'!$J:$J=$C22),0))</f>
        <v>#N/A</v>
      </c>
      <c r="O22" s="340"/>
      <c r="P22" s="340"/>
      <c r="Q22" s="340"/>
      <c r="R22" s="216" t="e">
        <f t="array" aca="1" ref="R22" ca="1">INDEX('통합 점검결과'!$O:$O,MATCH(1,('통합 점검결과'!$B:$B=$A$5)*('통합 점검결과'!$J:$J=$C22),0))</f>
        <v>#N/A</v>
      </c>
    </row>
    <row r="23" spans="1:18" ht="13.5" customHeight="1">
      <c r="A23" s="498" t="s">
        <v>754</v>
      </c>
      <c r="B23" s="499" t="s">
        <v>754</v>
      </c>
      <c r="C23" s="500" t="s">
        <v>763</v>
      </c>
      <c r="D23" s="501" t="s">
        <v>763</v>
      </c>
      <c r="E23" s="502" t="s">
        <v>135</v>
      </c>
      <c r="F23" s="502"/>
      <c r="G23" s="502"/>
      <c r="H23" s="502"/>
      <c r="I23" s="502"/>
      <c r="J23" s="502"/>
      <c r="K23" s="219" t="s">
        <v>342</v>
      </c>
      <c r="L23" s="73" t="e">
        <f ca="1">IF(M23="N/A","-",'요약 통계'!E10)</f>
        <v>#N/A</v>
      </c>
      <c r="M23" s="220" t="e" cm="1">
        <f t="array" aca="1" ref="M23" ca="1">INDEX('통합 점검결과'!$M:$M,MATCH(1,('통합 점검결과'!$B:$B=$A$5)*('통합 점검결과'!$J:$J=$C23),0))</f>
        <v>#N/A</v>
      </c>
      <c r="N23" s="340" t="e" cm="1">
        <f t="array" aca="1" ref="N23" ca="1">INDEX('통합 점검결과'!$N:$N,MATCH(1,('통합 점검결과'!$B:$B=$A$5)*('통합 점검결과'!$J:$J=$C23),0))</f>
        <v>#N/A</v>
      </c>
      <c r="O23" s="340"/>
      <c r="P23" s="340"/>
      <c r="Q23" s="340"/>
      <c r="R23" s="216" t="e">
        <f t="array" aca="1" ref="R23" ca="1">INDEX('통합 점검결과'!$O:$O,MATCH(1,('통합 점검결과'!$B:$B=$A$5)*('통합 점검결과'!$J:$J=$C23),0))</f>
        <v>#N/A</v>
      </c>
    </row>
    <row r="24" spans="1:18" ht="13.5" customHeight="1">
      <c r="A24" s="498" t="s">
        <v>755</v>
      </c>
      <c r="B24" s="499" t="s">
        <v>755</v>
      </c>
      <c r="C24" s="500" t="s">
        <v>764</v>
      </c>
      <c r="D24" s="501" t="s">
        <v>764</v>
      </c>
      <c r="E24" s="502" t="s">
        <v>142</v>
      </c>
      <c r="F24" s="502"/>
      <c r="G24" s="502"/>
      <c r="H24" s="502"/>
      <c r="I24" s="502"/>
      <c r="J24" s="502"/>
      <c r="K24" s="219" t="s">
        <v>342</v>
      </c>
      <c r="L24" s="73" t="e">
        <f ca="1">IF(M24="N/A","-",'요약 통계'!E11)</f>
        <v>#N/A</v>
      </c>
      <c r="M24" s="220" t="e" cm="1">
        <f t="array" aca="1" ref="M24" ca="1">INDEX('통합 점검결과'!$M:$M,MATCH(1,('통합 점검결과'!$B:$B=$A$5)*('통합 점검결과'!$J:$J=$C24),0))</f>
        <v>#N/A</v>
      </c>
      <c r="N24" s="340" t="e" cm="1">
        <f t="array" aca="1" ref="N24" ca="1">INDEX('통합 점검결과'!$N:$N,MATCH(1,('통합 점검결과'!$B:$B=$A$5)*('통합 점검결과'!$J:$J=$C24),0))</f>
        <v>#N/A</v>
      </c>
      <c r="O24" s="340"/>
      <c r="P24" s="340"/>
      <c r="Q24" s="340"/>
      <c r="R24" s="216" t="e">
        <f t="array" aca="1" ref="R24" ca="1">INDEX('통합 점검결과'!$O:$O,MATCH(1,('통합 점검결과'!$B:$B=$A$5)*('통합 점검결과'!$J:$J=$C24),0))</f>
        <v>#N/A</v>
      </c>
    </row>
    <row r="25" spans="1:18" ht="13.5" customHeight="1">
      <c r="A25" s="498" t="s">
        <v>755</v>
      </c>
      <c r="B25" s="499" t="s">
        <v>755</v>
      </c>
      <c r="C25" s="500" t="s">
        <v>765</v>
      </c>
      <c r="D25" s="501" t="s">
        <v>765</v>
      </c>
      <c r="E25" s="502" t="s">
        <v>146</v>
      </c>
      <c r="F25" s="502"/>
      <c r="G25" s="502"/>
      <c r="H25" s="502"/>
      <c r="I25" s="502"/>
      <c r="J25" s="502"/>
      <c r="K25" s="219" t="s">
        <v>342</v>
      </c>
      <c r="L25" s="73" t="e">
        <f ca="1">IF(M25="N/A","-",'요약 통계'!E12)</f>
        <v>#N/A</v>
      </c>
      <c r="M25" s="220" t="e" cm="1">
        <f t="array" aca="1" ref="M25" ca="1">INDEX('통합 점검결과'!$M:$M,MATCH(1,('통합 점검결과'!$B:$B=$A$5)*('통합 점검결과'!$J:$J=$C25),0))</f>
        <v>#N/A</v>
      </c>
      <c r="N25" s="340" t="e" cm="1">
        <f t="array" aca="1" ref="N25" ca="1">INDEX('통합 점검결과'!$N:$N,MATCH(1,('통합 점검결과'!$B:$B=$A$5)*('통합 점검결과'!$J:$J=$C25),0))</f>
        <v>#N/A</v>
      </c>
      <c r="O25" s="340"/>
      <c r="P25" s="340"/>
      <c r="Q25" s="340"/>
      <c r="R25" s="216" t="e">
        <f t="array" aca="1" ref="R25" ca="1">INDEX('통합 점검결과'!$O:$O,MATCH(1,('통합 점검결과'!$B:$B=$A$5)*('통합 점검결과'!$J:$J=$C25),0))</f>
        <v>#N/A</v>
      </c>
    </row>
    <row r="26" spans="1:18" ht="13.5" customHeight="1">
      <c r="A26" s="498" t="s">
        <v>754</v>
      </c>
      <c r="B26" s="499" t="s">
        <v>754</v>
      </c>
      <c r="C26" s="500" t="s">
        <v>766</v>
      </c>
      <c r="D26" s="501" t="s">
        <v>766</v>
      </c>
      <c r="E26" s="502" t="s">
        <v>151</v>
      </c>
      <c r="F26" s="502"/>
      <c r="G26" s="502"/>
      <c r="H26" s="502"/>
      <c r="I26" s="502"/>
      <c r="J26" s="502"/>
      <c r="K26" s="219" t="s">
        <v>309</v>
      </c>
      <c r="L26" s="73" t="e">
        <f ca="1">IF(M26="N/A","-",'요약 통계'!E13)</f>
        <v>#N/A</v>
      </c>
      <c r="M26" s="220" t="e" cm="1">
        <f t="array" aca="1" ref="M26" ca="1">INDEX('통합 점검결과'!$M:$M,MATCH(1,('통합 점검결과'!$B:$B=$A$5)*('통합 점검결과'!$J:$J=$C26),0))</f>
        <v>#N/A</v>
      </c>
      <c r="N26" s="340" t="e" cm="1">
        <f t="array" aca="1" ref="N26" ca="1">INDEX('통합 점검결과'!$N:$N,MATCH(1,('통합 점검결과'!$B:$B=$A$5)*('통합 점검결과'!$J:$J=$C26),0))</f>
        <v>#N/A</v>
      </c>
      <c r="O26" s="340"/>
      <c r="P26" s="340"/>
      <c r="Q26" s="340"/>
      <c r="R26" s="216" t="e">
        <f t="array" aca="1" ref="R26" ca="1">INDEX('통합 점검결과'!$O:$O,MATCH(1,('통합 점검결과'!$B:$B=$A$5)*('통합 점검결과'!$J:$J=$C26),0))</f>
        <v>#N/A</v>
      </c>
    </row>
    <row r="27" spans="1:18" ht="13.5" customHeight="1">
      <c r="A27" s="498" t="s">
        <v>754</v>
      </c>
      <c r="B27" s="499" t="s">
        <v>754</v>
      </c>
      <c r="C27" s="500" t="s">
        <v>767</v>
      </c>
      <c r="D27" s="501" t="s">
        <v>767</v>
      </c>
      <c r="E27" s="502" t="s">
        <v>155</v>
      </c>
      <c r="F27" s="502"/>
      <c r="G27" s="502"/>
      <c r="H27" s="502"/>
      <c r="I27" s="502"/>
      <c r="J27" s="502"/>
      <c r="K27" s="219" t="s">
        <v>309</v>
      </c>
      <c r="L27" s="73" t="e">
        <f ca="1">IF(M27="N/A","-",'요약 통계'!E14)</f>
        <v>#N/A</v>
      </c>
      <c r="M27" s="220" t="e" cm="1">
        <f t="array" aca="1" ref="M27" ca="1">INDEX('통합 점검결과'!$M:$M,MATCH(1,('통합 점검결과'!$B:$B=$A$5)*('통합 점검결과'!$J:$J=$C27),0))</f>
        <v>#N/A</v>
      </c>
      <c r="N27" s="340" t="e" cm="1">
        <f t="array" aca="1" ref="N27" ca="1">INDEX('통합 점검결과'!$N:$N,MATCH(1,('통합 점검결과'!$B:$B=$A$5)*('통합 점검결과'!$J:$J=$C27),0))</f>
        <v>#N/A</v>
      </c>
      <c r="O27" s="340"/>
      <c r="P27" s="340"/>
      <c r="Q27" s="340"/>
      <c r="R27" s="216" t="e">
        <f t="array" aca="1" ref="R27" ca="1">INDEX('통합 점검결과'!$O:$O,MATCH(1,('통합 점검결과'!$B:$B=$A$5)*('통합 점검결과'!$J:$J=$C27),0))</f>
        <v>#N/A</v>
      </c>
    </row>
    <row r="28" spans="1:18" ht="13.5" customHeight="1">
      <c r="A28" s="498" t="s">
        <v>754</v>
      </c>
      <c r="B28" s="499" t="s">
        <v>754</v>
      </c>
      <c r="C28" s="500" t="s">
        <v>768</v>
      </c>
      <c r="D28" s="501" t="s">
        <v>768</v>
      </c>
      <c r="E28" s="502" t="s">
        <v>160</v>
      </c>
      <c r="F28" s="502"/>
      <c r="G28" s="502"/>
      <c r="H28" s="502"/>
      <c r="I28" s="502"/>
      <c r="J28" s="502"/>
      <c r="K28" s="219" t="s">
        <v>309</v>
      </c>
      <c r="L28" s="73" t="e">
        <f ca="1">IF(M28="N/A","-",'요약 통계'!E15)</f>
        <v>#N/A</v>
      </c>
      <c r="M28" s="220" t="e" cm="1">
        <f t="array" aca="1" ref="M28" ca="1">INDEX('통합 점검결과'!$M:$M,MATCH(1,('통합 점검결과'!$B:$B=$A$5)*('통합 점검결과'!$J:$J=$C28),0))</f>
        <v>#N/A</v>
      </c>
      <c r="N28" s="340" t="e" cm="1">
        <f t="array" aca="1" ref="N28" ca="1">INDEX('통합 점검결과'!$N:$N,MATCH(1,('통합 점검결과'!$B:$B=$A$5)*('통합 점검결과'!$J:$J=$C28),0))</f>
        <v>#N/A</v>
      </c>
      <c r="O28" s="340"/>
      <c r="P28" s="340"/>
      <c r="Q28" s="340"/>
      <c r="R28" s="216" t="e">
        <f t="array" aca="1" ref="R28" ca="1">INDEX('통합 점검결과'!$O:$O,MATCH(1,('통합 점검결과'!$B:$B=$A$5)*('통합 점검결과'!$J:$J=$C28),0))</f>
        <v>#N/A</v>
      </c>
    </row>
    <row r="29" spans="1:18" ht="13.5" customHeight="1">
      <c r="A29" s="498" t="s">
        <v>754</v>
      </c>
      <c r="B29" s="499" t="s">
        <v>754</v>
      </c>
      <c r="C29" s="500" t="s">
        <v>769</v>
      </c>
      <c r="D29" s="501" t="s">
        <v>769</v>
      </c>
      <c r="E29" s="502" t="s">
        <v>164</v>
      </c>
      <c r="F29" s="502"/>
      <c r="G29" s="502"/>
      <c r="H29" s="502"/>
      <c r="I29" s="502"/>
      <c r="J29" s="502"/>
      <c r="K29" s="219" t="s">
        <v>309</v>
      </c>
      <c r="L29" s="73" t="e">
        <f ca="1">IF(M29="N/A","-",'요약 통계'!E16)</f>
        <v>#N/A</v>
      </c>
      <c r="M29" s="220" t="e" cm="1">
        <f t="array" aca="1" ref="M29" ca="1">INDEX('통합 점검결과'!$M:$M,MATCH(1,('통합 점검결과'!$B:$B=$A$5)*('통합 점검결과'!$J:$J=$C29),0))</f>
        <v>#N/A</v>
      </c>
      <c r="N29" s="340" t="e" cm="1">
        <f t="array" aca="1" ref="N29" ca="1">INDEX('통합 점검결과'!$N:$N,MATCH(1,('통합 점검결과'!$B:$B=$A$5)*('통합 점검결과'!$J:$J=$C29),0))</f>
        <v>#N/A</v>
      </c>
      <c r="O29" s="340"/>
      <c r="P29" s="340"/>
      <c r="Q29" s="340"/>
      <c r="R29" s="216" t="e">
        <f t="array" aca="1" ref="R29" ca="1">INDEX('통합 점검결과'!$O:$O,MATCH(1,('통합 점검결과'!$B:$B=$A$5)*('통합 점검결과'!$J:$J=$C29),0))</f>
        <v>#N/A</v>
      </c>
    </row>
    <row r="30" spans="1:18" ht="13.5" customHeight="1">
      <c r="A30" s="498" t="s">
        <v>754</v>
      </c>
      <c r="B30" s="499" t="s">
        <v>754</v>
      </c>
      <c r="C30" s="500" t="s">
        <v>770</v>
      </c>
      <c r="D30" s="501" t="s">
        <v>770</v>
      </c>
      <c r="E30" s="502" t="s">
        <v>169</v>
      </c>
      <c r="F30" s="502"/>
      <c r="G30" s="502"/>
      <c r="H30" s="502"/>
      <c r="I30" s="502"/>
      <c r="J30" s="502"/>
      <c r="K30" s="219" t="s">
        <v>309</v>
      </c>
      <c r="L30" s="73" t="e">
        <f ca="1">IF(M30="N/A","-",'요약 통계'!E17)</f>
        <v>#N/A</v>
      </c>
      <c r="M30" s="220" t="e" cm="1">
        <f t="array" aca="1" ref="M30" ca="1">INDEX('통합 점검결과'!$M:$M,MATCH(1,('통합 점검결과'!$B:$B=$A$5)*('통합 점검결과'!$J:$J=$C30),0))</f>
        <v>#N/A</v>
      </c>
      <c r="N30" s="340" t="e" cm="1">
        <f t="array" aca="1" ref="N30" ca="1">INDEX('통합 점검결과'!$N:$N,MATCH(1,('통합 점검결과'!$B:$B=$A$5)*('통합 점검결과'!$J:$J=$C30),0))</f>
        <v>#N/A</v>
      </c>
      <c r="O30" s="340"/>
      <c r="P30" s="340"/>
      <c r="Q30" s="340"/>
      <c r="R30" s="216" t="e">
        <f t="array" aca="1" ref="R30" ca="1">INDEX('통합 점검결과'!$O:$O,MATCH(1,('통합 점검결과'!$B:$B=$A$5)*('통합 점검결과'!$J:$J=$C30),0))</f>
        <v>#N/A</v>
      </c>
    </row>
    <row r="31" spans="1:18" ht="13.5" customHeight="1">
      <c r="A31" s="498" t="s">
        <v>756</v>
      </c>
      <c r="B31" s="499" t="s">
        <v>756</v>
      </c>
      <c r="C31" s="500" t="s">
        <v>771</v>
      </c>
      <c r="D31" s="501" t="s">
        <v>771</v>
      </c>
      <c r="E31" s="502" t="s">
        <v>174</v>
      </c>
      <c r="F31" s="502"/>
      <c r="G31" s="502"/>
      <c r="H31" s="502"/>
      <c r="I31" s="502"/>
      <c r="J31" s="502"/>
      <c r="K31" s="219" t="s">
        <v>309</v>
      </c>
      <c r="L31" s="73" t="e">
        <f ca="1">IF(M31="N/A","-",'요약 통계'!E18)</f>
        <v>#N/A</v>
      </c>
      <c r="M31" s="220" t="e" cm="1">
        <f t="array" aca="1" ref="M31" ca="1">INDEX('통합 점검결과'!$M:$M,MATCH(1,('통합 점검결과'!$B:$B=$A$5)*('통합 점검결과'!$J:$J=$C31),0))</f>
        <v>#N/A</v>
      </c>
      <c r="N31" s="340" t="e" cm="1">
        <f t="array" aca="1" ref="N31" ca="1">INDEX('통합 점검결과'!$N:$N,MATCH(1,('통합 점검결과'!$B:$B=$A$5)*('통합 점검결과'!$J:$J=$C31),0))</f>
        <v>#N/A</v>
      </c>
      <c r="O31" s="340"/>
      <c r="P31" s="340"/>
      <c r="Q31" s="340"/>
      <c r="R31" s="216" t="e">
        <f t="array" aca="1" ref="R31" ca="1">INDEX('통합 점검결과'!$O:$O,MATCH(1,('통합 점검결과'!$B:$B=$A$5)*('통합 점검결과'!$J:$J=$C31),0))</f>
        <v>#N/A</v>
      </c>
    </row>
    <row r="32" spans="1:18" ht="13.5" customHeight="1">
      <c r="A32" s="498" t="s">
        <v>757</v>
      </c>
      <c r="B32" s="499" t="s">
        <v>757</v>
      </c>
      <c r="C32" s="500" t="s">
        <v>772</v>
      </c>
      <c r="D32" s="501" t="s">
        <v>772</v>
      </c>
      <c r="E32" s="502" t="s">
        <v>179</v>
      </c>
      <c r="F32" s="502"/>
      <c r="G32" s="502"/>
      <c r="H32" s="502"/>
      <c r="I32" s="502"/>
      <c r="J32" s="502"/>
      <c r="K32" s="219" t="s">
        <v>309</v>
      </c>
      <c r="L32" s="73" t="e">
        <f ca="1">IF(M32="N/A","-",'요약 통계'!E19)</f>
        <v>#N/A</v>
      </c>
      <c r="M32" s="220" t="e" cm="1">
        <f t="array" aca="1" ref="M32" ca="1">INDEX('통합 점검결과'!$M:$M,MATCH(1,('통합 점검결과'!$B:$B=$A$5)*('통합 점검결과'!$J:$J=$C32),0))</f>
        <v>#N/A</v>
      </c>
      <c r="N32" s="340" t="e" cm="1">
        <f t="array" aca="1" ref="N32" ca="1">INDEX('통합 점검결과'!$N:$N,MATCH(1,('통합 점검결과'!$B:$B=$A$5)*('통합 점검결과'!$J:$J=$C32),0))</f>
        <v>#N/A</v>
      </c>
      <c r="O32" s="340"/>
      <c r="P32" s="340"/>
      <c r="Q32" s="340"/>
      <c r="R32" s="216" t="e">
        <f t="array" aca="1" ref="R32" ca="1">INDEX('통합 점검결과'!$O:$O,MATCH(1,('통합 점검결과'!$B:$B=$A$5)*('통합 점검결과'!$J:$J=$C32),0))</f>
        <v>#N/A</v>
      </c>
    </row>
    <row r="33" spans="1:18" ht="13.5" customHeight="1">
      <c r="A33" s="498" t="s">
        <v>754</v>
      </c>
      <c r="B33" s="499" t="s">
        <v>754</v>
      </c>
      <c r="C33" s="500" t="s">
        <v>773</v>
      </c>
      <c r="D33" s="501" t="s">
        <v>773</v>
      </c>
      <c r="E33" s="502" t="s">
        <v>184</v>
      </c>
      <c r="F33" s="502"/>
      <c r="G33" s="502"/>
      <c r="H33" s="502"/>
      <c r="I33" s="502"/>
      <c r="J33" s="502"/>
      <c r="K33" s="219" t="s">
        <v>309</v>
      </c>
      <c r="L33" s="73" t="e">
        <f ca="1">IF(M33="N/A","-",'요약 통계'!E20)</f>
        <v>#N/A</v>
      </c>
      <c r="M33" s="220" t="e" cm="1">
        <f t="array" aca="1" ref="M33" ca="1">INDEX('통합 점검결과'!$M:$M,MATCH(1,('통합 점검결과'!$B:$B=$A$5)*('통합 점검결과'!$J:$J=$C33),0))</f>
        <v>#N/A</v>
      </c>
      <c r="N33" s="340" t="e" cm="1">
        <f t="array" aca="1" ref="N33" ca="1">INDEX('통합 점검결과'!$N:$N,MATCH(1,('통합 점검결과'!$B:$B=$A$5)*('통합 점검결과'!$J:$J=$C33),0))</f>
        <v>#N/A</v>
      </c>
      <c r="O33" s="340"/>
      <c r="P33" s="340"/>
      <c r="Q33" s="340"/>
      <c r="R33" s="216" t="e">
        <f t="array" aca="1" ref="R33" ca="1">INDEX('통합 점검결과'!$O:$O,MATCH(1,('통합 점검결과'!$B:$B=$A$5)*('통합 점검결과'!$J:$J=$C33),0))</f>
        <v>#N/A</v>
      </c>
    </row>
    <row r="34" spans="1:18" ht="13.5" customHeight="1">
      <c r="A34" s="498" t="s">
        <v>754</v>
      </c>
      <c r="B34" s="499" t="s">
        <v>754</v>
      </c>
      <c r="C34" s="500" t="s">
        <v>774</v>
      </c>
      <c r="D34" s="501" t="s">
        <v>774</v>
      </c>
      <c r="E34" s="502" t="s">
        <v>191</v>
      </c>
      <c r="F34" s="502"/>
      <c r="G34" s="502"/>
      <c r="H34" s="502"/>
      <c r="I34" s="502"/>
      <c r="J34" s="502"/>
      <c r="K34" s="219" t="s">
        <v>309</v>
      </c>
      <c r="L34" s="73" t="e">
        <f ca="1">IF(M34="N/A","-",'요약 통계'!E21)</f>
        <v>#N/A</v>
      </c>
      <c r="M34" s="220" t="e" cm="1">
        <f t="array" aca="1" ref="M34" ca="1">INDEX('통합 점검결과'!$M:$M,MATCH(1,('통합 점검결과'!$B:$B=$A$5)*('통합 점검결과'!$J:$J=$C34),0))</f>
        <v>#N/A</v>
      </c>
      <c r="N34" s="340" t="e" cm="1">
        <f t="array" aca="1" ref="N34" ca="1">INDEX('통합 점검결과'!$N:$N,MATCH(1,('통합 점검결과'!$B:$B=$A$5)*('통합 점검결과'!$J:$J=$C34),0))</f>
        <v>#N/A</v>
      </c>
      <c r="O34" s="340"/>
      <c r="P34" s="340"/>
      <c r="Q34" s="340"/>
      <c r="R34" s="216" t="e">
        <f t="array" aca="1" ref="R34" ca="1">INDEX('통합 점검결과'!$O:$O,MATCH(1,('통합 점검결과'!$B:$B=$A$5)*('통합 점검결과'!$J:$J=$C34),0))</f>
        <v>#N/A</v>
      </c>
    </row>
    <row r="35" spans="1:18" ht="13.5" customHeight="1">
      <c r="A35" s="498" t="s">
        <v>754</v>
      </c>
      <c r="B35" s="499" t="s">
        <v>754</v>
      </c>
      <c r="C35" s="500" t="s">
        <v>775</v>
      </c>
      <c r="D35" s="501" t="s">
        <v>775</v>
      </c>
      <c r="E35" s="502" t="s">
        <v>196</v>
      </c>
      <c r="F35" s="502"/>
      <c r="G35" s="502"/>
      <c r="H35" s="502"/>
      <c r="I35" s="502"/>
      <c r="J35" s="502"/>
      <c r="K35" s="219" t="s">
        <v>309</v>
      </c>
      <c r="L35" s="73" t="e">
        <f ca="1">IF(M35="N/A","-",'요약 통계'!E22)</f>
        <v>#N/A</v>
      </c>
      <c r="M35" s="220" t="e" cm="1">
        <f t="array" aca="1" ref="M35" ca="1">INDEX('통합 점검결과'!$M:$M,MATCH(1,('통합 점검결과'!$B:$B=$A$5)*('통합 점검결과'!$J:$J=$C35),0))</f>
        <v>#N/A</v>
      </c>
      <c r="N35" s="340" t="e" cm="1">
        <f t="array" aca="1" ref="N35" ca="1">INDEX('통합 점검결과'!$N:$N,MATCH(1,('통합 점검결과'!$B:$B=$A$5)*('통합 점검결과'!$J:$J=$C35),0))</f>
        <v>#N/A</v>
      </c>
      <c r="O35" s="340"/>
      <c r="P35" s="340"/>
      <c r="Q35" s="340"/>
      <c r="R35" s="216" t="e">
        <f t="array" aca="1" ref="R35" ca="1">INDEX('통합 점검결과'!$O:$O,MATCH(1,('통합 점검결과'!$B:$B=$A$5)*('통합 점검결과'!$J:$J=$C35),0))</f>
        <v>#N/A</v>
      </c>
    </row>
    <row r="36" spans="1:18" ht="13.5" customHeight="1">
      <c r="A36" s="498" t="s">
        <v>756</v>
      </c>
      <c r="B36" s="499" t="s">
        <v>756</v>
      </c>
      <c r="C36" s="500" t="s">
        <v>776</v>
      </c>
      <c r="D36" s="501" t="s">
        <v>776</v>
      </c>
      <c r="E36" s="502" t="s">
        <v>201</v>
      </c>
      <c r="F36" s="502"/>
      <c r="G36" s="502"/>
      <c r="H36" s="502"/>
      <c r="I36" s="502"/>
      <c r="J36" s="502"/>
      <c r="K36" s="219" t="s">
        <v>309</v>
      </c>
      <c r="L36" s="73" t="e">
        <f ca="1">IF(M36="N/A","-",'요약 통계'!E23)</f>
        <v>#N/A</v>
      </c>
      <c r="M36" s="220" t="e" cm="1">
        <f t="array" aca="1" ref="M36" ca="1">INDEX('통합 점검결과'!$M:$M,MATCH(1,('통합 점검결과'!$B:$B=$A$5)*('통합 점검결과'!$J:$J=$C36),0))</f>
        <v>#N/A</v>
      </c>
      <c r="N36" s="340" t="e" cm="1">
        <f t="array" aca="1" ref="N36" ca="1">INDEX('통합 점검결과'!$N:$N,MATCH(1,('통합 점검결과'!$B:$B=$A$5)*('통합 점검결과'!$J:$J=$C36),0))</f>
        <v>#N/A</v>
      </c>
      <c r="O36" s="340"/>
      <c r="P36" s="340"/>
      <c r="Q36" s="340"/>
      <c r="R36" s="216" t="e">
        <f t="array" aca="1" ref="R36" ca="1">INDEX('통합 점검결과'!$O:$O,MATCH(1,('통합 점검결과'!$B:$B=$A$5)*('통합 점검결과'!$J:$J=$C36),0))</f>
        <v>#N/A</v>
      </c>
    </row>
    <row r="37" spans="1:18" ht="13.5" customHeight="1">
      <c r="A37" s="498" t="s">
        <v>758</v>
      </c>
      <c r="B37" s="499" t="s">
        <v>758</v>
      </c>
      <c r="C37" s="500" t="s">
        <v>777</v>
      </c>
      <c r="D37" s="501" t="s">
        <v>777</v>
      </c>
      <c r="E37" s="502" t="s">
        <v>212</v>
      </c>
      <c r="F37" s="502"/>
      <c r="G37" s="502"/>
      <c r="H37" s="502"/>
      <c r="I37" s="502"/>
      <c r="J37" s="502"/>
      <c r="K37" s="219" t="s">
        <v>309</v>
      </c>
      <c r="L37" s="73" t="e">
        <f ca="1">IF(M37="N/A","-",'요약 통계'!E24)</f>
        <v>#N/A</v>
      </c>
      <c r="M37" s="220" t="e" cm="1">
        <f t="array" aca="1" ref="M37" ca="1">INDEX('통합 점검결과'!$M:$M,MATCH(1,('통합 점검결과'!$B:$B=$A$5)*('통합 점검결과'!$J:$J=$C37),0))</f>
        <v>#N/A</v>
      </c>
      <c r="N37" s="340" t="e" cm="1">
        <f t="array" aca="1" ref="N37" ca="1">INDEX('통합 점검결과'!$N:$N,MATCH(1,('통합 점검결과'!$B:$B=$A$5)*('통합 점검결과'!$J:$J=$C37),0))</f>
        <v>#N/A</v>
      </c>
      <c r="O37" s="340"/>
      <c r="P37" s="340"/>
      <c r="Q37" s="340"/>
      <c r="R37" s="216" t="e">
        <f t="array" aca="1" ref="R37" ca="1">INDEX('통합 점검결과'!$O:$O,MATCH(1,('통합 점검결과'!$B:$B=$A$5)*('통합 점검결과'!$J:$J=$C37),0))</f>
        <v>#N/A</v>
      </c>
    </row>
    <row r="38" spans="1:18" ht="13.5" customHeight="1">
      <c r="A38" s="498" t="s">
        <v>758</v>
      </c>
      <c r="B38" s="499" t="s">
        <v>758</v>
      </c>
      <c r="C38" s="500" t="s">
        <v>778</v>
      </c>
      <c r="D38" s="501" t="s">
        <v>778</v>
      </c>
      <c r="E38" s="502" t="s">
        <v>217</v>
      </c>
      <c r="F38" s="502"/>
      <c r="G38" s="502"/>
      <c r="H38" s="502"/>
      <c r="I38" s="502"/>
      <c r="J38" s="502"/>
      <c r="K38" s="219" t="s">
        <v>309</v>
      </c>
      <c r="L38" s="73" t="e">
        <f ca="1">IF(M38="N/A","-",'요약 통계'!E25)</f>
        <v>#N/A</v>
      </c>
      <c r="M38" s="220" t="e" cm="1">
        <f t="array" aca="1" ref="M38" ca="1">INDEX('통합 점검결과'!$M:$M,MATCH(1,('통합 점검결과'!$B:$B=$A$5)*('통합 점검결과'!$J:$J=$C38),0))</f>
        <v>#N/A</v>
      </c>
      <c r="N38" s="340" t="e" cm="1">
        <f t="array" aca="1" ref="N38" ca="1">INDEX('통합 점검결과'!$N:$N,MATCH(1,('통합 점검결과'!$B:$B=$A$5)*('통합 점검결과'!$J:$J=$C38),0))</f>
        <v>#N/A</v>
      </c>
      <c r="O38" s="340"/>
      <c r="P38" s="340"/>
      <c r="Q38" s="340"/>
      <c r="R38" s="216" t="e">
        <f t="array" aca="1" ref="R38" ca="1">INDEX('통합 점검결과'!$O:$O,MATCH(1,('통합 점검결과'!$B:$B=$A$5)*('통합 점검결과'!$J:$J=$C38),0))</f>
        <v>#N/A</v>
      </c>
    </row>
    <row r="48" spans="1:1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</sheetData>
  <mergeCells count="108">
    <mergeCell ref="A36:B36"/>
    <mergeCell ref="C36:D36"/>
    <mergeCell ref="E36:J36"/>
    <mergeCell ref="N36:Q36"/>
    <mergeCell ref="A37:B37"/>
    <mergeCell ref="C37:D37"/>
    <mergeCell ref="E37:J37"/>
    <mergeCell ref="N37:Q37"/>
    <mergeCell ref="A38:B38"/>
    <mergeCell ref="C38:D38"/>
    <mergeCell ref="E38:J38"/>
    <mergeCell ref="N38:Q38"/>
    <mergeCell ref="A33:B33"/>
    <mergeCell ref="C33:D33"/>
    <mergeCell ref="E33:J33"/>
    <mergeCell ref="N33:Q33"/>
    <mergeCell ref="A34:B34"/>
    <mergeCell ref="C34:D34"/>
    <mergeCell ref="E34:J34"/>
    <mergeCell ref="N34:Q34"/>
    <mergeCell ref="A35:B35"/>
    <mergeCell ref="C35:D35"/>
    <mergeCell ref="E35:J35"/>
    <mergeCell ref="N35:Q35"/>
    <mergeCell ref="N30:Q30"/>
    <mergeCell ref="A31:B31"/>
    <mergeCell ref="C31:D31"/>
    <mergeCell ref="E31:J31"/>
    <mergeCell ref="N31:Q31"/>
    <mergeCell ref="A32:B32"/>
    <mergeCell ref="C32:D32"/>
    <mergeCell ref="E32:J32"/>
    <mergeCell ref="N32:Q32"/>
    <mergeCell ref="N18:Q18"/>
    <mergeCell ref="P5:Q5"/>
    <mergeCell ref="N5:O5"/>
    <mergeCell ref="N4:O4"/>
    <mergeCell ref="P4:Q4"/>
    <mergeCell ref="N19:Q19"/>
    <mergeCell ref="N24:Q24"/>
    <mergeCell ref="N25:Q25"/>
    <mergeCell ref="N26:Q26"/>
    <mergeCell ref="N20:Q20"/>
    <mergeCell ref="N21:Q21"/>
    <mergeCell ref="N22:Q22"/>
    <mergeCell ref="N23:Q23"/>
    <mergeCell ref="N27:Q27"/>
    <mergeCell ref="N28:Q28"/>
    <mergeCell ref="N29:Q29"/>
    <mergeCell ref="K4:M4"/>
    <mergeCell ref="K5:M5"/>
    <mergeCell ref="I7:K7"/>
    <mergeCell ref="A4:B4"/>
    <mergeCell ref="C4:D4"/>
    <mergeCell ref="E4:F4"/>
    <mergeCell ref="G4:H4"/>
    <mergeCell ref="G5:H5"/>
    <mergeCell ref="E5:F5"/>
    <mergeCell ref="C5:D5"/>
    <mergeCell ref="A5:B5"/>
    <mergeCell ref="I4:J4"/>
    <mergeCell ref="I5:J5"/>
    <mergeCell ref="A14:C14"/>
    <mergeCell ref="C19:D19"/>
    <mergeCell ref="C20:D20"/>
    <mergeCell ref="A18:B18"/>
    <mergeCell ref="A21:B21"/>
    <mergeCell ref="C21:D21"/>
    <mergeCell ref="A24:B24"/>
    <mergeCell ref="C18:J18"/>
    <mergeCell ref="A7:C8"/>
    <mergeCell ref="D7:H7"/>
    <mergeCell ref="A19:B19"/>
    <mergeCell ref="E19:J19"/>
    <mergeCell ref="A9:C9"/>
    <mergeCell ref="A12:C12"/>
    <mergeCell ref="A13:C13"/>
    <mergeCell ref="E24:J24"/>
    <mergeCell ref="A25:B25"/>
    <mergeCell ref="C25:D25"/>
    <mergeCell ref="A20:B20"/>
    <mergeCell ref="E20:J20"/>
    <mergeCell ref="E21:J21"/>
    <mergeCell ref="A22:B22"/>
    <mergeCell ref="C22:D22"/>
    <mergeCell ref="E22:J22"/>
    <mergeCell ref="A23:B23"/>
    <mergeCell ref="C23:D23"/>
    <mergeCell ref="E23:J23"/>
    <mergeCell ref="C24:D24"/>
    <mergeCell ref="A29:B29"/>
    <mergeCell ref="C29:D29"/>
    <mergeCell ref="E29:J29"/>
    <mergeCell ref="A30:B30"/>
    <mergeCell ref="A10:C10"/>
    <mergeCell ref="A11:C11"/>
    <mergeCell ref="A27:B27"/>
    <mergeCell ref="E25:J25"/>
    <mergeCell ref="A26:B26"/>
    <mergeCell ref="C26:D26"/>
    <mergeCell ref="E26:J26"/>
    <mergeCell ref="C27:D27"/>
    <mergeCell ref="E27:J27"/>
    <mergeCell ref="A28:B28"/>
    <mergeCell ref="C28:D28"/>
    <mergeCell ref="E28:J28"/>
    <mergeCell ref="C30:D30"/>
    <mergeCell ref="E30:J30"/>
  </mergeCells>
  <phoneticPr fontId="1" type="noConversion"/>
  <conditionalFormatting sqref="M19:M38">
    <cfRule type="cellIs" dxfId="4" priority="31" operator="equal">
      <formula>"인터뷰"</formula>
    </cfRule>
    <cfRule type="cellIs" dxfId="3" priority="32" operator="equal">
      <formula>"인터뷰"</formula>
    </cfRule>
    <cfRule type="cellIs" dxfId="2" priority="33" stopIfTrue="1" operator="equal">
      <formula>"취약"</formula>
    </cfRule>
    <cfRule type="cellIs" dxfId="1" priority="34" stopIfTrue="1" operator="equal">
      <formula>"부분만족"</formula>
    </cfRule>
    <cfRule type="cellIs" dxfId="0" priority="35" stopIfTrue="1" operator="equal">
      <formula>"N/A"</formula>
    </cfRule>
  </conditionalFormatting>
  <dataValidations disablePrompts="1" count="2">
    <dataValidation allowBlank="1" showInputMessage="1" showErrorMessage="1" errorTitle="잘못된 입력값" error="&quot;Y&quot;, &quot;N&quot;, &quot;P&quot;, &quot;N/A&quot; 로 입력해 주세요." sqref="M983005:M983077 M65501:M65573 M131037:M131109 M196573:M196645 M262109:M262181 M327645:M327717 M393181:M393253 M458717:M458789 M524253:M524325 M589789:M589861 M655325:M655397 M720861:M720933 M786397:M786469 M851933:M852005 M917469:M917541" xr:uid="{00000000-0002-0000-0E00-000000000000}"/>
    <dataValidation type="list" showInputMessage="1" showErrorMessage="1" errorTitle="잘못된 입력값" error="양호, 취약, 부분만족, N/A 만 입력 가능합니다." sqref="M19:M38" xr:uid="{00000000-0002-0000-0E00-000001000000}">
      <formula1>"양호,취약,부분만족,N/A,인터뷰"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67" fitToHeight="0" orientation="portrait" r:id="rId1"/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1"/>
  </sheetPr>
  <dimension ref="A1:G2"/>
  <sheetViews>
    <sheetView workbookViewId="0">
      <selection sqref="A1:G1"/>
    </sheetView>
  </sheetViews>
  <sheetFormatPr defaultColWidth="9" defaultRowHeight="13.5"/>
  <cols>
    <col min="1" max="16384" width="9" style="2"/>
  </cols>
  <sheetData>
    <row r="1" spans="1:7" ht="24">
      <c r="A1" s="537" t="s">
        <v>401</v>
      </c>
      <c r="B1" s="537"/>
      <c r="C1" s="537"/>
      <c r="D1" s="537"/>
      <c r="E1" s="537"/>
      <c r="F1" s="537"/>
      <c r="G1" s="537"/>
    </row>
    <row r="2" spans="1:7" ht="24">
      <c r="A2" s="170"/>
      <c r="B2" s="170"/>
      <c r="C2" s="170"/>
      <c r="D2" s="170"/>
      <c r="E2" s="170"/>
      <c r="F2" s="170"/>
      <c r="G2" s="170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17</vt:i4>
      </vt:variant>
    </vt:vector>
  </HeadingPairs>
  <TitlesOfParts>
    <vt:vector size="33" baseType="lpstr">
      <vt:lpstr>#삭제. 설명서</vt:lpstr>
      <vt:lpstr>#숨김. 클라우드관리체계 보안 가이드</vt:lpstr>
      <vt:lpstr>#숨김. 위협목록</vt:lpstr>
      <vt:lpstr>표지</vt:lpstr>
      <vt:lpstr>개정이력</vt:lpstr>
      <vt:lpstr>개요</vt:lpstr>
      <vt:lpstr>점검대상</vt:lpstr>
      <vt:lpstr>보안수준 통계</vt:lpstr>
      <vt:lpstr>요약 통계</vt:lpstr>
      <vt:lpstr>#삭제. 항목별 취약 시스템</vt:lpstr>
      <vt:lpstr>#숨김. 전년도 점검 결과</vt:lpstr>
      <vt:lpstr>결과 비교</vt:lpstr>
      <vt:lpstr>#삭제. 결과가져오기</vt:lpstr>
      <vt:lpstr>통합 점검결과</vt:lpstr>
      <vt:lpstr>클라우드관리체계(샘플)</vt:lpstr>
      <vt:lpstr>END</vt:lpstr>
      <vt:lpstr>'#삭제. 결과가져오기'!Print_Area</vt:lpstr>
      <vt:lpstr>'#삭제. 설명서'!Print_Area</vt:lpstr>
      <vt:lpstr>'#삭제. 항목별 취약 시스템'!Print_Area</vt:lpstr>
      <vt:lpstr>'#숨김. 위협목록'!Print_Area</vt:lpstr>
      <vt:lpstr>'#숨김. 전년도 점검 결과'!Print_Area</vt:lpstr>
      <vt:lpstr>'#숨김. 클라우드관리체계 보안 가이드'!Print_Area</vt:lpstr>
      <vt:lpstr>개요!Print_Area</vt:lpstr>
      <vt:lpstr>개정이력!Print_Area</vt:lpstr>
      <vt:lpstr>'결과 비교'!Print_Area</vt:lpstr>
      <vt:lpstr>'보안수준 통계'!Print_Area</vt:lpstr>
      <vt:lpstr>'요약 통계'!Print_Area</vt:lpstr>
      <vt:lpstr>점검대상!Print_Area</vt:lpstr>
      <vt:lpstr>'클라우드관리체계(샘플)'!Print_Area</vt:lpstr>
      <vt:lpstr>'통합 점검결과'!Print_Area</vt:lpstr>
      <vt:lpstr>표지!Print_Area</vt:lpstr>
      <vt:lpstr>'#숨김. 위협목록'!Print_Titles</vt:lpstr>
      <vt:lpstr>'요약 통계'!Print_Titles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ICTIS</dc:creator>
  <cp:keywords/>
  <dc:description/>
  <cp:lastModifiedBy>Lynsecure</cp:lastModifiedBy>
  <cp:revision/>
  <dcterms:created xsi:type="dcterms:W3CDTF">2017-02-20T08:28:44Z</dcterms:created>
  <dcterms:modified xsi:type="dcterms:W3CDTF">2025-04-18T08:18:02Z</dcterms:modified>
  <cp:category/>
  <cp:contentStatus/>
</cp:coreProperties>
</file>