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lms\Desktop\템플릿 프로젝트 2\이호설\취약점 진단 결과보고서\2. 전자\"/>
    </mc:Choice>
  </mc:AlternateContent>
  <xr:revisionPtr revIDLastSave="0" documentId="13_ncr:1_{2CE65108-756E-4DB9-8DC6-A378AC987026}" xr6:coauthVersionLast="47" xr6:coauthVersionMax="47" xr10:uidLastSave="{00000000-0000-0000-0000-000000000000}"/>
  <bookViews>
    <workbookView xWindow="0" yWindow="0" windowWidth="14400" windowHeight="15600" tabRatio="868" xr2:uid="{00000000-000D-0000-FFFF-FFFF00000000}"/>
  </bookViews>
  <sheets>
    <sheet name="#삭제. 설명서" sheetId="95" r:id="rId1"/>
    <sheet name="#숨김. 정보보호시스템 보안 가이드" sheetId="73" r:id="rId2"/>
    <sheet name="#숨김. 위협목록" sheetId="101" r:id="rId3"/>
    <sheet name="표지" sheetId="79" r:id="rId4"/>
    <sheet name="개정이력" sheetId="81" r:id="rId5"/>
    <sheet name="개요" sheetId="100" r:id="rId6"/>
    <sheet name="점검대상" sheetId="66" r:id="rId7"/>
    <sheet name="보안수준 통계" sheetId="69" r:id="rId8"/>
    <sheet name="요약 통계" sheetId="67" r:id="rId9"/>
    <sheet name="#삭제. 항목별 취약 시스템" sheetId="68" r:id="rId10"/>
    <sheet name="#숨김. 전년도 점검 결과" sheetId="70" r:id="rId11"/>
    <sheet name="결과 비교" sheetId="71" r:id="rId12"/>
    <sheet name="#삭제. 결과가져오기" sheetId="83" r:id="rId13"/>
    <sheet name="통합 점검결과" sheetId="84" r:id="rId14"/>
    <sheet name="SS(샘플)" sheetId="74" r:id="rId15"/>
    <sheet name="END" sheetId="78" state="hidden" r:id="rId16"/>
  </sheets>
  <externalReferences>
    <externalReference r:id="rId17"/>
  </externalReferences>
  <definedNames>
    <definedName name="_001전체이행V점수" comment="AH열 관련 indirect-&gt;수정후V">INDIRECT("'05.취약점 분석평가 (진단결과_통합)'!$V$6:$V$"&amp;"1048576")</definedName>
    <definedName name="_001전체최초T점수" comment="AF열 관련 indirect-&gt;수정후T">INDIRECT("'05.취약점 분석평가 (진단결과_통합)'!$T$6:$T$"&amp;"1048576")</definedName>
    <definedName name="_002최초U점수" comment="AG열 관련 indirect-&gt;수정후U">INDIRECT("'05.취약점 분석평가 (진단결과_통합)'!$U$6:$U$"&amp;"1048576")</definedName>
    <definedName name="_003이행W점수" comment="AI열 관련 indirect-&gt;수정후W">INDIRECT("'05.취약점 분석평가 (진단결과_통합)'!$W$6:$W$"&amp;"1048576")</definedName>
    <definedName name="_004호스트명A확인" comment="호스트명확인">INDIRECT("'05.취약점 분석평가 (진단결과_통합)'!$A$6:$A$"&amp;"1048576")</definedName>
    <definedName name="_005구분E확인" comment="구분확인">INDIRECT("'05.취약점 분석평가 (진단결과_통합)'!$E$6:$E$"&amp;"1048576")</definedName>
    <definedName name="_006호스트넘버B확인" comment="호스트넘버B확인">INDIRECT("'05.취약점 분석평가 (진단결과_통합)'!$B$6:$B$"&amp;"1048576")</definedName>
    <definedName name="_007최초I진단결과" comment="최초진단결과">INDIRECT("'05.취약점 분석평가 (진단결과_통합)'!$I$6:$I$"&amp;"1048576")</definedName>
    <definedName name="_008이행K진단결과" comment="이행진단결과">INDIRECT("'05.취약점 분석평가 (진단결과_통합)'!$K$6:$K$"&amp;"1048576")</definedName>
    <definedName name="_xlnm._FilterDatabase" localSheetId="12" hidden="1">'#삭제. 결과가져오기'!$A$6:$N$48</definedName>
    <definedName name="_xlnm._FilterDatabase" localSheetId="0" hidden="1">'#삭제. 설명서'!$B$80:$O$100</definedName>
    <definedName name="_xlnm._FilterDatabase" localSheetId="1" hidden="1">'#숨김. 정보보호시스템 보안 가이드'!$A$5:$V$47</definedName>
    <definedName name="_xlnm._FilterDatabase" localSheetId="8" hidden="1">'요약 통계'!$A$5:$Q$48</definedName>
    <definedName name="_xlnm._FilterDatabase" localSheetId="13" hidden="1">'통합 점검결과'!$A$5:$P$6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" "</definedName>
    <definedName name="_xlnm.Print_Area" localSheetId="12">'#삭제. 결과가져오기'!$A$1:$N$48</definedName>
    <definedName name="_xlnm.Print_Area" localSheetId="0">'#삭제. 설명서'!$A$1:$P$101</definedName>
    <definedName name="_xlnm.Print_Area" localSheetId="9">'#삭제. 항목별 취약 시스템'!$A$1:$D$47</definedName>
    <definedName name="_xlnm.Print_Area" localSheetId="2">'#숨김. 위협목록'!$A$1:$M$96</definedName>
    <definedName name="_xlnm.Print_Area" localSheetId="10">'#숨김. 전년도 점검 결과'!$A$1:$N$48</definedName>
    <definedName name="_xlnm.Print_Area" localSheetId="1">'#숨김. 정보보호시스템 보안 가이드'!$A$1:$V$47</definedName>
    <definedName name="_xlnm.Print_Area" localSheetId="5">개요!$A$1:$Q$65</definedName>
    <definedName name="_xlnm.Print_Area" localSheetId="4">개정이력!$A$1:$Q$44</definedName>
    <definedName name="_xlnm.Print_Area" localSheetId="11">'결과 비교'!$A$1:$N$48</definedName>
    <definedName name="_xlnm.Print_Area" localSheetId="7">'보안수준 통계'!$A$1:$J$42</definedName>
    <definedName name="_xlnm.Print_Area" localSheetId="8">'요약 통계'!$A$1:$N$48</definedName>
    <definedName name="_xlnm.Print_Area" localSheetId="6">점검대상!$A$1:$L$29</definedName>
    <definedName name="_xlnm.Print_Area" localSheetId="13">'통합 점검결과'!$A$1:$P$6</definedName>
    <definedName name="_xlnm.Print_Area" localSheetId="3">표지!$A$1:$Q$54</definedName>
    <definedName name="_xlnm.Print_Titles" localSheetId="2">'#숨김. 위협목록'!$1:$2</definedName>
    <definedName name="_xlnm.Print_Titles" localSheetId="8">'요약 통계'!$A:$C</definedName>
    <definedName name="ㅁㅁ" hidden="1">REPT(LOCAL_YEAR_FORMAT,4)&amp;LOCAL_DATE_SEPARATOR&amp;REPT(LOCAL_MONTH_FORMAT,2)&amp;LOCAL_DATE_SEPARATOR&amp;REPT(LOCAL_DAY_FORMAT,2)&amp;" "&amp;REPT(LOCAL_HOUR_FORMAT,2)&amp;LOCAL_TIME_SEPARATOR&amp;REPT(LOCAL_MINUTE_FORMAT,2)&amp;LOCAL_TIME_SEPARATOR&amp;REPT([0]!LOCAL_SECOND_FORMAT,2)</definedName>
    <definedName name="ㅁㅁㅁㅁ">'[1]#정보보호점검항목'!#REF!</definedName>
    <definedName name="이력관리팀">" "</definedName>
    <definedName name="ㅠ1">'[1]#정보보호점검항목'!#REF!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96" i="101" l="1"/>
  <c r="H96" i="101"/>
  <c r="J96" i="101" s="1"/>
  <c r="I95" i="101"/>
  <c r="H95" i="101"/>
  <c r="J95" i="101" s="1"/>
  <c r="K95" i="101" s="1"/>
  <c r="I94" i="101"/>
  <c r="H94" i="101"/>
  <c r="I93" i="101"/>
  <c r="H93" i="101"/>
  <c r="I92" i="101"/>
  <c r="H92" i="101"/>
  <c r="I91" i="101"/>
  <c r="J91" i="101" s="1"/>
  <c r="H91" i="101"/>
  <c r="J90" i="101"/>
  <c r="L90" i="101" s="1"/>
  <c r="I90" i="101"/>
  <c r="H90" i="101"/>
  <c r="I89" i="101"/>
  <c r="H89" i="101"/>
  <c r="J89" i="101" s="1"/>
  <c r="K89" i="101" s="1"/>
  <c r="I88" i="101"/>
  <c r="J88" i="101" s="1"/>
  <c r="H88" i="101"/>
  <c r="J87" i="101"/>
  <c r="K87" i="101" s="1"/>
  <c r="I87" i="101"/>
  <c r="H87" i="101"/>
  <c r="L86" i="101"/>
  <c r="K86" i="101"/>
  <c r="L85" i="101"/>
  <c r="K85" i="101"/>
  <c r="J84" i="101"/>
  <c r="L84" i="101" s="1"/>
  <c r="I84" i="101"/>
  <c r="H84" i="101"/>
  <c r="I83" i="101"/>
  <c r="H83" i="101"/>
  <c r="J83" i="101" s="1"/>
  <c r="I82" i="101"/>
  <c r="J82" i="101" s="1"/>
  <c r="H82" i="101"/>
  <c r="I81" i="101"/>
  <c r="H81" i="101"/>
  <c r="J81" i="101" s="1"/>
  <c r="K81" i="101" s="1"/>
  <c r="I80" i="101"/>
  <c r="H80" i="101"/>
  <c r="I79" i="101"/>
  <c r="H79" i="101"/>
  <c r="J79" i="101" s="1"/>
  <c r="K79" i="101" s="1"/>
  <c r="I78" i="101"/>
  <c r="H78" i="101"/>
  <c r="I77" i="101"/>
  <c r="H77" i="101"/>
  <c r="I76" i="101"/>
  <c r="H76" i="101"/>
  <c r="J76" i="101" s="1"/>
  <c r="I75" i="101"/>
  <c r="H75" i="101"/>
  <c r="I74" i="101"/>
  <c r="H74" i="101"/>
  <c r="I73" i="101"/>
  <c r="H73" i="101"/>
  <c r="J73" i="101" s="1"/>
  <c r="K73" i="101" s="1"/>
  <c r="I72" i="101"/>
  <c r="H72" i="101"/>
  <c r="I71" i="101"/>
  <c r="H71" i="101"/>
  <c r="L70" i="101"/>
  <c r="K70" i="101"/>
  <c r="L69" i="101"/>
  <c r="K69" i="101"/>
  <c r="L68" i="101"/>
  <c r="K68" i="101"/>
  <c r="L67" i="101"/>
  <c r="K67" i="101"/>
  <c r="L66" i="101"/>
  <c r="K66" i="101"/>
  <c r="L65" i="101"/>
  <c r="K65" i="101"/>
  <c r="L64" i="101"/>
  <c r="K64" i="101"/>
  <c r="L63" i="101"/>
  <c r="K63" i="101"/>
  <c r="L62" i="101"/>
  <c r="K62" i="101"/>
  <c r="L61" i="101"/>
  <c r="K61" i="101"/>
  <c r="I60" i="101"/>
  <c r="H60" i="101"/>
  <c r="J59" i="101"/>
  <c r="K59" i="101" s="1"/>
  <c r="I59" i="101"/>
  <c r="H59" i="101"/>
  <c r="I58" i="101"/>
  <c r="H58" i="101"/>
  <c r="J58" i="101" s="1"/>
  <c r="L58" i="101" s="1"/>
  <c r="I57" i="101"/>
  <c r="H57" i="101"/>
  <c r="I56" i="101"/>
  <c r="H56" i="101"/>
  <c r="I55" i="101"/>
  <c r="H55" i="101"/>
  <c r="J55" i="101" s="1"/>
  <c r="J54" i="101"/>
  <c r="L54" i="101" s="1"/>
  <c r="I54" i="101"/>
  <c r="H54" i="101"/>
  <c r="I53" i="101"/>
  <c r="H53" i="101"/>
  <c r="I52" i="101"/>
  <c r="H52" i="101"/>
  <c r="J52" i="101" s="1"/>
  <c r="I51" i="101"/>
  <c r="J51" i="101" s="1"/>
  <c r="K51" i="101" s="1"/>
  <c r="H51" i="101"/>
  <c r="I50" i="101"/>
  <c r="H50" i="101"/>
  <c r="I49" i="101"/>
  <c r="H49" i="101"/>
  <c r="J49" i="101" s="1"/>
  <c r="K49" i="101" s="1"/>
  <c r="I48" i="101"/>
  <c r="H48" i="101"/>
  <c r="J48" i="101" s="1"/>
  <c r="L48" i="101" s="1"/>
  <c r="J47" i="101"/>
  <c r="I47" i="101"/>
  <c r="H47" i="101"/>
  <c r="I46" i="101"/>
  <c r="H46" i="101"/>
  <c r="J46" i="101" s="1"/>
  <c r="I45" i="101"/>
  <c r="J45" i="101" s="1"/>
  <c r="K45" i="101" s="1"/>
  <c r="H45" i="101"/>
  <c r="I44" i="101"/>
  <c r="H44" i="101"/>
  <c r="J44" i="101" s="1"/>
  <c r="I43" i="101"/>
  <c r="H43" i="101"/>
  <c r="J43" i="101" s="1"/>
  <c r="K43" i="101" s="1"/>
  <c r="I42" i="101"/>
  <c r="H42" i="101"/>
  <c r="I41" i="101"/>
  <c r="H41" i="101"/>
  <c r="I40" i="101"/>
  <c r="H40" i="101"/>
  <c r="I39" i="101"/>
  <c r="H39" i="101"/>
  <c r="J38" i="101"/>
  <c r="L38" i="101" s="1"/>
  <c r="I38" i="101"/>
  <c r="H38" i="101"/>
  <c r="I37" i="101"/>
  <c r="H37" i="101"/>
  <c r="I36" i="101"/>
  <c r="J36" i="101" s="1"/>
  <c r="H36" i="101"/>
  <c r="L35" i="101"/>
  <c r="K35" i="101"/>
  <c r="I34" i="101"/>
  <c r="H34" i="101"/>
  <c r="I33" i="101"/>
  <c r="H33" i="101"/>
  <c r="I32" i="101"/>
  <c r="H32" i="101"/>
  <c r="J32" i="101" s="1"/>
  <c r="I31" i="101"/>
  <c r="H31" i="101"/>
  <c r="J31" i="101" s="1"/>
  <c r="I30" i="101"/>
  <c r="H30" i="101"/>
  <c r="J30" i="101" s="1"/>
  <c r="K30" i="101" s="1"/>
  <c r="I29" i="101"/>
  <c r="H29" i="101"/>
  <c r="I28" i="101"/>
  <c r="J28" i="101" s="1"/>
  <c r="H28" i="101"/>
  <c r="L27" i="101"/>
  <c r="K27" i="101"/>
  <c r="L26" i="101"/>
  <c r="K26" i="101"/>
  <c r="L25" i="101"/>
  <c r="K25" i="101"/>
  <c r="L24" i="101"/>
  <c r="K24" i="101"/>
  <c r="L23" i="101"/>
  <c r="K23" i="101"/>
  <c r="L22" i="101"/>
  <c r="K22" i="101"/>
  <c r="L21" i="101"/>
  <c r="K21" i="101"/>
  <c r="L20" i="101"/>
  <c r="K20" i="101"/>
  <c r="L19" i="101"/>
  <c r="K19" i="101"/>
  <c r="L18" i="101"/>
  <c r="K18" i="101"/>
  <c r="L17" i="101"/>
  <c r="K17" i="101"/>
  <c r="L16" i="101"/>
  <c r="K16" i="101"/>
  <c r="L15" i="101"/>
  <c r="K15" i="101"/>
  <c r="L14" i="101"/>
  <c r="K14" i="101"/>
  <c r="L13" i="101"/>
  <c r="K13" i="101"/>
  <c r="I12" i="101"/>
  <c r="H12" i="101"/>
  <c r="I11" i="101"/>
  <c r="H11" i="101"/>
  <c r="J11" i="101" s="1"/>
  <c r="I10" i="101"/>
  <c r="H10" i="101"/>
  <c r="L9" i="101"/>
  <c r="I9" i="101"/>
  <c r="H9" i="101"/>
  <c r="J9" i="101" s="1"/>
  <c r="K9" i="101" s="1"/>
  <c r="I8" i="101"/>
  <c r="H8" i="101"/>
  <c r="J8" i="101" s="1"/>
  <c r="L8" i="101" s="1"/>
  <c r="I7" i="101"/>
  <c r="H7" i="101"/>
  <c r="J6" i="101"/>
  <c r="L6" i="101" s="1"/>
  <c r="I6" i="101"/>
  <c r="H6" i="101"/>
  <c r="I5" i="101"/>
  <c r="H5" i="101"/>
  <c r="J5" i="101" s="1"/>
  <c r="I4" i="101"/>
  <c r="H4" i="101"/>
  <c r="I3" i="101"/>
  <c r="H3" i="101"/>
  <c r="J3" i="101" s="1"/>
  <c r="K3" i="101" s="1"/>
  <c r="L76" i="101" l="1"/>
  <c r="K76" i="101"/>
  <c r="K28" i="101"/>
  <c r="L28" i="101"/>
  <c r="L46" i="101"/>
  <c r="K46" i="101"/>
  <c r="K11" i="101"/>
  <c r="L11" i="101"/>
  <c r="L31" i="101"/>
  <c r="K31" i="101"/>
  <c r="J29" i="101"/>
  <c r="K38" i="101"/>
  <c r="K54" i="101"/>
  <c r="J39" i="101"/>
  <c r="J92" i="101"/>
  <c r="L92" i="101" s="1"/>
  <c r="J12" i="101"/>
  <c r="K12" i="101" s="1"/>
  <c r="J33" i="101"/>
  <c r="L33" i="101" s="1"/>
  <c r="J37" i="101"/>
  <c r="K37" i="101" s="1"/>
  <c r="J53" i="101"/>
  <c r="J71" i="101"/>
  <c r="J74" i="101"/>
  <c r="J77" i="101"/>
  <c r="J93" i="101"/>
  <c r="K93" i="101" s="1"/>
  <c r="K6" i="101"/>
  <c r="J10" i="101"/>
  <c r="L10" i="101" s="1"/>
  <c r="J34" i="101"/>
  <c r="K34" i="101" s="1"/>
  <c r="J41" i="101"/>
  <c r="K41" i="101" s="1"/>
  <c r="J57" i="101"/>
  <c r="J60" i="101"/>
  <c r="J75" i="101"/>
  <c r="L75" i="101" s="1"/>
  <c r="K84" i="101"/>
  <c r="K90" i="101"/>
  <c r="J7" i="101"/>
  <c r="K7" i="101" s="1"/>
  <c r="J72" i="101"/>
  <c r="L72" i="101" s="1"/>
  <c r="K53" i="101"/>
  <c r="L53" i="101"/>
  <c r="K77" i="101"/>
  <c r="L77" i="101"/>
  <c r="K75" i="101"/>
  <c r="K5" i="101"/>
  <c r="L5" i="101"/>
  <c r="K39" i="101"/>
  <c r="L39" i="101"/>
  <c r="K55" i="101"/>
  <c r="L55" i="101"/>
  <c r="K83" i="101"/>
  <c r="L83" i="101"/>
  <c r="L81" i="101"/>
  <c r="L79" i="101"/>
  <c r="L36" i="101"/>
  <c r="K36" i="101"/>
  <c r="L43" i="101"/>
  <c r="K48" i="101"/>
  <c r="J56" i="101"/>
  <c r="K58" i="101"/>
  <c r="K72" i="101"/>
  <c r="J80" i="101"/>
  <c r="L82" i="101"/>
  <c r="K82" i="101"/>
  <c r="L87" i="101"/>
  <c r="K91" i="101"/>
  <c r="L91" i="101"/>
  <c r="L45" i="101"/>
  <c r="K33" i="101"/>
  <c r="L41" i="101"/>
  <c r="J42" i="101"/>
  <c r="L51" i="101"/>
  <c r="J78" i="101"/>
  <c r="L88" i="101"/>
  <c r="K88" i="101"/>
  <c r="L95" i="101"/>
  <c r="K47" i="101"/>
  <c r="L47" i="101"/>
  <c r="L60" i="101"/>
  <c r="K60" i="101"/>
  <c r="L74" i="101"/>
  <c r="K74" i="101"/>
  <c r="K32" i="101"/>
  <c r="L32" i="101"/>
  <c r="L89" i="101"/>
  <c r="L30" i="101"/>
  <c r="K10" i="101"/>
  <c r="K8" i="101"/>
  <c r="L29" i="101"/>
  <c r="K29" i="101"/>
  <c r="L49" i="101"/>
  <c r="L93" i="101"/>
  <c r="L96" i="101"/>
  <c r="K96" i="101"/>
  <c r="L44" i="101"/>
  <c r="K44" i="101"/>
  <c r="L3" i="101"/>
  <c r="L52" i="101"/>
  <c r="K52" i="101"/>
  <c r="J4" i="101"/>
  <c r="L34" i="101"/>
  <c r="J40" i="101"/>
  <c r="J50" i="101"/>
  <c r="L59" i="101"/>
  <c r="L73" i="101"/>
  <c r="J94" i="101"/>
  <c r="L12" i="101" l="1"/>
  <c r="K92" i="101"/>
  <c r="L7" i="101"/>
  <c r="L37" i="101"/>
  <c r="K57" i="101"/>
  <c r="L57" i="101"/>
  <c r="K71" i="101"/>
  <c r="L71" i="101"/>
  <c r="L42" i="101"/>
  <c r="K42" i="101"/>
  <c r="L56" i="101"/>
  <c r="K56" i="101"/>
  <c r="L94" i="101"/>
  <c r="K94" i="101"/>
  <c r="L80" i="101"/>
  <c r="K80" i="101"/>
  <c r="L50" i="101"/>
  <c r="K50" i="101"/>
  <c r="L40" i="101"/>
  <c r="K40" i="101"/>
  <c r="L78" i="101"/>
  <c r="K78" i="101"/>
  <c r="L4" i="101"/>
  <c r="K4" i="101"/>
  <c r="A29" i="66" l="1"/>
  <c r="A28" i="66"/>
  <c r="A27" i="66"/>
  <c r="A26" i="66"/>
  <c r="A25" i="66"/>
  <c r="A24" i="66"/>
  <c r="A23" i="66"/>
  <c r="A22" i="66"/>
  <c r="A21" i="66"/>
  <c r="A20" i="66"/>
  <c r="A19" i="66"/>
  <c r="A18" i="66"/>
  <c r="A17" i="66"/>
  <c r="A16" i="66"/>
  <c r="A15" i="66"/>
  <c r="A14" i="66"/>
  <c r="A13" i="66"/>
  <c r="A12" i="66"/>
  <c r="A11" i="66"/>
  <c r="A10" i="66"/>
  <c r="A9" i="66"/>
  <c r="A8" i="66"/>
  <c r="A7" i="66"/>
  <c r="R2" i="74" l="1"/>
  <c r="A39" i="69"/>
  <c r="A40" i="69"/>
  <c r="A41" i="69"/>
  <c r="N62" i="70" l="1"/>
  <c r="M62" i="70"/>
  <c r="L62" i="70"/>
  <c r="J62" i="70" s="1"/>
  <c r="N61" i="70"/>
  <c r="M61" i="70"/>
  <c r="L61" i="70"/>
  <c r="N60" i="70"/>
  <c r="M60" i="70"/>
  <c r="L60" i="70"/>
  <c r="N59" i="70"/>
  <c r="M59" i="70"/>
  <c r="L59" i="70"/>
  <c r="J59" i="70" s="1"/>
  <c r="N58" i="70"/>
  <c r="M58" i="70"/>
  <c r="L58" i="70"/>
  <c r="J58" i="70" s="1"/>
  <c r="N57" i="70"/>
  <c r="M57" i="70"/>
  <c r="L57" i="70"/>
  <c r="J57" i="70" s="1"/>
  <c r="N56" i="70"/>
  <c r="M56" i="70"/>
  <c r="L56" i="70"/>
  <c r="J56" i="70" s="1"/>
  <c r="N55" i="70"/>
  <c r="M55" i="70"/>
  <c r="L55" i="70"/>
  <c r="J55" i="70" s="1"/>
  <c r="N54" i="70"/>
  <c r="M54" i="70"/>
  <c r="L54" i="70"/>
  <c r="N52" i="70"/>
  <c r="M52" i="70"/>
  <c r="L52" i="70"/>
  <c r="J52" i="70" s="1"/>
  <c r="N51" i="70"/>
  <c r="M51" i="70"/>
  <c r="L51" i="70"/>
  <c r="N50" i="70"/>
  <c r="M50" i="70"/>
  <c r="L50" i="70"/>
  <c r="J50" i="70" s="1"/>
  <c r="J61" i="70" l="1"/>
  <c r="J54" i="70"/>
  <c r="J51" i="70"/>
  <c r="J60" i="70"/>
  <c r="E48" i="67"/>
  <c r="M4" i="67"/>
  <c r="N4" i="67"/>
  <c r="L4" i="67"/>
  <c r="N4" i="71" l="1"/>
  <c r="N4" i="70"/>
  <c r="L4" i="71"/>
  <c r="L4" i="70"/>
  <c r="M4" i="71"/>
  <c r="M4" i="70"/>
  <c r="K4" i="70"/>
  <c r="A11" i="74"/>
  <c r="A10" i="74"/>
  <c r="A9" i="74"/>
  <c r="A5" i="74"/>
  <c r="A6" i="84"/>
  <c r="O6" i="84" s="1"/>
  <c r="N48" i="70"/>
  <c r="M48" i="70"/>
  <c r="L48" i="70"/>
  <c r="K29" i="66"/>
  <c r="K28" i="66"/>
  <c r="K27" i="66"/>
  <c r="K26" i="66"/>
  <c r="K25" i="66"/>
  <c r="K24" i="66"/>
  <c r="K23" i="66"/>
  <c r="K22" i="66"/>
  <c r="K21" i="66"/>
  <c r="K20" i="66"/>
  <c r="K19" i="66"/>
  <c r="K18" i="66"/>
  <c r="K17" i="66"/>
  <c r="K16" i="66"/>
  <c r="K15" i="66"/>
  <c r="K14" i="66"/>
  <c r="K13" i="66"/>
  <c r="K12" i="66"/>
  <c r="K11" i="66"/>
  <c r="K10" i="66"/>
  <c r="K9" i="66"/>
  <c r="K7" i="66"/>
  <c r="J6" i="84" l="1"/>
  <c r="I6" i="84"/>
  <c r="F12" i="69" s="1"/>
  <c r="K6" i="84"/>
  <c r="L6" i="84"/>
  <c r="C5" i="69"/>
  <c r="D11" i="74"/>
  <c r="D9" i="74"/>
  <c r="D10" i="74"/>
  <c r="K5" i="74"/>
  <c r="I5" i="74"/>
  <c r="N5" i="74"/>
  <c r="H6" i="84"/>
  <c r="G6" i="84"/>
  <c r="F6" i="84"/>
  <c r="E6" i="84"/>
  <c r="D6" i="84"/>
  <c r="B6" i="84"/>
  <c r="M17" i="74" s="1" a="1"/>
  <c r="M17" i="74" s="1"/>
  <c r="C6" i="84"/>
  <c r="G5" i="74"/>
  <c r="E5" i="74"/>
  <c r="E13" i="69"/>
  <c r="G13" i="69"/>
  <c r="C12" i="69"/>
  <c r="E12" i="69"/>
  <c r="G12" i="69"/>
  <c r="E48" i="71"/>
  <c r="E48" i="70"/>
  <c r="C5" i="74"/>
  <c r="R17" i="74" l="1" a="1"/>
  <c r="R17" i="74" s="1"/>
  <c r="D12" i="74"/>
  <c r="R26" i="74" a="1"/>
  <c r="R26" i="74" s="1"/>
  <c r="R25" i="74" a="1"/>
  <c r="R25" i="74" s="1"/>
  <c r="R58" i="74" a="1"/>
  <c r="R58" i="74" s="1"/>
  <c r="R48" i="74" a="1"/>
  <c r="R48" i="74" s="1"/>
  <c r="R32" i="74" a="1"/>
  <c r="R32" i="74" s="1"/>
  <c r="R57" i="74" a="1"/>
  <c r="R57" i="74" s="1"/>
  <c r="R40" i="74" a="1"/>
  <c r="R40" i="74" s="1"/>
  <c r="R45" i="74" a="1"/>
  <c r="R45" i="74" s="1"/>
  <c r="R24" i="74" a="1"/>
  <c r="R24" i="74" s="1"/>
  <c r="R37" i="74" a="1"/>
  <c r="R37" i="74" s="1"/>
  <c r="R47" i="74" a="1"/>
  <c r="R47" i="74" s="1"/>
  <c r="R21" i="74" a="1"/>
  <c r="R21" i="74" s="1"/>
  <c r="R39" i="74" a="1"/>
  <c r="R39" i="74" s="1"/>
  <c r="R50" i="74" a="1"/>
  <c r="R50" i="74" s="1"/>
  <c r="R55" i="74" a="1"/>
  <c r="R55" i="74" s="1"/>
  <c r="R28" i="74" a="1"/>
  <c r="R28" i="74" s="1"/>
  <c r="R31" i="74" a="1"/>
  <c r="R31" i="74" s="1"/>
  <c r="R52" i="74" a="1"/>
  <c r="R52" i="74" s="1"/>
  <c r="R23" i="74" a="1"/>
  <c r="R23" i="74" s="1"/>
  <c r="R36" i="74" a="1"/>
  <c r="R36" i="74" s="1"/>
  <c r="R42" i="74" a="1"/>
  <c r="R42" i="74" s="1"/>
  <c r="R49" i="74" a="1"/>
  <c r="R49" i="74" s="1"/>
  <c r="R20" i="74" a="1"/>
  <c r="R20" i="74" s="1"/>
  <c r="R38" i="74" a="1"/>
  <c r="R38" i="74" s="1"/>
  <c r="R51" i="74" a="1"/>
  <c r="R51" i="74" s="1"/>
  <c r="R41" i="74" a="1"/>
  <c r="R41" i="74" s="1"/>
  <c r="R22" i="74" a="1"/>
  <c r="R22" i="74" s="1"/>
  <c r="R35" i="74" a="1"/>
  <c r="R35" i="74" s="1"/>
  <c r="R46" i="74" a="1"/>
  <c r="R46" i="74" s="1"/>
  <c r="R27" i="74" a="1"/>
  <c r="R27" i="74" s="1"/>
  <c r="R30" i="74" a="1"/>
  <c r="R30" i="74" s="1"/>
  <c r="R44" i="74" a="1"/>
  <c r="R44" i="74" s="1"/>
  <c r="R33" i="74" a="1"/>
  <c r="R33" i="74" s="1"/>
  <c r="R54" i="74" a="1"/>
  <c r="R54" i="74" s="1"/>
  <c r="R43" i="74" a="1"/>
  <c r="R43" i="74" s="1"/>
  <c r="R53" i="74" a="1"/>
  <c r="R53" i="74" s="1"/>
  <c r="R19" i="74" a="1"/>
  <c r="R19" i="74" s="1"/>
  <c r="R29" i="74" a="1"/>
  <c r="R29" i="74" s="1"/>
  <c r="R34" i="74" a="1"/>
  <c r="R34" i="74" s="1"/>
  <c r="R56" i="74" a="1"/>
  <c r="R56" i="74" s="1"/>
  <c r="R18" i="74" a="1"/>
  <c r="R18" i="74" s="1"/>
  <c r="G11" i="69"/>
  <c r="F11" i="69"/>
  <c r="E11" i="69"/>
  <c r="C11" i="69"/>
  <c r="H39" i="69"/>
  <c r="I39" i="69"/>
  <c r="C39" i="69"/>
  <c r="G39" i="69"/>
  <c r="F39" i="69"/>
  <c r="E39" i="69"/>
  <c r="H40" i="69"/>
  <c r="H41" i="69"/>
  <c r="J41" i="69" s="1"/>
  <c r="I41" i="69"/>
  <c r="I40" i="69"/>
  <c r="M47" i="67" a="1"/>
  <c r="M47" i="67" s="1"/>
  <c r="M28" i="67" a="1"/>
  <c r="M28" i="67" s="1"/>
  <c r="M17" i="67" a="1"/>
  <c r="M17" i="67" s="1"/>
  <c r="M23" i="67" a="1"/>
  <c r="M23" i="67" s="1"/>
  <c r="M12" i="67" a="1"/>
  <c r="M12" i="67" s="1"/>
  <c r="M9" i="67" a="1"/>
  <c r="M9" i="67" s="1"/>
  <c r="M13" i="67" a="1"/>
  <c r="M13" i="67" s="1"/>
  <c r="M35" i="67" a="1"/>
  <c r="M35" i="67" s="1"/>
  <c r="M40" i="67" a="1"/>
  <c r="M40" i="67" s="1"/>
  <c r="M38" i="67" a="1"/>
  <c r="M38" i="67" s="1"/>
  <c r="M19" i="67" a="1"/>
  <c r="M19" i="67" s="1"/>
  <c r="M22" i="67" a="1"/>
  <c r="M22" i="67" s="1"/>
  <c r="M10" i="67" a="1"/>
  <c r="M10" i="67" s="1"/>
  <c r="M14" i="67" a="1"/>
  <c r="M14" i="67" s="1"/>
  <c r="M43" i="67" a="1"/>
  <c r="M43" i="67" s="1"/>
  <c r="M46" i="67" a="1"/>
  <c r="M46" i="67" s="1"/>
  <c r="M27" i="67" a="1"/>
  <c r="M27" i="67" s="1"/>
  <c r="M30" i="67" a="1"/>
  <c r="M30" i="67" s="1"/>
  <c r="M11" i="67" a="1"/>
  <c r="M11" i="67" s="1"/>
  <c r="M32" i="67" a="1"/>
  <c r="M32" i="67" s="1"/>
  <c r="M37" i="67" a="1"/>
  <c r="M37" i="67" s="1"/>
  <c r="M34" i="67" a="1"/>
  <c r="M34" i="67" s="1"/>
  <c r="M15" i="67" a="1"/>
  <c r="M15" i="67" s="1"/>
  <c r="M29" i="67" a="1"/>
  <c r="M29" i="67" s="1"/>
  <c r="M26" i="67" a="1"/>
  <c r="M26" i="67" s="1"/>
  <c r="M39" i="67" a="1"/>
  <c r="M39" i="67" s="1"/>
  <c r="M45" i="67" a="1"/>
  <c r="M45" i="67" s="1"/>
  <c r="M16" i="67" a="1"/>
  <c r="M16" i="67" s="1"/>
  <c r="M21" i="67" a="1"/>
  <c r="M21" i="67" s="1"/>
  <c r="M42" i="67" a="1"/>
  <c r="M42" i="67" s="1"/>
  <c r="M31" i="67" a="1"/>
  <c r="M31" i="67" s="1"/>
  <c r="M36" i="67" a="1"/>
  <c r="M36" i="67" s="1"/>
  <c r="M18" i="67" a="1"/>
  <c r="M18" i="67" s="1"/>
  <c r="M41" i="67" a="1"/>
  <c r="M41" i="67" s="1"/>
  <c r="M20" i="67" a="1"/>
  <c r="M20" i="67" s="1"/>
  <c r="M33" i="67" a="1"/>
  <c r="M33" i="67" s="1"/>
  <c r="M24" i="67" a="1"/>
  <c r="M24" i="67" s="1"/>
  <c r="M7" i="67" a="1"/>
  <c r="M7" i="67" s="1"/>
  <c r="M25" i="67" a="1"/>
  <c r="M25" i="67" s="1"/>
  <c r="M44" i="67" a="1"/>
  <c r="M44" i="67" s="1"/>
  <c r="M8" i="67" a="1"/>
  <c r="M8" i="67" s="1"/>
  <c r="M6" i="67" a="1"/>
  <c r="M6" i="67" s="1"/>
  <c r="M28" i="74" a="1"/>
  <c r="M28" i="74" s="1"/>
  <c r="L28" i="74" s="1"/>
  <c r="M48" i="74" a="1"/>
  <c r="M48" i="74" s="1"/>
  <c r="L48" i="74" s="1"/>
  <c r="N56" i="74" a="1"/>
  <c r="N56" i="74" s="1"/>
  <c r="N57" i="74" a="1"/>
  <c r="N57" i="74" s="1"/>
  <c r="N26" i="74" a="1"/>
  <c r="N26" i="74" s="1"/>
  <c r="M19" i="74" a="1"/>
  <c r="M19" i="74" s="1"/>
  <c r="L19" i="74" s="1"/>
  <c r="M36" i="74" a="1"/>
  <c r="M36" i="74" s="1"/>
  <c r="L36" i="74" s="1"/>
  <c r="M52" i="74" a="1"/>
  <c r="M52" i="74" s="1"/>
  <c r="L52" i="74" s="1"/>
  <c r="M21" i="74" a="1"/>
  <c r="M21" i="74" s="1"/>
  <c r="N25" i="74" a="1"/>
  <c r="N25" i="74" s="1"/>
  <c r="N34" i="74" a="1"/>
  <c r="N34" i="74" s="1"/>
  <c r="M27" i="74" a="1"/>
  <c r="M27" i="74" s="1"/>
  <c r="L27" i="74" s="1"/>
  <c r="M20" i="74" a="1"/>
  <c r="M20" i="74" s="1"/>
  <c r="L20" i="74" s="1"/>
  <c r="M29" i="74" a="1"/>
  <c r="M29" i="74" s="1"/>
  <c r="L29" i="74" s="1"/>
  <c r="N33" i="74" a="1"/>
  <c r="N33" i="74" s="1"/>
  <c r="N42" i="74" a="1"/>
  <c r="N42" i="74" s="1"/>
  <c r="M35" i="74" a="1"/>
  <c r="M35" i="74" s="1"/>
  <c r="L35" i="74" s="1"/>
  <c r="M32" i="74" a="1"/>
  <c r="M32" i="74" s="1"/>
  <c r="L32" i="74" s="1"/>
  <c r="M37" i="74" a="1"/>
  <c r="M37" i="74" s="1"/>
  <c r="L37" i="74" s="1"/>
  <c r="N41" i="74" a="1"/>
  <c r="N41" i="74" s="1"/>
  <c r="N50" i="74" a="1"/>
  <c r="N50" i="74" s="1"/>
  <c r="M43" i="74" a="1"/>
  <c r="M43" i="74" s="1"/>
  <c r="L43" i="74" s="1"/>
  <c r="M40" i="74" a="1"/>
  <c r="M40" i="74" s="1"/>
  <c r="L40" i="74" s="1"/>
  <c r="M41" i="74" a="1"/>
  <c r="M41" i="74" s="1"/>
  <c r="L41" i="74" s="1"/>
  <c r="N49" i="74" a="1"/>
  <c r="N49" i="74" s="1"/>
  <c r="N58" i="74" a="1"/>
  <c r="N58" i="74" s="1"/>
  <c r="M51" i="74" a="1"/>
  <c r="M51" i="74" s="1"/>
  <c r="L51" i="74" s="1"/>
  <c r="M44" i="74" a="1"/>
  <c r="M44" i="74" s="1"/>
  <c r="L44" i="74" s="1"/>
  <c r="M45" i="74" a="1"/>
  <c r="M45" i="74" s="1"/>
  <c r="L45" i="74" s="1"/>
  <c r="N53" i="74" a="1"/>
  <c r="N53" i="74" s="1"/>
  <c r="N22" i="74" a="1"/>
  <c r="N22" i="74" s="1"/>
  <c r="M55" i="74" a="1"/>
  <c r="M55" i="74" s="1"/>
  <c r="L55" i="74" s="1"/>
  <c r="M56" i="74" a="1"/>
  <c r="M56" i="74" s="1"/>
  <c r="L56" i="74" s="1"/>
  <c r="M57" i="74" a="1"/>
  <c r="M57" i="74" s="1"/>
  <c r="L57" i="74" s="1"/>
  <c r="M22" i="74" a="1"/>
  <c r="M22" i="74" s="1"/>
  <c r="L22" i="74" s="1"/>
  <c r="N30" i="74" a="1"/>
  <c r="N30" i="74" s="1"/>
  <c r="N27" i="74" a="1"/>
  <c r="N27" i="74" s="1"/>
  <c r="N24" i="74" a="1"/>
  <c r="N24" i="74" s="1"/>
  <c r="M24" i="74" a="1"/>
  <c r="M24" i="74" s="1"/>
  <c r="L24" i="74" s="1"/>
  <c r="M30" i="74" a="1"/>
  <c r="M30" i="74" s="1"/>
  <c r="L30" i="74" s="1"/>
  <c r="N38" i="74" a="1"/>
  <c r="N38" i="74" s="1"/>
  <c r="N35" i="74" a="1"/>
  <c r="N35" i="74" s="1"/>
  <c r="N32" i="74" a="1"/>
  <c r="N32" i="74" s="1"/>
  <c r="M25" i="74" a="1"/>
  <c r="M25" i="74" s="1"/>
  <c r="L25" i="74" s="1"/>
  <c r="M38" i="74" a="1"/>
  <c r="M38" i="74" s="1"/>
  <c r="L38" i="74" s="1"/>
  <c r="N46" i="74" a="1"/>
  <c r="N46" i="74" s="1"/>
  <c r="N43" i="74" a="1"/>
  <c r="N43" i="74" s="1"/>
  <c r="N40" i="74" a="1"/>
  <c r="N40" i="74" s="1"/>
  <c r="M33" i="74" a="1"/>
  <c r="M33" i="74" s="1"/>
  <c r="M46" i="74" a="1"/>
  <c r="M46" i="74" s="1"/>
  <c r="L46" i="74" s="1"/>
  <c r="N54" i="74" a="1"/>
  <c r="N54" i="74" s="1"/>
  <c r="N51" i="74" a="1"/>
  <c r="N51" i="74" s="1"/>
  <c r="N48" i="74" a="1"/>
  <c r="N48" i="74" s="1"/>
  <c r="M49" i="74" a="1"/>
  <c r="M49" i="74" s="1"/>
  <c r="L49" i="74" s="1"/>
  <c r="M58" i="74" a="1"/>
  <c r="M58" i="74" s="1"/>
  <c r="L58" i="74" s="1"/>
  <c r="N19" i="74" a="1"/>
  <c r="N19" i="74" s="1"/>
  <c r="N52" i="74" a="1"/>
  <c r="N52" i="74" s="1"/>
  <c r="M53" i="74" a="1"/>
  <c r="M53" i="74" s="1"/>
  <c r="L53" i="74" s="1"/>
  <c r="M26" i="74" a="1"/>
  <c r="M26" i="74" s="1"/>
  <c r="L26" i="74" s="1"/>
  <c r="M23" i="74" a="1"/>
  <c r="M23" i="74" s="1"/>
  <c r="L23" i="74" s="1"/>
  <c r="N23" i="74" a="1"/>
  <c r="N23" i="74" s="1"/>
  <c r="N20" i="74" a="1"/>
  <c r="N20" i="74" s="1"/>
  <c r="N21" i="74" a="1"/>
  <c r="N21" i="74" s="1"/>
  <c r="M34" i="74" a="1"/>
  <c r="M34" i="74" s="1"/>
  <c r="L34" i="74" s="1"/>
  <c r="M31" i="74" a="1"/>
  <c r="M31" i="74" s="1"/>
  <c r="L31" i="74" s="1"/>
  <c r="N31" i="74" a="1"/>
  <c r="N31" i="74" s="1"/>
  <c r="N28" i="74" a="1"/>
  <c r="N28" i="74" s="1"/>
  <c r="N29" i="74" a="1"/>
  <c r="N29" i="74" s="1"/>
  <c r="M42" i="74" a="1"/>
  <c r="M42" i="74" s="1"/>
  <c r="L42" i="74" s="1"/>
  <c r="M39" i="74" a="1"/>
  <c r="M39" i="74" s="1"/>
  <c r="L39" i="74" s="1"/>
  <c r="N39" i="74" a="1"/>
  <c r="N39" i="74" s="1"/>
  <c r="N36" i="74" a="1"/>
  <c r="N36" i="74" s="1"/>
  <c r="N37" i="74" a="1"/>
  <c r="N37" i="74" s="1"/>
  <c r="M50" i="74" a="1"/>
  <c r="M50" i="74" s="1"/>
  <c r="L50" i="74" s="1"/>
  <c r="M47" i="74" a="1"/>
  <c r="M47" i="74" s="1"/>
  <c r="L47" i="74" s="1"/>
  <c r="N47" i="74" a="1"/>
  <c r="N47" i="74" s="1"/>
  <c r="N44" i="74" a="1"/>
  <c r="N44" i="74" s="1"/>
  <c r="N45" i="74" a="1"/>
  <c r="N45" i="74" s="1"/>
  <c r="M54" i="74" a="1"/>
  <c r="M54" i="74" s="1"/>
  <c r="L54" i="74" s="1"/>
  <c r="N55" i="74" a="1"/>
  <c r="N55" i="74" s="1"/>
  <c r="M18" i="74" a="1"/>
  <c r="M18" i="74" s="1"/>
  <c r="L18" i="74" s="1"/>
  <c r="E14" i="69"/>
  <c r="F13" i="69"/>
  <c r="C13" i="69"/>
  <c r="D13" i="69" s="1"/>
  <c r="D12" i="69"/>
  <c r="N17" i="74" a="1"/>
  <c r="N17" i="74" s="1"/>
  <c r="N18" i="74" a="1"/>
  <c r="N18" i="74" s="1"/>
  <c r="L41" i="67" a="1"/>
  <c r="L41" i="67" s="1"/>
  <c r="L32" i="67" a="1"/>
  <c r="L32" i="67" s="1"/>
  <c r="L8" i="67" a="1"/>
  <c r="L8" i="67" s="1"/>
  <c r="L43" i="67" a="1"/>
  <c r="L43" i="67" s="1"/>
  <c r="L34" i="67" a="1"/>
  <c r="L34" i="67" s="1"/>
  <c r="L17" i="67" a="1"/>
  <c r="L17" i="67" s="1"/>
  <c r="G41" i="69"/>
  <c r="G40" i="69"/>
  <c r="L36" i="67" a="1"/>
  <c r="L36" i="67" s="1"/>
  <c r="L21" i="67" a="1"/>
  <c r="L21" i="67" s="1"/>
  <c r="L19" i="67" a="1"/>
  <c r="L19" i="67" s="1"/>
  <c r="F40" i="69"/>
  <c r="L38" i="67" a="1"/>
  <c r="L38" i="67" s="1"/>
  <c r="L25" i="67" a="1"/>
  <c r="L25" i="67" s="1"/>
  <c r="L9" i="67" a="1"/>
  <c r="L9" i="67" s="1"/>
  <c r="F41" i="69"/>
  <c r="C40" i="69"/>
  <c r="L42" i="67" a="1"/>
  <c r="L42" i="67" s="1"/>
  <c r="L23" i="67" a="1"/>
  <c r="L23" i="67" s="1"/>
  <c r="L10" i="67" a="1"/>
  <c r="L10" i="67" s="1"/>
  <c r="N31" i="67" a="1"/>
  <c r="N31" i="67" s="1"/>
  <c r="N14" i="67" a="1"/>
  <c r="N14" i="67" s="1"/>
  <c r="C41" i="69"/>
  <c r="L40" i="67" a="1"/>
  <c r="L40" i="67" s="1"/>
  <c r="L27" i="67" a="1"/>
  <c r="L27" i="67" s="1"/>
  <c r="N20" i="67" a="1"/>
  <c r="N20" i="67" s="1"/>
  <c r="N6" i="67" a="1"/>
  <c r="N6" i="67" s="1"/>
  <c r="E41" i="69"/>
  <c r="L44" i="67" a="1"/>
  <c r="L44" i="67" s="1"/>
  <c r="L29" i="67" a="1"/>
  <c r="L29" i="67" s="1"/>
  <c r="N42" i="67" a="1"/>
  <c r="N42" i="67" s="1"/>
  <c r="L33" i="67" a="1"/>
  <c r="L33" i="67" s="1"/>
  <c r="L12" i="67" a="1"/>
  <c r="L12" i="67" s="1"/>
  <c r="N46" i="67" a="1"/>
  <c r="N46" i="67" s="1"/>
  <c r="N40" i="67" a="1"/>
  <c r="N40" i="67" s="1"/>
  <c r="L46" i="67" a="1"/>
  <c r="L46" i="67" s="1"/>
  <c r="L31" i="67" a="1"/>
  <c r="L31" i="67" s="1"/>
  <c r="L14" i="67" a="1"/>
  <c r="L14" i="67" s="1"/>
  <c r="L20" i="67" a="1"/>
  <c r="L20" i="67" s="1"/>
  <c r="L16" i="67" a="1"/>
  <c r="L16" i="67" s="1"/>
  <c r="L35" i="67" a="1"/>
  <c r="L35" i="67" s="1"/>
  <c r="L18" i="67" a="1"/>
  <c r="L18" i="67" s="1"/>
  <c r="L22" i="67" a="1"/>
  <c r="L22" i="67" s="1"/>
  <c r="L13" i="67" a="1"/>
  <c r="L13" i="67" s="1"/>
  <c r="L24" i="67" a="1"/>
  <c r="L24" i="67" s="1"/>
  <c r="L11" i="67" a="1"/>
  <c r="L11" i="67" s="1"/>
  <c r="L26" i="67" a="1"/>
  <c r="L26" i="67" s="1"/>
  <c r="L6" i="67" a="1"/>
  <c r="L6" i="67" s="1"/>
  <c r="L45" i="67" a="1"/>
  <c r="L45" i="67" s="1"/>
  <c r="L37" i="67" a="1"/>
  <c r="L37" i="67" s="1"/>
  <c r="L28" i="67" a="1"/>
  <c r="L28" i="67" s="1"/>
  <c r="L7" i="67" a="1"/>
  <c r="L7" i="67" s="1"/>
  <c r="E40" i="69"/>
  <c r="L47" i="67" a="1"/>
  <c r="L47" i="67" s="1"/>
  <c r="L39" i="67" a="1"/>
  <c r="L39" i="67" s="1"/>
  <c r="L30" i="67" a="1"/>
  <c r="L30" i="67" s="1"/>
  <c r="L15" i="67" a="1"/>
  <c r="L15" i="67" s="1"/>
  <c r="N44" i="67" a="1"/>
  <c r="N44" i="67" s="1"/>
  <c r="N34" i="67" a="1"/>
  <c r="N34" i="67" s="1"/>
  <c r="N38" i="67" a="1"/>
  <c r="N38" i="67" s="1"/>
  <c r="N15" i="67" a="1"/>
  <c r="N15" i="67" s="1"/>
  <c r="N21" i="67" a="1"/>
  <c r="N21" i="67" s="1"/>
  <c r="N19" i="67" a="1"/>
  <c r="N19" i="67" s="1"/>
  <c r="N25" i="67" a="1"/>
  <c r="N25" i="67" s="1"/>
  <c r="N17" i="67" a="1"/>
  <c r="N17" i="67" s="1"/>
  <c r="N23" i="67" a="1"/>
  <c r="N23" i="67" s="1"/>
  <c r="N10" i="67" a="1"/>
  <c r="N10" i="67" s="1"/>
  <c r="N45" i="67" a="1"/>
  <c r="N45" i="67" s="1"/>
  <c r="N27" i="67" a="1"/>
  <c r="N27" i="67" s="1"/>
  <c r="N12" i="67" a="1"/>
  <c r="N12" i="67" s="1"/>
  <c r="N47" i="67" a="1"/>
  <c r="N47" i="67" s="1"/>
  <c r="N29" i="67" a="1"/>
  <c r="N29" i="67" s="1"/>
  <c r="N16" i="67" a="1"/>
  <c r="N16" i="67" s="1"/>
  <c r="N33" i="67" a="1"/>
  <c r="N33" i="67" s="1"/>
  <c r="N7" i="67" a="1"/>
  <c r="N7" i="67" s="1"/>
  <c r="N22" i="67" a="1"/>
  <c r="N22" i="67" s="1"/>
  <c r="N18" i="67" a="1"/>
  <c r="N18" i="67" s="1"/>
  <c r="N24" i="67" a="1"/>
  <c r="N24" i="67" s="1"/>
  <c r="N8" i="67" a="1"/>
  <c r="N8" i="67" s="1"/>
  <c r="N35" i="67" a="1"/>
  <c r="N35" i="67" s="1"/>
  <c r="N13" i="67" a="1"/>
  <c r="N13" i="67" s="1"/>
  <c r="N26" i="67" a="1"/>
  <c r="N26" i="67" s="1"/>
  <c r="N11" i="67" a="1"/>
  <c r="N11" i="67" s="1"/>
  <c r="N37" i="67" a="1"/>
  <c r="N37" i="67" s="1"/>
  <c r="N28" i="67" a="1"/>
  <c r="N28" i="67" s="1"/>
  <c r="N9" i="67" a="1"/>
  <c r="N9" i="67" s="1"/>
  <c r="N39" i="67" a="1"/>
  <c r="N39" i="67" s="1"/>
  <c r="N30" i="67" a="1"/>
  <c r="N30" i="67" s="1"/>
  <c r="N41" i="67" a="1"/>
  <c r="N41" i="67" s="1"/>
  <c r="N36" i="67" a="1"/>
  <c r="N36" i="67" s="1"/>
  <c r="N43" i="67" a="1"/>
  <c r="N43" i="67" s="1"/>
  <c r="N32" i="67" a="1"/>
  <c r="N32" i="67" s="1"/>
  <c r="I30" i="70"/>
  <c r="F28" i="67"/>
  <c r="J31" i="67"/>
  <c r="H10" i="70"/>
  <c r="F19" i="70"/>
  <c r="H22" i="70"/>
  <c r="J39" i="70"/>
  <c r="H19" i="67"/>
  <c r="H11" i="67"/>
  <c r="I42" i="70"/>
  <c r="J26" i="70"/>
  <c r="J46" i="67"/>
  <c r="I14" i="67"/>
  <c r="F11" i="70"/>
  <c r="J35" i="70"/>
  <c r="F8" i="70"/>
  <c r="I15" i="70"/>
  <c r="H21" i="70"/>
  <c r="J38" i="67"/>
  <c r="F27" i="67"/>
  <c r="F16" i="70"/>
  <c r="F43" i="67"/>
  <c r="I11" i="67"/>
  <c r="F8" i="67"/>
  <c r="J17" i="70"/>
  <c r="J22" i="67"/>
  <c r="H23" i="70"/>
  <c r="J43" i="67"/>
  <c r="F35" i="67"/>
  <c r="F33" i="67"/>
  <c r="H32" i="70"/>
  <c r="F46" i="67"/>
  <c r="I37" i="70"/>
  <c r="F28" i="70"/>
  <c r="I18" i="67"/>
  <c r="F38" i="70"/>
  <c r="H10" i="67"/>
  <c r="H41" i="67"/>
  <c r="H16" i="70"/>
  <c r="F16" i="67"/>
  <c r="H45" i="67"/>
  <c r="H47" i="70"/>
  <c r="F17" i="70"/>
  <c r="I44" i="70"/>
  <c r="H8" i="67"/>
  <c r="F11" i="67"/>
  <c r="H24" i="70"/>
  <c r="H11" i="70"/>
  <c r="F45" i="67"/>
  <c r="J34" i="70"/>
  <c r="H23" i="67"/>
  <c r="F30" i="67"/>
  <c r="F42" i="70"/>
  <c r="F23" i="70"/>
  <c r="J30" i="67"/>
  <c r="I31" i="70"/>
  <c r="I19" i="67"/>
  <c r="H25" i="67"/>
  <c r="H29" i="67"/>
  <c r="J21" i="67"/>
  <c r="I24" i="70"/>
  <c r="H14" i="70"/>
  <c r="H39" i="67"/>
  <c r="J45" i="67"/>
  <c r="H37" i="70"/>
  <c r="J23" i="70"/>
  <c r="H36" i="67"/>
  <c r="I25" i="70"/>
  <c r="J18" i="67"/>
  <c r="H40" i="67"/>
  <c r="F27" i="70"/>
  <c r="I14" i="70"/>
  <c r="I10" i="70"/>
  <c r="J42" i="70"/>
  <c r="I46" i="70"/>
  <c r="F35" i="70"/>
  <c r="F15" i="70"/>
  <c r="I34" i="67"/>
  <c r="I32" i="70"/>
  <c r="I8" i="67"/>
  <c r="J8" i="70"/>
  <c r="H33" i="70"/>
  <c r="H20" i="67"/>
  <c r="F14" i="67"/>
  <c r="J38" i="70"/>
  <c r="F13" i="70"/>
  <c r="F32" i="67"/>
  <c r="H35" i="67"/>
  <c r="H15" i="70"/>
  <c r="H33" i="67"/>
  <c r="J24" i="67"/>
  <c r="I40" i="67"/>
  <c r="H6" i="67"/>
  <c r="H15" i="67"/>
  <c r="F44" i="67"/>
  <c r="H25" i="70"/>
  <c r="J19" i="70"/>
  <c r="I21" i="70"/>
  <c r="H24" i="67"/>
  <c r="F6" i="70"/>
  <c r="F47" i="70"/>
  <c r="I38" i="67"/>
  <c r="I41" i="67"/>
  <c r="J28" i="70"/>
  <c r="F21" i="67"/>
  <c r="H19" i="70"/>
  <c r="I30" i="67"/>
  <c r="I11" i="70"/>
  <c r="I9" i="67"/>
  <c r="J9" i="70"/>
  <c r="H28" i="70"/>
  <c r="H43" i="67"/>
  <c r="I16" i="70"/>
  <c r="F42" i="67"/>
  <c r="H12" i="67"/>
  <c r="J6" i="67"/>
  <c r="F20" i="67"/>
  <c r="I20" i="70"/>
  <c r="F25" i="70"/>
  <c r="I25" i="67"/>
  <c r="I8" i="70"/>
  <c r="H18" i="67"/>
  <c r="J42" i="67"/>
  <c r="J6" i="70"/>
  <c r="F31" i="70"/>
  <c r="I27" i="70"/>
  <c r="J10" i="70"/>
  <c r="F17" i="67"/>
  <c r="F21" i="70"/>
  <c r="F18" i="70"/>
  <c r="J16" i="70"/>
  <c r="H32" i="67"/>
  <c r="J22" i="70"/>
  <c r="J25" i="70"/>
  <c r="F6" i="67"/>
  <c r="I28" i="67"/>
  <c r="I38" i="70"/>
  <c r="I40" i="70"/>
  <c r="F41" i="70"/>
  <c r="I10" i="67"/>
  <c r="J15" i="70"/>
  <c r="J14" i="70"/>
  <c r="H38" i="70"/>
  <c r="I6" i="67"/>
  <c r="H42" i="67"/>
  <c r="F31" i="67"/>
  <c r="F40" i="67"/>
  <c r="H35" i="70"/>
  <c r="J41" i="70"/>
  <c r="F9" i="70"/>
  <c r="J41" i="67"/>
  <c r="J16" i="67"/>
  <c r="J46" i="70"/>
  <c r="H44" i="67"/>
  <c r="H37" i="67"/>
  <c r="H47" i="67"/>
  <c r="I43" i="67"/>
  <c r="I21" i="67"/>
  <c r="I32" i="67"/>
  <c r="J29" i="67"/>
  <c r="J32" i="67"/>
  <c r="I17" i="70"/>
  <c r="F22" i="67"/>
  <c r="J7" i="67"/>
  <c r="F44" i="70"/>
  <c r="H45" i="70"/>
  <c r="I43" i="70"/>
  <c r="F29" i="70"/>
  <c r="I7" i="67"/>
  <c r="I29" i="70"/>
  <c r="J15" i="67"/>
  <c r="I23" i="67"/>
  <c r="H17" i="70"/>
  <c r="J7" i="70"/>
  <c r="F39" i="70"/>
  <c r="H22" i="67"/>
  <c r="F37" i="67"/>
  <c r="I34" i="70"/>
  <c r="J32" i="70"/>
  <c r="H14" i="67"/>
  <c r="F7" i="70"/>
  <c r="I7" i="70"/>
  <c r="J24" i="70"/>
  <c r="F20" i="70"/>
  <c r="J14" i="67"/>
  <c r="J13" i="67"/>
  <c r="H36" i="70"/>
  <c r="I12" i="67"/>
  <c r="J39" i="67"/>
  <c r="H12" i="70"/>
  <c r="F41" i="67"/>
  <c r="F19" i="67"/>
  <c r="I42" i="67"/>
  <c r="H27" i="67"/>
  <c r="J40" i="70"/>
  <c r="I36" i="67"/>
  <c r="F39" i="67"/>
  <c r="I46" i="67"/>
  <c r="F37" i="70"/>
  <c r="H17" i="67"/>
  <c r="J21" i="70"/>
  <c r="J36" i="67"/>
  <c r="J20" i="70"/>
  <c r="F34" i="67"/>
  <c r="I17" i="67"/>
  <c r="I33" i="67"/>
  <c r="J44" i="67"/>
  <c r="I37" i="67"/>
  <c r="J45" i="70"/>
  <c r="H20" i="70"/>
  <c r="F7" i="67"/>
  <c r="H9" i="67"/>
  <c r="I31" i="67"/>
  <c r="F32" i="70"/>
  <c r="F18" i="67"/>
  <c r="F29" i="67"/>
  <c r="F34" i="70"/>
  <c r="F24" i="67"/>
  <c r="J13" i="70"/>
  <c r="H8" i="70"/>
  <c r="J11" i="70"/>
  <c r="J18" i="70"/>
  <c r="J36" i="70"/>
  <c r="J12" i="67"/>
  <c r="H29" i="70"/>
  <c r="F26" i="67"/>
  <c r="J11" i="67"/>
  <c r="I39" i="67"/>
  <c r="H43" i="70"/>
  <c r="H41" i="70"/>
  <c r="F38" i="67"/>
  <c r="J37" i="70"/>
  <c r="H13" i="67"/>
  <c r="I12" i="70"/>
  <c r="H46" i="70"/>
  <c r="H18" i="70"/>
  <c r="J29" i="70"/>
  <c r="H31" i="70"/>
  <c r="H46" i="67"/>
  <c r="F10" i="70"/>
  <c r="H13" i="70"/>
  <c r="F24" i="70"/>
  <c r="H26" i="70"/>
  <c r="J34" i="67"/>
  <c r="J27" i="70"/>
  <c r="F47" i="67"/>
  <c r="J37" i="67"/>
  <c r="I28" i="70"/>
  <c r="H28" i="67"/>
  <c r="J43" i="70"/>
  <c r="H39" i="70"/>
  <c r="I35" i="67"/>
  <c r="I44" i="67"/>
  <c r="I6" i="70"/>
  <c r="F13" i="67"/>
  <c r="J17" i="67"/>
  <c r="I16" i="67"/>
  <c r="I24" i="67"/>
  <c r="H40" i="70"/>
  <c r="J44" i="70"/>
  <c r="J47" i="67"/>
  <c r="F26" i="70"/>
  <c r="J47" i="70"/>
  <c r="H6" i="70"/>
  <c r="I20" i="67"/>
  <c r="H31" i="67"/>
  <c r="I41" i="70"/>
  <c r="I36" i="70"/>
  <c r="J19" i="67"/>
  <c r="F43" i="70"/>
  <c r="I29" i="67"/>
  <c r="H30" i="70"/>
  <c r="I13" i="67"/>
  <c r="F10" i="67"/>
  <c r="I27" i="67"/>
  <c r="H26" i="67"/>
  <c r="I33" i="70"/>
  <c r="F36" i="67"/>
  <c r="J27" i="67"/>
  <c r="I23" i="70"/>
  <c r="H34" i="70"/>
  <c r="F15" i="67"/>
  <c r="J35" i="67"/>
  <c r="I22" i="67"/>
  <c r="I13" i="70"/>
  <c r="J23" i="67"/>
  <c r="I47" i="70"/>
  <c r="I15" i="67"/>
  <c r="F30" i="70"/>
  <c r="F40" i="70"/>
  <c r="I45" i="70"/>
  <c r="I45" i="67"/>
  <c r="F46" i="70"/>
  <c r="J9" i="67"/>
  <c r="I26" i="67"/>
  <c r="I39" i="70"/>
  <c r="F14" i="70"/>
  <c r="J28" i="67"/>
  <c r="I35" i="70"/>
  <c r="H44" i="70"/>
  <c r="I47" i="67"/>
  <c r="J33" i="70"/>
  <c r="I18" i="70"/>
  <c r="F36" i="70"/>
  <c r="I26" i="70"/>
  <c r="J40" i="67"/>
  <c r="I9" i="70"/>
  <c r="J12" i="70"/>
  <c r="J31" i="70"/>
  <c r="F23" i="67"/>
  <c r="H9" i="70"/>
  <c r="H30" i="67"/>
  <c r="F25" i="67"/>
  <c r="J25" i="67"/>
  <c r="J8" i="67"/>
  <c r="F22" i="70"/>
  <c r="J20" i="67"/>
  <c r="J10" i="67"/>
  <c r="F12" i="67"/>
  <c r="I19" i="70"/>
  <c r="H7" i="67"/>
  <c r="I22" i="70"/>
  <c r="J33" i="67"/>
  <c r="H38" i="67"/>
  <c r="H34" i="67"/>
  <c r="J26" i="67"/>
  <c r="F45" i="70"/>
  <c r="H42" i="70"/>
  <c r="H7" i="70"/>
  <c r="H21" i="67"/>
  <c r="H16" i="67"/>
  <c r="F9" i="67"/>
  <c r="J30" i="70"/>
  <c r="H27" i="70"/>
  <c r="F33" i="70"/>
  <c r="H11" i="74" l="1" a="1"/>
  <c r="H11" i="74" s="1"/>
  <c r="E11" i="74" s="1"/>
  <c r="G11" i="74" a="1"/>
  <c r="G11" i="74" s="1"/>
  <c r="F11" i="74" a="1"/>
  <c r="F11" i="74" s="1"/>
  <c r="D11" i="69"/>
  <c r="H5" i="69" a="1"/>
  <c r="H5" i="69" s="1"/>
  <c r="I12" i="69" a="1"/>
  <c r="I12" i="69" s="1"/>
  <c r="I13" i="69" a="1"/>
  <c r="I13" i="69" s="1"/>
  <c r="I11" i="69" a="1"/>
  <c r="I11" i="69" s="1"/>
  <c r="I42" i="69"/>
  <c r="J40" i="69"/>
  <c r="D39" i="69"/>
  <c r="J39" i="69"/>
  <c r="H42" i="69"/>
  <c r="L33" i="74"/>
  <c r="I10" i="74" s="1"/>
  <c r="L21" i="74"/>
  <c r="I11" i="74" s="1"/>
  <c r="K11" i="74" s="1"/>
  <c r="J11" i="74"/>
  <c r="L17" i="74"/>
  <c r="I9" i="74" s="1"/>
  <c r="G10" i="74" a="1"/>
  <c r="G10" i="74" s="1"/>
  <c r="F10" i="74" a="1"/>
  <c r="F10" i="74" s="1"/>
  <c r="F9" i="74" a="1"/>
  <c r="F9" i="74" s="1"/>
  <c r="H9" i="74" a="1"/>
  <c r="H9" i="74" s="1"/>
  <c r="E9" i="74" s="1"/>
  <c r="G9" i="74" a="1"/>
  <c r="G9" i="74" s="1"/>
  <c r="J9" i="74"/>
  <c r="H10" i="74" a="1"/>
  <c r="H10" i="74" s="1"/>
  <c r="E10" i="74" s="1"/>
  <c r="F14" i="69"/>
  <c r="M56" i="67"/>
  <c r="M55" i="67"/>
  <c r="M54" i="67"/>
  <c r="M52" i="67"/>
  <c r="M51" i="67"/>
  <c r="M50" i="67"/>
  <c r="M48" i="67"/>
  <c r="M59" i="67"/>
  <c r="M58" i="67"/>
  <c r="M57" i="67"/>
  <c r="M62" i="67"/>
  <c r="M61" i="67"/>
  <c r="M60" i="67"/>
  <c r="N60" i="67"/>
  <c r="N62" i="67"/>
  <c r="N61" i="67"/>
  <c r="L60" i="67"/>
  <c r="L62" i="67"/>
  <c r="L61" i="67"/>
  <c r="N57" i="67"/>
  <c r="N59" i="67"/>
  <c r="N58" i="67"/>
  <c r="L57" i="67"/>
  <c r="L59" i="67"/>
  <c r="L58" i="67"/>
  <c r="L54" i="67"/>
  <c r="L56" i="67"/>
  <c r="L55" i="67"/>
  <c r="N54" i="67"/>
  <c r="N56" i="67"/>
  <c r="N55" i="67"/>
  <c r="L50" i="67"/>
  <c r="L51" i="67"/>
  <c r="L52" i="67"/>
  <c r="N50" i="67"/>
  <c r="N51" i="67"/>
  <c r="N52" i="67"/>
  <c r="G14" i="69"/>
  <c r="D14" i="69"/>
  <c r="C14" i="69"/>
  <c r="G42" i="69"/>
  <c r="D40" i="69"/>
  <c r="D41" i="69"/>
  <c r="G29" i="70"/>
  <c r="G18" i="70"/>
  <c r="G36" i="70"/>
  <c r="G17" i="70"/>
  <c r="G24" i="70"/>
  <c r="G31" i="70"/>
  <c r="G45" i="67"/>
  <c r="G20" i="67"/>
  <c r="G25" i="67"/>
  <c r="G26" i="70"/>
  <c r="G25" i="70"/>
  <c r="G6" i="70"/>
  <c r="G30" i="70"/>
  <c r="G47" i="70"/>
  <c r="G19" i="70"/>
  <c r="G15" i="70"/>
  <c r="J48" i="70"/>
  <c r="G40" i="70"/>
  <c r="G34" i="70"/>
  <c r="G28" i="70"/>
  <c r="G9" i="70"/>
  <c r="G33" i="70"/>
  <c r="G14" i="70"/>
  <c r="G38" i="70"/>
  <c r="G21" i="70"/>
  <c r="G23" i="70"/>
  <c r="I48" i="70"/>
  <c r="G10" i="70"/>
  <c r="G32" i="67"/>
  <c r="G21" i="67"/>
  <c r="G29" i="67"/>
  <c r="G43" i="70"/>
  <c r="G31" i="67"/>
  <c r="G7" i="67"/>
  <c r="G42" i="67"/>
  <c r="G12" i="67"/>
  <c r="G27" i="67"/>
  <c r="G41" i="67"/>
  <c r="G47" i="67"/>
  <c r="G9" i="67"/>
  <c r="G20" i="70"/>
  <c r="G37" i="70"/>
  <c r="G42" i="70"/>
  <c r="G26" i="67"/>
  <c r="G23" i="67"/>
  <c r="G11" i="67"/>
  <c r="G13" i="67"/>
  <c r="G35" i="67"/>
  <c r="G34" i="67"/>
  <c r="G24" i="67"/>
  <c r="G18" i="67"/>
  <c r="G19" i="67"/>
  <c r="G43" i="67"/>
  <c r="G40" i="67"/>
  <c r="G37" i="67"/>
  <c r="G39" i="70"/>
  <c r="G27" i="70"/>
  <c r="G8" i="70"/>
  <c r="G32" i="70"/>
  <c r="G13" i="70"/>
  <c r="G41" i="70"/>
  <c r="H48" i="70"/>
  <c r="G22" i="70"/>
  <c r="G35" i="70"/>
  <c r="G16" i="70"/>
  <c r="G14" i="67"/>
  <c r="G17" i="67"/>
  <c r="G28" i="67"/>
  <c r="G39" i="67"/>
  <c r="G46" i="67"/>
  <c r="G38" i="67"/>
  <c r="I48" i="67"/>
  <c r="F5" i="69" s="1"/>
  <c r="J48" i="67"/>
  <c r="H48" i="67"/>
  <c r="E5" i="69" s="1"/>
  <c r="F48" i="67"/>
  <c r="G6" i="67"/>
  <c r="G46" i="70"/>
  <c r="G10" i="67"/>
  <c r="G16" i="67"/>
  <c r="G44" i="70"/>
  <c r="G11" i="70"/>
  <c r="G45" i="70"/>
  <c r="G7" i="70"/>
  <c r="G33" i="67"/>
  <c r="G22" i="67"/>
  <c r="G30" i="67"/>
  <c r="G15" i="67"/>
  <c r="G36" i="67"/>
  <c r="G44" i="67"/>
  <c r="G8" i="67"/>
  <c r="N48" i="67"/>
  <c r="C42" i="69"/>
  <c r="E42" i="69"/>
  <c r="L48" i="67"/>
  <c r="F42" i="69"/>
  <c r="D14" i="68"/>
  <c r="D17" i="68"/>
  <c r="D9" i="68"/>
  <c r="D27" i="68"/>
  <c r="D32" i="68"/>
  <c r="D13" i="68"/>
  <c r="D42" i="68"/>
  <c r="D44" i="68"/>
  <c r="D45" i="68"/>
  <c r="D11" i="68"/>
  <c r="D22" i="68"/>
  <c r="D21" i="68"/>
  <c r="D16" i="68"/>
  <c r="D29" i="68"/>
  <c r="D39" i="68"/>
  <c r="D41" i="68"/>
  <c r="D25" i="68"/>
  <c r="D10" i="68"/>
  <c r="D38" i="68"/>
  <c r="D34" i="68"/>
  <c r="D24" i="68"/>
  <c r="D31" i="68"/>
  <c r="D12" i="68"/>
  <c r="D33" i="68"/>
  <c r="D23" i="68"/>
  <c r="D28" i="68"/>
  <c r="D15" i="68"/>
  <c r="D40" i="68"/>
  <c r="D19" i="68"/>
  <c r="D18" i="68"/>
  <c r="D26" i="68"/>
  <c r="D46" i="68"/>
  <c r="D30" i="68"/>
  <c r="D43" i="68"/>
  <c r="D47" i="68"/>
  <c r="D37" i="68"/>
  <c r="D20" i="68"/>
  <c r="J10" i="74" l="1"/>
  <c r="J12" i="74" s="1"/>
  <c r="F12" i="74"/>
  <c r="I14" i="69"/>
  <c r="G5" i="69" a="1"/>
  <c r="G5" i="69" s="1"/>
  <c r="I5" i="69" s="1"/>
  <c r="J5" i="69" s="1"/>
  <c r="H11" i="69" a="1"/>
  <c r="H11" i="69" s="1"/>
  <c r="J11" i="69" s="1"/>
  <c r="G12" i="74"/>
  <c r="J42" i="69"/>
  <c r="H12" i="74"/>
  <c r="K9" i="74"/>
  <c r="I12" i="74"/>
  <c r="H13" i="69" a="1"/>
  <c r="H13" i="69" s="1"/>
  <c r="J13" i="69" s="1"/>
  <c r="H12" i="69" a="1"/>
  <c r="H12" i="69" s="1"/>
  <c r="J12" i="69" s="1"/>
  <c r="J54" i="67"/>
  <c r="J55" i="67"/>
  <c r="J56" i="67"/>
  <c r="E12" i="74"/>
  <c r="J57" i="67"/>
  <c r="J61" i="67"/>
  <c r="J58" i="67"/>
  <c r="J62" i="67"/>
  <c r="G48" i="67"/>
  <c r="D5" i="69" s="1"/>
  <c r="J59" i="67"/>
  <c r="J52" i="67"/>
  <c r="D42" i="69"/>
  <c r="J50" i="67"/>
  <c r="J51" i="67"/>
  <c r="J60" i="67"/>
  <c r="D8" i="68"/>
  <c r="K10" i="74" l="1"/>
  <c r="K12" i="74"/>
  <c r="H14" i="69"/>
  <c r="J14" i="69" s="1"/>
  <c r="P5" i="74" l="1"/>
  <c r="M17" i="71"/>
  <c r="M35" i="71"/>
  <c r="N23" i="71"/>
  <c r="N44" i="71"/>
  <c r="M16" i="71"/>
  <c r="M11" i="71"/>
  <c r="M37" i="71"/>
  <c r="N8" i="71"/>
  <c r="N12" i="71"/>
  <c r="M26" i="71"/>
  <c r="M18" i="71"/>
  <c r="M27" i="71"/>
  <c r="N21" i="71"/>
  <c r="N6" i="71"/>
  <c r="N45" i="71"/>
  <c r="N10" i="71"/>
  <c r="D36" i="68"/>
  <c r="N19" i="71"/>
  <c r="M15" i="71"/>
  <c r="N33" i="71"/>
  <c r="N41" i="71"/>
  <c r="N30" i="71"/>
  <c r="M34" i="71"/>
  <c r="N25" i="71"/>
  <c r="N38" i="71"/>
  <c r="D7" i="68"/>
  <c r="M42" i="71"/>
  <c r="N42" i="71"/>
  <c r="M12" i="71"/>
  <c r="N47" i="71"/>
  <c r="M25" i="71"/>
  <c r="N16" i="71"/>
  <c r="M20" i="71"/>
  <c r="N20" i="71"/>
  <c r="N15" i="71"/>
  <c r="N9" i="71"/>
  <c r="N27" i="71"/>
  <c r="M10" i="71"/>
  <c r="N43" i="71"/>
  <c r="M8" i="71"/>
  <c r="N29" i="71"/>
  <c r="D35" i="68"/>
  <c r="M19" i="71"/>
  <c r="N32" i="71"/>
  <c r="N40" i="71"/>
  <c r="M21" i="71"/>
  <c r="N46" i="71"/>
  <c r="M31" i="71"/>
  <c r="M13" i="71"/>
  <c r="M22" i="71"/>
  <c r="M28" i="71"/>
  <c r="D6" i="68"/>
  <c r="M44" i="71"/>
  <c r="M14" i="71"/>
  <c r="M24" i="71"/>
  <c r="N24" i="71"/>
  <c r="N28" i="71"/>
  <c r="M32" i="71"/>
  <c r="N26" i="71"/>
  <c r="M29" i="71"/>
  <c r="M6" i="71"/>
  <c r="N22" i="71"/>
  <c r="N14" i="71"/>
  <c r="M33" i="71"/>
  <c r="M40" i="71"/>
  <c r="N31" i="71"/>
  <c r="M7" i="71"/>
  <c r="M43" i="71"/>
  <c r="N39" i="71"/>
  <c r="N36" i="71"/>
  <c r="M38" i="71"/>
  <c r="N7" i="71"/>
  <c r="N18" i="71"/>
  <c r="N13" i="71"/>
  <c r="N35" i="71"/>
  <c r="N17" i="71"/>
  <c r="M30" i="71"/>
  <c r="M9" i="71"/>
  <c r="M23" i="71"/>
  <c r="M47" i="71"/>
  <c r="M39" i="71"/>
  <c r="M45" i="71"/>
  <c r="M46" i="71"/>
  <c r="M41" i="71"/>
  <c r="N11" i="71"/>
  <c r="N34" i="71"/>
  <c r="N37" i="71"/>
  <c r="M36" i="71"/>
  <c r="M54" i="71" l="1"/>
  <c r="M48" i="71"/>
  <c r="M55" i="71" s="1"/>
  <c r="M51" i="71"/>
  <c r="M52" i="71"/>
  <c r="M53" i="71"/>
  <c r="M49" i="71"/>
  <c r="N54" i="71"/>
  <c r="N51" i="71"/>
  <c r="N52" i="71"/>
  <c r="N48" i="71"/>
  <c r="N55" i="71" s="1"/>
  <c r="N53" i="71"/>
  <c r="N49" i="71"/>
  <c r="L41" i="71"/>
  <c r="L42" i="71"/>
  <c r="L35" i="71"/>
  <c r="L24" i="71"/>
  <c r="L27" i="71"/>
  <c r="L25" i="71"/>
  <c r="L29" i="71"/>
  <c r="L38" i="71"/>
  <c r="L23" i="71"/>
  <c r="L8" i="71"/>
  <c r="L39" i="71"/>
  <c r="L22" i="71"/>
  <c r="L43" i="71"/>
  <c r="L6" i="71"/>
  <c r="L45" i="71"/>
  <c r="L18" i="71"/>
  <c r="L47" i="71"/>
  <c r="L11" i="71"/>
  <c r="L46" i="71"/>
  <c r="L13" i="71"/>
  <c r="L34" i="71"/>
  <c r="L10" i="71"/>
  <c r="L9" i="71"/>
  <c r="L19" i="71"/>
  <c r="L15" i="71"/>
  <c r="L32" i="71"/>
  <c r="L36" i="71"/>
  <c r="L17" i="71"/>
  <c r="L40" i="71"/>
  <c r="L12" i="71"/>
  <c r="L31" i="71"/>
  <c r="L33" i="71"/>
  <c r="L21" i="71"/>
  <c r="L28" i="71"/>
  <c r="L20" i="71"/>
  <c r="L26" i="71"/>
  <c r="L14" i="71"/>
  <c r="L30" i="71"/>
  <c r="L7" i="71"/>
  <c r="L16" i="71"/>
  <c r="L44" i="71"/>
  <c r="L37" i="71"/>
  <c r="I22" i="71"/>
  <c r="H6" i="71"/>
  <c r="F42" i="71"/>
  <c r="J22" i="71"/>
  <c r="F34" i="71"/>
  <c r="J42" i="71"/>
  <c r="F15" i="71"/>
  <c r="F28" i="71"/>
  <c r="I35" i="71"/>
  <c r="H46" i="71"/>
  <c r="K38" i="71"/>
  <c r="K9" i="71"/>
  <c r="F32" i="71"/>
  <c r="H12" i="71"/>
  <c r="H21" i="71"/>
  <c r="J14" i="71"/>
  <c r="F27" i="71"/>
  <c r="I45" i="71"/>
  <c r="K41" i="71"/>
  <c r="I32" i="71"/>
  <c r="I10" i="71"/>
  <c r="F11" i="71"/>
  <c r="K27" i="71"/>
  <c r="K25" i="71"/>
  <c r="I29" i="71"/>
  <c r="F6" i="71"/>
  <c r="J11" i="71"/>
  <c r="F23" i="71"/>
  <c r="I44" i="71"/>
  <c r="J29" i="71"/>
  <c r="I25" i="71"/>
  <c r="H27" i="71"/>
  <c r="J17" i="71"/>
  <c r="J33" i="71"/>
  <c r="H11" i="71"/>
  <c r="I19" i="71"/>
  <c r="J36" i="71"/>
  <c r="F31" i="71"/>
  <c r="K20" i="71"/>
  <c r="K14" i="71"/>
  <c r="H37" i="71"/>
  <c r="J44" i="71"/>
  <c r="I27" i="71"/>
  <c r="H28" i="71"/>
  <c r="H43" i="71"/>
  <c r="J18" i="71"/>
  <c r="J9" i="71"/>
  <c r="F19" i="71"/>
  <c r="H17" i="71"/>
  <c r="I15" i="71"/>
  <c r="I43" i="71"/>
  <c r="K16" i="71"/>
  <c r="H31" i="71"/>
  <c r="J34" i="71"/>
  <c r="K15" i="71"/>
  <c r="F36" i="71"/>
  <c r="H33" i="71"/>
  <c r="F20" i="71"/>
  <c r="F30" i="71"/>
  <c r="K37" i="71"/>
  <c r="H22" i="71"/>
  <c r="H34" i="71"/>
  <c r="F17" i="71"/>
  <c r="K26" i="71"/>
  <c r="F37" i="71"/>
  <c r="H36" i="71"/>
  <c r="K28" i="71"/>
  <c r="J38" i="71"/>
  <c r="F14" i="71"/>
  <c r="H23" i="71"/>
  <c r="I6" i="71"/>
  <c r="J39" i="71"/>
  <c r="K46" i="71"/>
  <c r="F9" i="71"/>
  <c r="H13" i="71"/>
  <c r="I9" i="71"/>
  <c r="H39" i="71"/>
  <c r="F8" i="71"/>
  <c r="H16" i="71"/>
  <c r="J15" i="71"/>
  <c r="K33" i="71"/>
  <c r="H30" i="71"/>
  <c r="K23" i="71"/>
  <c r="K47" i="71"/>
  <c r="H14" i="71"/>
  <c r="H32" i="71"/>
  <c r="K45" i="71"/>
  <c r="J8" i="71"/>
  <c r="K11" i="71"/>
  <c r="H29" i="71"/>
  <c r="I34" i="71"/>
  <c r="K22" i="71"/>
  <c r="I36" i="71"/>
  <c r="H35" i="71"/>
  <c r="J6" i="71"/>
  <c r="J21" i="71"/>
  <c r="F10" i="71"/>
  <c r="J32" i="71"/>
  <c r="K17" i="71"/>
  <c r="F33" i="71"/>
  <c r="I26" i="71"/>
  <c r="K30" i="71"/>
  <c r="I37" i="71"/>
  <c r="I21" i="71"/>
  <c r="J16" i="71"/>
  <c r="F35" i="71"/>
  <c r="F12" i="71"/>
  <c r="F46" i="71"/>
  <c r="K31" i="71"/>
  <c r="F39" i="71"/>
  <c r="I8" i="71"/>
  <c r="F45" i="71"/>
  <c r="F18" i="71"/>
  <c r="J27" i="71"/>
  <c r="J45" i="71"/>
  <c r="K8" i="71"/>
  <c r="I23" i="71"/>
  <c r="I46" i="71"/>
  <c r="J30" i="71"/>
  <c r="J10" i="71"/>
  <c r="K32" i="71"/>
  <c r="I17" i="71"/>
  <c r="H26" i="71"/>
  <c r="I16" i="71"/>
  <c r="K18" i="71"/>
  <c r="H9" i="71"/>
  <c r="H47" i="71"/>
  <c r="J19" i="71"/>
  <c r="G23" i="71" l="1"/>
  <c r="G8" i="71"/>
  <c r="G20" i="71"/>
  <c r="G27" i="71"/>
  <c r="G33" i="71"/>
  <c r="G31" i="71"/>
  <c r="G46" i="71"/>
  <c r="G37" i="71"/>
  <c r="G9" i="71"/>
  <c r="G17" i="71"/>
  <c r="G45" i="71"/>
  <c r="G18" i="71"/>
  <c r="L53" i="71"/>
  <c r="K53" i="71" s="1"/>
  <c r="L54" i="71"/>
  <c r="K54" i="71" s="1"/>
  <c r="L51" i="71"/>
  <c r="K51" i="71" s="1"/>
  <c r="L48" i="71"/>
  <c r="L55" i="71" s="1"/>
  <c r="K55" i="71" s="1"/>
  <c r="L49" i="71"/>
  <c r="L52" i="71"/>
  <c r="K52" i="71" s="1"/>
  <c r="G28" i="71"/>
  <c r="G32" i="71"/>
  <c r="G11" i="71"/>
  <c r="G14" i="71"/>
  <c r="G15" i="71"/>
  <c r="G30" i="71"/>
  <c r="H7" i="71"/>
  <c r="I28" i="71"/>
  <c r="F43" i="71"/>
  <c r="J24" i="71"/>
  <c r="F16" i="71"/>
  <c r="F38" i="71"/>
  <c r="I18" i="71"/>
  <c r="H10" i="71"/>
  <c r="F41" i="71"/>
  <c r="H24" i="71"/>
  <c r="H42" i="71"/>
  <c r="J47" i="71"/>
  <c r="J12" i="71"/>
  <c r="F40" i="71"/>
  <c r="I7" i="71"/>
  <c r="K42" i="71"/>
  <c r="K34" i="71"/>
  <c r="I33" i="71"/>
  <c r="J20" i="71"/>
  <c r="I41" i="71"/>
  <c r="K43" i="71"/>
  <c r="K35" i="71"/>
  <c r="K24" i="71"/>
  <c r="K12" i="71"/>
  <c r="I38" i="71"/>
  <c r="J43" i="71"/>
  <c r="H19" i="71"/>
  <c r="F25" i="71"/>
  <c r="H25" i="71"/>
  <c r="I47" i="71"/>
  <c r="F26" i="71"/>
  <c r="F7" i="71"/>
  <c r="H8" i="71"/>
  <c r="K21" i="71"/>
  <c r="I40" i="71"/>
  <c r="I42" i="71"/>
  <c r="F44" i="71"/>
  <c r="H20" i="71"/>
  <c r="K44" i="71"/>
  <c r="J7" i="71"/>
  <c r="F13" i="71"/>
  <c r="I13" i="71"/>
  <c r="J41" i="71"/>
  <c r="H40" i="71"/>
  <c r="I30" i="71"/>
  <c r="F22" i="71"/>
  <c r="J25" i="71"/>
  <c r="K39" i="71"/>
  <c r="F24" i="71"/>
  <c r="K10" i="71"/>
  <c r="J26" i="71"/>
  <c r="J28" i="71"/>
  <c r="F29" i="71"/>
  <c r="J13" i="71"/>
  <c r="J40" i="71"/>
  <c r="H41" i="71"/>
  <c r="K7" i="71"/>
  <c r="K13" i="71"/>
  <c r="H45" i="71"/>
  <c r="I39" i="71"/>
  <c r="F21" i="71"/>
  <c r="I20" i="71"/>
  <c r="J46" i="71"/>
  <c r="K19" i="71"/>
  <c r="I14" i="71"/>
  <c r="I11" i="71"/>
  <c r="H15" i="71"/>
  <c r="F47" i="71"/>
  <c r="J35" i="71"/>
  <c r="I31" i="71"/>
  <c r="K6" i="71"/>
  <c r="I24" i="71"/>
  <c r="H38" i="71"/>
  <c r="H44" i="71"/>
  <c r="K40" i="71"/>
  <c r="H18" i="71"/>
  <c r="K36" i="71"/>
  <c r="J23" i="71"/>
  <c r="I12" i="71"/>
  <c r="J31" i="71"/>
  <c r="K29" i="71"/>
  <c r="J37" i="71"/>
  <c r="G47" i="71" l="1"/>
  <c r="G34" i="71"/>
  <c r="G16" i="71"/>
  <c r="G25" i="71"/>
  <c r="G39" i="71"/>
  <c r="G36" i="71"/>
  <c r="G10" i="71"/>
  <c r="G26" i="71"/>
  <c r="G6" i="71"/>
  <c r="G22" i="71"/>
  <c r="G12" i="71"/>
  <c r="G24" i="71"/>
  <c r="G40" i="71"/>
  <c r="G29" i="71"/>
  <c r="G41" i="71"/>
  <c r="G43" i="71"/>
  <c r="G44" i="71"/>
  <c r="G35" i="71"/>
  <c r="G42" i="71"/>
  <c r="G13" i="71"/>
  <c r="K48" i="71"/>
  <c r="I48" i="71"/>
  <c r="G38" i="71"/>
  <c r="G7" i="71"/>
  <c r="G19" i="71"/>
  <c r="J48" i="71"/>
  <c r="F48" i="71"/>
  <c r="G21" i="71"/>
  <c r="H48" i="71"/>
  <c r="G48" i="71" l="1"/>
  <c r="F12" i="70"/>
  <c r="G12" i="70" l="1"/>
  <c r="G48" i="70" s="1"/>
  <c r="F48" i="7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btrust-DS</author>
  </authors>
  <commentList>
    <comment ref="F4" authorId="0" shapeId="0" xr:uid="{00000000-0006-0000-0B00-000001000000}">
      <text>
        <r>
          <rPr>
            <b/>
            <sz val="10"/>
            <color indexed="81"/>
            <rFont val="맑은 고딕"/>
            <family val="3"/>
            <charset val="129"/>
          </rPr>
          <t>양호, 신규, 조치, 미조치에 대한 통계 기준은 아래와 같습니다.
 작년 결과 | 올해 결과 | 비교 결과
   미점검   |    양호     |    양호
   미점검   |    취약     |    신규
   미점검   |  부분만족  |    신규
   미점검   |    N/A     |    N/A
     양호    |     양호    |    양호
     양호    |     취약    |    신규
     양호    |  부분만족  |    신규
     양호    |     N/A    |    N/A
     취약    |     양호    |    조치
     취약    |     취약    |   미조치
     취약    |  부분만족  |   미조치
     취약    |     N/A    |    조치 
  부분만족  |     양호    |    양호
  부분만족  |     취약    |   미조치
  부분만족  |  부분만족  |   미조치
  부분만족  |     N/A    |    조치
     N/A    |     양호    |    양호
     N/A    |     취약    |    신규
     N/A    |  부분만족  |    신규
     N/A    |     N/A    |    N/A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<sst xmlns="http://schemas.openxmlformats.org/spreadsheetml/2006/main" count="2856" uniqueCount="930">
  <si>
    <t>1. 목적</t>
    <phoneticPr fontId="5" type="noConversion"/>
  </si>
  <si>
    <t>상</t>
    <phoneticPr fontId="5" type="noConversion"/>
  </si>
  <si>
    <t>중</t>
    <phoneticPr fontId="5" type="noConversion"/>
  </si>
  <si>
    <t>하</t>
    <phoneticPr fontId="5" type="noConversion"/>
  </si>
  <si>
    <t>양호
(취약점 제거)</t>
    <phoneticPr fontId="5" type="noConversion"/>
  </si>
  <si>
    <t>4점</t>
    <phoneticPr fontId="5" type="noConversion"/>
  </si>
  <si>
    <t>3점</t>
    <phoneticPr fontId="5" type="noConversion"/>
  </si>
  <si>
    <t>최초 작성</t>
  </si>
  <si>
    <t xml:space="preserve"> IP</t>
    <phoneticPr fontId="5" type="noConversion"/>
  </si>
  <si>
    <t>등급</t>
  </si>
  <si>
    <t>중요도</t>
    <phoneticPr fontId="5" type="noConversion"/>
  </si>
  <si>
    <t>점수</t>
    <phoneticPr fontId="5" type="noConversion"/>
  </si>
  <si>
    <t>점검통계</t>
  </si>
  <si>
    <t>분류</t>
    <phoneticPr fontId="5" type="noConversion"/>
  </si>
  <si>
    <t>항목코드</t>
    <phoneticPr fontId="5" type="noConversion"/>
  </si>
  <si>
    <t>점검 항목</t>
  </si>
  <si>
    <t>전체항목</t>
    <phoneticPr fontId="5" type="noConversion"/>
  </si>
  <si>
    <t>점검항목</t>
  </si>
  <si>
    <t>양호</t>
    <phoneticPr fontId="5" type="noConversion"/>
  </si>
  <si>
    <t>전체항목 합계</t>
    <phoneticPr fontId="5" type="noConversion"/>
  </si>
  <si>
    <t>구분</t>
  </si>
  <si>
    <t>점검 결과</t>
  </si>
  <si>
    <t>전체항목</t>
  </si>
  <si>
    <t>양호</t>
  </si>
  <si>
    <t>취약</t>
  </si>
  <si>
    <t>해당없음</t>
  </si>
  <si>
    <t>전체점수</t>
  </si>
  <si>
    <t>보안수준</t>
  </si>
  <si>
    <t>패치 관리</t>
    <phoneticPr fontId="5" type="noConversion"/>
  </si>
  <si>
    <t>계</t>
  </si>
  <si>
    <t>Host 명</t>
  </si>
  <si>
    <t>항목</t>
  </si>
  <si>
    <t>취약점 설명</t>
  </si>
  <si>
    <t>상</t>
  </si>
  <si>
    <t>중</t>
  </si>
  <si>
    <t>하</t>
  </si>
  <si>
    <t>점검 점수</t>
  </si>
  <si>
    <t>점검</t>
  </si>
  <si>
    <t>취약</t>
    <phoneticPr fontId="5" type="noConversion"/>
  </si>
  <si>
    <t>해당없음</t>
    <phoneticPr fontId="5" type="noConversion"/>
  </si>
  <si>
    <t>N/A</t>
    <phoneticPr fontId="5" type="noConversion"/>
  </si>
  <si>
    <t>신규</t>
    <phoneticPr fontId="5" type="noConversion"/>
  </si>
  <si>
    <t>조치</t>
    <phoneticPr fontId="5" type="noConversion"/>
  </si>
  <si>
    <t>미조치</t>
    <phoneticPr fontId="5" type="noConversion"/>
  </si>
  <si>
    <t>통계</t>
    <phoneticPr fontId="5" type="noConversion"/>
  </si>
  <si>
    <t>그외</t>
    <phoneticPr fontId="5" type="noConversion"/>
  </si>
  <si>
    <t>용도</t>
    <phoneticPr fontId="34" type="noConversion"/>
  </si>
  <si>
    <t>No</t>
    <phoneticPr fontId="5" type="noConversion"/>
  </si>
  <si>
    <t>자산정보</t>
    <phoneticPr fontId="5" type="noConversion"/>
  </si>
  <si>
    <t>127.0.0.1</t>
    <phoneticPr fontId="5" type="noConversion"/>
  </si>
  <si>
    <t>해당없음</t>
    <phoneticPr fontId="34" type="noConversion"/>
  </si>
  <si>
    <t>전체점수</t>
    <phoneticPr fontId="34" type="noConversion"/>
  </si>
  <si>
    <t>취약점수</t>
    <phoneticPr fontId="34" type="noConversion"/>
  </si>
  <si>
    <t>보안수준</t>
    <phoneticPr fontId="34" type="noConversion"/>
  </si>
  <si>
    <t>파일 서버 용도</t>
    <phoneticPr fontId="5" type="noConversion"/>
  </si>
  <si>
    <t>시트의 가장 마지막에 위치시키세요.</t>
  </si>
  <si>
    <t>구분</t>
    <phoneticPr fontId="5" type="noConversion"/>
  </si>
  <si>
    <t>중요도</t>
    <phoneticPr fontId="5" type="noConversion"/>
  </si>
  <si>
    <t>점수</t>
    <phoneticPr fontId="5" type="noConversion"/>
  </si>
  <si>
    <t>분류</t>
    <phoneticPr fontId="5" type="noConversion"/>
  </si>
  <si>
    <t>항목코드</t>
    <phoneticPr fontId="5" type="noConversion"/>
  </si>
  <si>
    <t>전체항목</t>
    <phoneticPr fontId="5" type="noConversion"/>
  </si>
  <si>
    <t>양호</t>
    <phoneticPr fontId="5" type="noConversion"/>
  </si>
  <si>
    <t>취약</t>
    <phoneticPr fontId="5" type="noConversion"/>
  </si>
  <si>
    <t>전체항목 합계</t>
    <phoneticPr fontId="5" type="noConversion"/>
  </si>
  <si>
    <t>취약점이 발견된 시스템</t>
    <phoneticPr fontId="5" type="noConversion"/>
  </si>
  <si>
    <t>양호</t>
    <phoneticPr fontId="5" type="noConversion"/>
  </si>
  <si>
    <t>전체 보안 수준</t>
    <phoneticPr fontId="5" type="noConversion"/>
  </si>
  <si>
    <t>현황 및 문제점</t>
    <phoneticPr fontId="34" type="noConversion"/>
  </si>
  <si>
    <t>개선방안 및 보호대책</t>
    <phoneticPr fontId="34" type="noConversion"/>
  </si>
  <si>
    <t>Host Name</t>
    <phoneticPr fontId="34" type="noConversion"/>
  </si>
  <si>
    <t>IP Address</t>
    <phoneticPr fontId="34" type="noConversion"/>
  </si>
  <si>
    <t>분류</t>
    <phoneticPr fontId="34" type="noConversion"/>
  </si>
  <si>
    <t>항목 통계</t>
    <phoneticPr fontId="34" type="noConversion"/>
  </si>
  <si>
    <t>전체</t>
    <phoneticPr fontId="34" type="noConversion"/>
  </si>
  <si>
    <t>양호</t>
    <phoneticPr fontId="34" type="noConversion"/>
  </si>
  <si>
    <t>취약</t>
    <phoneticPr fontId="34" type="noConversion"/>
  </si>
  <si>
    <t>DoA</t>
    <phoneticPr fontId="5" type="noConversion"/>
  </si>
  <si>
    <t>자산평가</t>
    <phoneticPr fontId="5" type="noConversion"/>
  </si>
  <si>
    <t>비고</t>
    <phoneticPr fontId="5" type="noConversion"/>
  </si>
  <si>
    <t>O/S</t>
    <phoneticPr fontId="5" type="noConversion"/>
  </si>
  <si>
    <t>용도</t>
    <phoneticPr fontId="5" type="noConversion"/>
  </si>
  <si>
    <t>C</t>
    <phoneticPr fontId="5" type="noConversion"/>
  </si>
  <si>
    <t>I</t>
    <phoneticPr fontId="5" type="noConversion"/>
  </si>
  <si>
    <t>A</t>
    <phoneticPr fontId="5" type="noConversion"/>
  </si>
  <si>
    <t>분류</t>
    <phoneticPr fontId="5" type="noConversion"/>
  </si>
  <si>
    <t>구분</t>
    <phoneticPr fontId="5" type="noConversion"/>
  </si>
  <si>
    <t>구분</t>
    <phoneticPr fontId="5" type="noConversion"/>
  </si>
  <si>
    <t>중요도</t>
    <phoneticPr fontId="5" type="noConversion"/>
  </si>
  <si>
    <t>점수</t>
    <phoneticPr fontId="5" type="noConversion"/>
  </si>
  <si>
    <t>분류</t>
    <phoneticPr fontId="5" type="noConversion"/>
  </si>
  <si>
    <t>항목코드</t>
    <phoneticPr fontId="5" type="noConversion"/>
  </si>
  <si>
    <t>전체항목</t>
    <phoneticPr fontId="5" type="noConversion"/>
  </si>
  <si>
    <t>신규</t>
    <phoneticPr fontId="5" type="noConversion"/>
  </si>
  <si>
    <t>미조치</t>
    <phoneticPr fontId="5" type="noConversion"/>
  </si>
  <si>
    <t>O/S</t>
    <phoneticPr fontId="34" type="noConversion"/>
  </si>
  <si>
    <t>중요도 값</t>
    <phoneticPr fontId="1" type="noConversion"/>
  </si>
  <si>
    <t>점검
결과</t>
    <phoneticPr fontId="1" type="noConversion"/>
  </si>
  <si>
    <t>-</t>
    <phoneticPr fontId="1" type="noConversion"/>
  </si>
  <si>
    <t>점검 점수</t>
    <phoneticPr fontId="1" type="noConversion"/>
  </si>
  <si>
    <t>5점</t>
    <phoneticPr fontId="5" type="noConversion"/>
  </si>
  <si>
    <t>개정번호</t>
    <phoneticPr fontId="5" type="noConversion"/>
  </si>
  <si>
    <t>개정일자</t>
    <phoneticPr fontId="5" type="noConversion"/>
  </si>
  <si>
    <t>개정내용</t>
    <phoneticPr fontId="5" type="noConversion"/>
  </si>
  <si>
    <t>작성자</t>
    <phoneticPr fontId="5" type="noConversion"/>
  </si>
  <si>
    <t>v1.0</t>
    <phoneticPr fontId="5" type="noConversion"/>
  </si>
  <si>
    <t>ㅇㅇㅇ</t>
    <phoneticPr fontId="5" type="noConversion"/>
  </si>
  <si>
    <t>양호</t>
    <phoneticPr fontId="1" type="noConversion"/>
  </si>
  <si>
    <t>항목코드</t>
    <phoneticPr fontId="1" type="noConversion"/>
  </si>
  <si>
    <t>중요도</t>
    <phoneticPr fontId="1" type="noConversion"/>
  </si>
  <si>
    <t>항목명</t>
    <phoneticPr fontId="1" type="noConversion"/>
  </si>
  <si>
    <t>현황</t>
    <phoneticPr fontId="34" type="noConversion"/>
  </si>
  <si>
    <t>비고</t>
    <phoneticPr fontId="34" type="noConversion"/>
  </si>
  <si>
    <t>no</t>
    <phoneticPr fontId="1" type="noConversion"/>
  </si>
  <si>
    <t>1. 텍스트파일 인코딩이 "ANSI"인 경우에만 오류없이 가져올 수 있음, "UTF-8 X"</t>
    <phoneticPr fontId="5" type="noConversion"/>
  </si>
  <si>
    <t>2. 텍스트파일은 한 개만 선택 가능하며 입력된 host명을 따라 자동 입력됨</t>
    <phoneticPr fontId="5" type="noConversion"/>
  </si>
  <si>
    <t>3. 텍스트파일명에 host명이 포함되어 있어야 함</t>
    <phoneticPr fontId="5" type="noConversion"/>
  </si>
  <si>
    <t>4. 텍스트파일 경로에 host명을 포함한 경로가 있으면 안됨</t>
    <phoneticPr fontId="5" type="noConversion"/>
  </si>
  <si>
    <t>hostname</t>
    <phoneticPr fontId="1" type="noConversion"/>
  </si>
  <si>
    <t>용도</t>
    <phoneticPr fontId="1" type="noConversion"/>
  </si>
  <si>
    <t>취약</t>
    <phoneticPr fontId="1" type="noConversion"/>
  </si>
  <si>
    <t>N/A</t>
    <phoneticPr fontId="1" type="noConversion"/>
  </si>
  <si>
    <t>담당자</t>
    <phoneticPr fontId="1" type="noConversion"/>
  </si>
  <si>
    <t>담당부서</t>
    <phoneticPr fontId="1" type="noConversion"/>
  </si>
  <si>
    <t>시스템운영팀</t>
  </si>
  <si>
    <t>시스템운영팀</t>
    <phoneticPr fontId="1" type="noConversion"/>
  </si>
  <si>
    <t>김담당</t>
  </si>
  <si>
    <t>김담당</t>
    <phoneticPr fontId="1" type="noConversion"/>
  </si>
  <si>
    <t>위험평가</t>
    <phoneticPr fontId="1" type="noConversion"/>
  </si>
  <si>
    <t>위험조치계획</t>
    <phoneticPr fontId="1" type="noConversion"/>
  </si>
  <si>
    <t>항목중요도</t>
    <phoneticPr fontId="1" type="noConversion"/>
  </si>
  <si>
    <t>IP 주소</t>
    <phoneticPr fontId="1" type="noConversion"/>
  </si>
  <si>
    <t>자산중요도</t>
    <phoneticPr fontId="1" type="noConversion"/>
  </si>
  <si>
    <t>자산 현황</t>
    <phoneticPr fontId="1" type="noConversion"/>
  </si>
  <si>
    <t>등급</t>
    <phoneticPr fontId="1" type="noConversion"/>
  </si>
  <si>
    <t>O/S</t>
    <phoneticPr fontId="1" type="noConversion"/>
  </si>
  <si>
    <t>위험평가표</t>
    <phoneticPr fontId="1" type="noConversion"/>
  </si>
  <si>
    <t>위험조치계획서</t>
    <phoneticPr fontId="1" type="noConversion"/>
  </si>
  <si>
    <t>취약점 진단</t>
    <phoneticPr fontId="1" type="noConversion"/>
  </si>
  <si>
    <t>127.0.0.1</t>
  </si>
  <si>
    <t>파일 서버 용도</t>
  </si>
  <si>
    <t>2점</t>
    <phoneticPr fontId="5" type="noConversion"/>
  </si>
  <si>
    <t>N/A
(해당 없음)</t>
    <phoneticPr fontId="5" type="noConversion"/>
  </si>
  <si>
    <t>개선대책
(대체보안수단)</t>
    <phoneticPr fontId="1" type="noConversion"/>
  </si>
  <si>
    <t>Host Name
(Instance)</t>
    <phoneticPr fontId="1" type="noConversion"/>
  </si>
  <si>
    <t>HostName (Instance)</t>
    <phoneticPr fontId="5" type="noConversion"/>
  </si>
  <si>
    <t>호스트명</t>
    <phoneticPr fontId="1" type="noConversion"/>
  </si>
  <si>
    <t>분류</t>
    <phoneticPr fontId="1" type="noConversion"/>
  </si>
  <si>
    <t>◈ 개정이력</t>
    <phoneticPr fontId="5" type="noConversion"/>
  </si>
  <si>
    <t>◈ 개요</t>
    <phoneticPr fontId="5" type="noConversion"/>
  </si>
  <si>
    <t>◈ 점검 영역별 보안수준</t>
    <phoneticPr fontId="1" type="noConversion"/>
  </si>
  <si>
    <t>◈ 장비별 보안수준</t>
    <phoneticPr fontId="5" type="noConversion"/>
  </si>
  <si>
    <t>◈ 항목별 취약 시스템 목록</t>
    <phoneticPr fontId="5" type="noConversion"/>
  </si>
  <si>
    <r>
      <t xml:space="preserve">◈ </t>
    </r>
    <r>
      <rPr>
        <b/>
        <sz val="12"/>
        <rFont val="맑은 고딕"/>
        <family val="3"/>
        <charset val="129"/>
      </rPr>
      <t>점검 영역별 보안수준 그래프</t>
    </r>
    <phoneticPr fontId="5" type="noConversion"/>
  </si>
  <si>
    <t>◈ 보고서 사용법</t>
    <phoneticPr fontId="5" type="noConversion"/>
  </si>
  <si>
    <t>시트명</t>
    <phoneticPr fontId="1" type="noConversion"/>
  </si>
  <si>
    <t>#숨김. 진단대상 보안 가이드</t>
    <phoneticPr fontId="1" type="noConversion"/>
  </si>
  <si>
    <t>개정이력</t>
    <phoneticPr fontId="1" type="noConversion"/>
  </si>
  <si>
    <t>개요</t>
    <phoneticPr fontId="1" type="noConversion"/>
  </si>
  <si>
    <t>위험도 산정기준</t>
    <phoneticPr fontId="1" type="noConversion"/>
  </si>
  <si>
    <t>점검대상</t>
    <phoneticPr fontId="1" type="noConversion"/>
  </si>
  <si>
    <t>보안수준 통계</t>
    <phoneticPr fontId="1" type="noConversion"/>
  </si>
  <si>
    <t>이행 후 보안수준 통계</t>
    <phoneticPr fontId="1" type="noConversion"/>
  </si>
  <si>
    <t>#삭제. 항목별 취약 시스템</t>
    <phoneticPr fontId="1" type="noConversion"/>
  </si>
  <si>
    <t>#삭제. 결과가져오기</t>
    <phoneticPr fontId="1" type="noConversion"/>
  </si>
  <si>
    <t>통합 점검결과</t>
    <phoneticPr fontId="1" type="noConversion"/>
  </si>
  <si>
    <t>대상(샘플)</t>
    <phoneticPr fontId="1" type="noConversion"/>
  </si>
  <si>
    <t>대상(샘플)_이행</t>
    <phoneticPr fontId="1" type="noConversion"/>
  </si>
  <si>
    <t>매크로</t>
    <phoneticPr fontId="1" type="noConversion"/>
  </si>
  <si>
    <t>매크로명</t>
    <phoneticPr fontId="1" type="noConversion"/>
  </si>
  <si>
    <t>동작방식</t>
    <phoneticPr fontId="1" type="noConversion"/>
  </si>
  <si>
    <t>상세 결과보고서</t>
    <phoneticPr fontId="1" type="noConversion"/>
  </si>
  <si>
    <t>위험평가보고서</t>
    <phoneticPr fontId="1" type="noConversion"/>
  </si>
  <si>
    <t>이행조치보고서</t>
    <phoneticPr fontId="1" type="noConversion"/>
  </si>
  <si>
    <t>No</t>
    <phoneticPr fontId="1" type="noConversion"/>
  </si>
  <si>
    <t>단계별 보고서 종류</t>
    <phoneticPr fontId="1" type="noConversion"/>
  </si>
  <si>
    <t>이행조치</t>
    <phoneticPr fontId="1" type="noConversion"/>
  </si>
  <si>
    <t>END</t>
    <phoneticPr fontId="1" type="noConversion"/>
  </si>
  <si>
    <t>시트</t>
    <phoneticPr fontId="1" type="noConversion"/>
  </si>
  <si>
    <t>숨김</t>
    <phoneticPr fontId="1" type="noConversion"/>
  </si>
  <si>
    <t>작업 완료 후 삭제</t>
    <phoneticPr fontId="1" type="noConversion"/>
  </si>
  <si>
    <t>해당 보고서는 기술진단 통합보고서입니다.</t>
    <phoneticPr fontId="1" type="noConversion"/>
  </si>
  <si>
    <t>필수</t>
    <phoneticPr fontId="1" type="noConversion"/>
  </si>
  <si>
    <t>선택</t>
    <phoneticPr fontId="1" type="noConversion"/>
  </si>
  <si>
    <r>
      <t xml:space="preserve">    통합보고서를 저장할 경우, </t>
    </r>
    <r>
      <rPr>
        <b/>
        <sz val="11"/>
        <color rgb="FFFF0000"/>
        <rFont val="맑은 고딕"/>
        <family val="3"/>
        <charset val="129"/>
        <scheme val="minor"/>
      </rPr>
      <t>매우 오랜시간이 걸림</t>
    </r>
    <phoneticPr fontId="1" type="noConversion"/>
  </si>
  <si>
    <r>
      <t xml:space="preserve">    수식이 살아있을 경우, </t>
    </r>
    <r>
      <rPr>
        <b/>
        <sz val="11"/>
        <color rgb="FFFF0000"/>
        <rFont val="맑은 고딕"/>
        <family val="3"/>
        <charset val="129"/>
        <scheme val="minor"/>
      </rPr>
      <t>매우 오랜시간이 걸림</t>
    </r>
    <phoneticPr fontId="1" type="noConversion"/>
  </si>
  <si>
    <r>
      <t xml:space="preserve">① </t>
    </r>
    <r>
      <rPr>
        <b/>
        <u/>
        <sz val="11"/>
        <color theme="1"/>
        <rFont val="맑은 고딕"/>
        <family val="3"/>
        <charset val="129"/>
        <scheme val="minor"/>
      </rPr>
      <t>단계별 보고서를 사전에 분리하여 사용할 것을 권고</t>
    </r>
    <r>
      <rPr>
        <b/>
        <sz val="11"/>
        <color theme="1"/>
        <rFont val="맑은 고딕"/>
        <family val="3"/>
        <charset val="129"/>
        <scheme val="minor"/>
      </rPr>
      <t>드립니다.</t>
    </r>
    <phoneticPr fontId="1" type="noConversion"/>
  </si>
  <si>
    <t>숨김/삭제 여부</t>
    <phoneticPr fontId="1" type="noConversion"/>
  </si>
  <si>
    <t>필수 사용 여부</t>
    <phoneticPr fontId="1" type="noConversion"/>
  </si>
  <si>
    <t>sheet_copy</t>
    <phoneticPr fontId="1" type="noConversion"/>
  </si>
  <si>
    <t>클릭 실행</t>
    <phoneticPr fontId="1" type="noConversion"/>
  </si>
  <si>
    <t>fn취약대상()</t>
    <phoneticPr fontId="1" type="noConversion"/>
  </si>
  <si>
    <t>자동 실행</t>
    <phoneticPr fontId="1" type="noConversion"/>
  </si>
  <si>
    <t>fn_Compare()</t>
    <phoneticPr fontId="1" type="noConversion"/>
  </si>
  <si>
    <t>[취약점 진단]</t>
    <phoneticPr fontId="1" type="noConversion"/>
  </si>
  <si>
    <t>[공통]</t>
    <phoneticPr fontId="1" type="noConversion"/>
  </si>
  <si>
    <t>[위험평가]</t>
    <phoneticPr fontId="1" type="noConversion"/>
  </si>
  <si>
    <t>[위험조치계획]</t>
    <phoneticPr fontId="1" type="noConversion"/>
  </si>
  <si>
    <t>[이행조치]</t>
    <phoneticPr fontId="1" type="noConversion"/>
  </si>
  <si>
    <t>② 대부분 '통합 점검결과' 시트를 참조하고 있습니다.</t>
    <phoneticPr fontId="1" type="noConversion"/>
  </si>
  <si>
    <t>① '점검대상' 시트 채우기</t>
    <phoneticPr fontId="1" type="noConversion"/>
  </si>
  <si>
    <r>
      <t xml:space="preserve">    따라서 '</t>
    </r>
    <r>
      <rPr>
        <b/>
        <u/>
        <sz val="11"/>
        <color theme="1"/>
        <rFont val="맑은 고딕"/>
        <family val="3"/>
        <charset val="129"/>
        <scheme val="minor"/>
      </rPr>
      <t>통합 점검결과' 시트의 결과값이 들어간 경우, 수식을 값으로 전환할 것을 권고</t>
    </r>
    <r>
      <rPr>
        <b/>
        <sz val="11"/>
        <color theme="1"/>
        <rFont val="맑은 고딕"/>
        <family val="3"/>
        <charset val="129"/>
        <scheme val="minor"/>
      </rPr>
      <t>드립니다.</t>
    </r>
    <phoneticPr fontId="1" type="noConversion"/>
  </si>
  <si>
    <t>② 점검대상에 따라 '통합 점검결과' 시트 채우기</t>
    <phoneticPr fontId="1" type="noConversion"/>
  </si>
  <si>
    <t>text_to_excel</t>
    <phoneticPr fontId="1" type="noConversion"/>
  </si>
  <si>
    <t xml:space="preserve">     * hostname이 점검대상을 구분하는 기준입니다. 중복값 검증해주시기 바랍니다. (Ex. Hostname_instance 등으로 변경)</t>
    <phoneticPr fontId="1" type="noConversion"/>
  </si>
  <si>
    <t>③ '#삭제. 결과가져오기' 시트 매크로를 이용하여 스크립트 결과값 채워넣기</t>
    <phoneticPr fontId="1" type="noConversion"/>
  </si>
  <si>
    <t xml:space="preserve">     * ANSI(개행문자 \r\n) 형식 텍스트만 매크로가 동작합니다. Notepad++로 변환하여 사용이 필요합니다.</t>
    <phoneticPr fontId="1" type="noConversion"/>
  </si>
  <si>
    <t>※ 정보보호시스템, 네트워크장비 등은 수동점검하여 채워넣기</t>
    <phoneticPr fontId="1" type="noConversion"/>
  </si>
  <si>
    <t>④ '통합 점검결과' 시트 현황값 채워넣고 진단하기</t>
    <phoneticPr fontId="1" type="noConversion"/>
  </si>
  <si>
    <t xml:space="preserve">     * 진단완료시 불필요한 수식은 값으로 변경하기를 권고드립니다.</t>
    <phoneticPr fontId="1" type="noConversion"/>
  </si>
  <si>
    <t>하기의 주의사항을 숙지 후 작업하시기 바랍니다.</t>
    <phoneticPr fontId="1" type="noConversion"/>
  </si>
  <si>
    <t>① [상세결과보고서] '점검대상'을 동일 시트에 복붙하기</t>
    <phoneticPr fontId="1" type="noConversion"/>
  </si>
  <si>
    <t>⑤ 그 외 시트에 대해 검토하기</t>
    <phoneticPr fontId="1" type="noConversion"/>
  </si>
  <si>
    <t>⑥ (개별 점검 시트가 필요한 경우) 진단 완료 후 '점검대상'의 매크로를 이용하여 '점검대상(샘플)' 시트 복사하기</t>
    <phoneticPr fontId="1" type="noConversion"/>
  </si>
  <si>
    <t xml:space="preserve"> - 통합 조치계획서 / 개별 조치계획서 여부는 PM님과 협의하여 결정</t>
    <phoneticPr fontId="1" type="noConversion"/>
  </si>
  <si>
    <t xml:space="preserve"> - 통합 위혐평가표 / 개별 위험평가표 여부는 PM님과 협의하여 결정</t>
    <phoneticPr fontId="1" type="noConversion"/>
  </si>
  <si>
    <t>② [상세결과보고서] '통합 점검결과' 시트의 값을 동일 시트에 복붙하기</t>
    <phoneticPr fontId="1" type="noConversion"/>
  </si>
  <si>
    <t>③ [위험평가표] '통합 점검결과' 시트명을 '위험평가표'로 변경하기</t>
    <phoneticPr fontId="1" type="noConversion"/>
  </si>
  <si>
    <t>① [위험평가표] '점검대상'을 동일 시트에 복붙하기</t>
    <phoneticPr fontId="1" type="noConversion"/>
  </si>
  <si>
    <t>② [위험평가표] '통합 점검결과' 시트의 값을 동일 시트에 복붙하기</t>
    <phoneticPr fontId="1" type="noConversion"/>
  </si>
  <si>
    <t>③ [위험조치계획서] '통합 점검결과' 시트명을 '위험조치계획'으로 변경하기</t>
    <phoneticPr fontId="1" type="noConversion"/>
  </si>
  <si>
    <r>
      <t xml:space="preserve">④ '통합 점검결과' 시트 </t>
    </r>
    <r>
      <rPr>
        <b/>
        <u/>
        <sz val="11"/>
        <color theme="1"/>
        <rFont val="맑은 고딕"/>
        <family val="3"/>
        <charset val="129"/>
        <scheme val="minor"/>
      </rPr>
      <t>이행 후</t>
    </r>
    <r>
      <rPr>
        <b/>
        <sz val="11"/>
        <color theme="1"/>
        <rFont val="맑은 고딕"/>
        <family val="3"/>
        <charset val="129"/>
        <scheme val="minor"/>
      </rPr>
      <t xml:space="preserve"> 현황값 채워넣고 진단하기</t>
    </r>
    <phoneticPr fontId="1" type="noConversion"/>
  </si>
  <si>
    <t>④ 그 외 시트에 대해 검토하기</t>
    <phoneticPr fontId="1" type="noConversion"/>
  </si>
  <si>
    <r>
      <t>⑥ (개별 점검 시트가 필요한 경우) 진단 완료 후 '점검대상'의 매크로를 이용하여 '</t>
    </r>
    <r>
      <rPr>
        <b/>
        <u/>
        <sz val="11"/>
        <color theme="1"/>
        <rFont val="맑은 고딕"/>
        <family val="3"/>
        <charset val="129"/>
        <scheme val="minor"/>
      </rPr>
      <t>점검대상(샘플)_이행</t>
    </r>
    <r>
      <rPr>
        <b/>
        <sz val="11"/>
        <color theme="1"/>
        <rFont val="맑은 고딕"/>
        <family val="3"/>
        <charset val="129"/>
        <scheme val="minor"/>
      </rPr>
      <t>' 시트 복사하기</t>
    </r>
    <phoneticPr fontId="1" type="noConversion"/>
  </si>
  <si>
    <t>불필요한 경우 삭제</t>
    <phoneticPr fontId="1" type="noConversion"/>
  </si>
  <si>
    <t>표지</t>
    <phoneticPr fontId="1" type="noConversion"/>
  </si>
  <si>
    <t>수식 -&gt; 값 전환 후 삭제</t>
    <phoneticPr fontId="1" type="noConversion"/>
  </si>
  <si>
    <t>결과 비교</t>
    <phoneticPr fontId="1" type="noConversion"/>
  </si>
  <si>
    <t>통합 이행점검결과</t>
    <phoneticPr fontId="1" type="noConversion"/>
  </si>
  <si>
    <t>③ [이행조치결과서] '통합 점검결과' 시트명을 '통합 이행점검결과'으로 변경하기</t>
    <phoneticPr fontId="1" type="noConversion"/>
  </si>
  <si>
    <t>위험평가 통계</t>
    <phoneticPr fontId="1" type="noConversion"/>
  </si>
  <si>
    <r>
      <t xml:space="preserve">③ 통합보고서의 속도를 고려하여 </t>
    </r>
    <r>
      <rPr>
        <b/>
        <sz val="11"/>
        <color rgb="FFFF0000"/>
        <rFont val="맑은 고딕"/>
        <family val="3"/>
        <charset val="129"/>
        <scheme val="minor"/>
      </rPr>
      <t>최소한의 수식만을 남겨두었습니다</t>
    </r>
    <r>
      <rPr>
        <b/>
        <sz val="11"/>
        <color theme="1"/>
        <rFont val="맑은 고딕"/>
        <family val="3"/>
        <charset val="129"/>
        <scheme val="minor"/>
      </rPr>
      <t>.</t>
    </r>
    <phoneticPr fontId="1" type="noConversion"/>
  </si>
  <si>
    <r>
      <t xml:space="preserve">    </t>
    </r>
    <r>
      <rPr>
        <b/>
        <u/>
        <sz val="11"/>
        <color theme="1"/>
        <rFont val="맑은 고딕"/>
        <family val="3"/>
        <charset val="129"/>
        <scheme val="minor"/>
      </rPr>
      <t>적절하게 복붙하여 자동채우기 사용을 권고</t>
    </r>
    <r>
      <rPr>
        <b/>
        <sz val="11"/>
        <color theme="1"/>
        <rFont val="맑은 고딕"/>
        <family val="3"/>
        <charset val="129"/>
        <scheme val="minor"/>
      </rPr>
      <t>드립니다.</t>
    </r>
    <phoneticPr fontId="1" type="noConversion"/>
  </si>
  <si>
    <t>패치 관리</t>
  </si>
  <si>
    <t>구분(전자금융)</t>
    <phoneticPr fontId="1" type="noConversion"/>
  </si>
  <si>
    <t>o 사용자 부재 시, 비인가자에 의한 시스템 무단 사용을 방지하기 위해 일정시간 사용하지 않는 세션에 대한 자동 종료시간 설정 여부를 점검하고, 세션 종료시간이 설정되어 있을 경우 과도하게 설정 되어 있는지를 점검</t>
  </si>
  <si>
    <t>상</t>
    <phoneticPr fontId="1" type="noConversion"/>
  </si>
  <si>
    <t>중</t>
    <phoneticPr fontId="1" type="noConversion"/>
  </si>
  <si>
    <t>하</t>
    <phoneticPr fontId="1" type="noConversion"/>
  </si>
  <si>
    <t>판단기준</t>
    <phoneticPr fontId="1" type="noConversion"/>
  </si>
  <si>
    <t>판단방법</t>
    <phoneticPr fontId="1" type="noConversion"/>
  </si>
  <si>
    <t>보안 관리</t>
  </si>
  <si>
    <t>사용자 인증</t>
  </si>
  <si>
    <t>보안 관리</t>
    <phoneticPr fontId="5" type="noConversion"/>
  </si>
  <si>
    <t>사용자 인증</t>
    <phoneticPr fontId="5" type="noConversion"/>
  </si>
  <si>
    <t>요약 통계</t>
    <phoneticPr fontId="1" type="noConversion"/>
  </si>
  <si>
    <t>위협코드</t>
  </si>
  <si>
    <t>위협항목</t>
  </si>
  <si>
    <t>잠재위험</t>
  </si>
  <si>
    <t>위협등급</t>
  </si>
  <si>
    <t>조치방법</t>
    <phoneticPr fontId="1" type="noConversion"/>
  </si>
  <si>
    <t>1점</t>
    <phoneticPr fontId="5" type="noConversion"/>
  </si>
  <si>
    <t>◈ 정보보호시스템 보안 가이드</t>
    <phoneticPr fontId="5" type="noConversion"/>
  </si>
  <si>
    <t>ISS-001</t>
  </si>
  <si>
    <t>ISS-002</t>
  </si>
  <si>
    <t>ISS-003</t>
  </si>
  <si>
    <t>ISS-004</t>
  </si>
  <si>
    <t>ISS-005</t>
  </si>
  <si>
    <t>ISS-006</t>
  </si>
  <si>
    <t>ISS-007</t>
  </si>
  <si>
    <t>ISS-008</t>
  </si>
  <si>
    <t>ISS-009</t>
  </si>
  <si>
    <t>ISS-010</t>
  </si>
  <si>
    <t>ISS-011</t>
  </si>
  <si>
    <t>ISS-012</t>
  </si>
  <si>
    <t>ISS-013</t>
  </si>
  <si>
    <t>ISS-014</t>
  </si>
  <si>
    <t>ISS-015</t>
  </si>
  <si>
    <t>ISS-016</t>
  </si>
  <si>
    <t>ISS-017</t>
  </si>
  <si>
    <t>ISS-018</t>
  </si>
  <si>
    <t>ISS-019</t>
  </si>
  <si>
    <t>ISS-020</t>
  </si>
  <si>
    <t>ISS-021</t>
  </si>
  <si>
    <t>ISS-022</t>
  </si>
  <si>
    <t>ISS-023</t>
  </si>
  <si>
    <t>ISS-024</t>
  </si>
  <si>
    <t>ISS-025</t>
  </si>
  <si>
    <t>ISS-026</t>
  </si>
  <si>
    <t>ISS-027</t>
  </si>
  <si>
    <t>ISS-028</t>
  </si>
  <si>
    <t>ISS-029</t>
  </si>
  <si>
    <t>ISS-030</t>
  </si>
  <si>
    <t>ISS-031</t>
  </si>
  <si>
    <t>ISS-032</t>
  </si>
  <si>
    <t>ISS-033</t>
  </si>
  <si>
    <t>ISS-034</t>
  </si>
  <si>
    <t>ISS-035</t>
  </si>
  <si>
    <t>ISS-036</t>
  </si>
  <si>
    <t>ISS-037</t>
  </si>
  <si>
    <t>ISS-038</t>
  </si>
  <si>
    <t>ISS-039</t>
  </si>
  <si>
    <t>ISS-040</t>
  </si>
  <si>
    <t>ISS-041</t>
  </si>
  <si>
    <t>보안장비 정책 및 로그 백업 설정</t>
  </si>
  <si>
    <t>원격 로그 서버 사용</t>
  </si>
  <si>
    <t>DMZ 구간 설정</t>
  </si>
  <si>
    <t>외부구간 NAT 설정</t>
  </si>
  <si>
    <t>최신/긴급 보안 패치 및 업데이트 적용</t>
  </si>
  <si>
    <t>보안장비 사용량의 주기적인 점검 및 보고</t>
  </si>
  <si>
    <t>보안장비 장애/보안이벤트 모니터링 실시</t>
  </si>
  <si>
    <t>탐지된 이벤트 및 로그에 대한 정기적 분석 및 보고</t>
  </si>
  <si>
    <t>위험도가 높은 이벤트 및 로그에 대한 RAW 패킷저장</t>
  </si>
  <si>
    <t>TCP/UDP/ICMP 탐지/차단 패턴 적용 여부</t>
  </si>
  <si>
    <t>Port Scan 탐지/차단 패턴 적용</t>
  </si>
  <si>
    <t>해킹 툴 탐지/차단 패턴 적용</t>
  </si>
  <si>
    <t>불필요한 Source Routing 설정</t>
  </si>
  <si>
    <t>사용하지 않는 SNMP 설정</t>
  </si>
  <si>
    <t>보안장비 보안 접속</t>
  </si>
  <si>
    <t>보안장비 Default 계정 변경</t>
  </si>
  <si>
    <t>보안장비 Default 비밀번호 변경</t>
  </si>
  <si>
    <t>보안장비 계정 관리</t>
  </si>
  <si>
    <t>보안장비 계정별 권한 설정</t>
  </si>
  <si>
    <t>보안장비 원격 관리 접근 통제</t>
  </si>
  <si>
    <t>보안장비 접속성공/실패 로깅</t>
  </si>
  <si>
    <t>로그인 실패횟수 제한</t>
  </si>
  <si>
    <t>세션 타임아웃 설정</t>
  </si>
  <si>
    <t>NTP 설정 및 시각 동기화</t>
  </si>
  <si>
    <t>주요 파일에 대한 주기적인 무결성 검사</t>
  </si>
  <si>
    <t>보안장비 기능외 서비스 미제한</t>
  </si>
  <si>
    <t>보안장비 정책 변경통제 절차 수립</t>
  </si>
  <si>
    <t>보안장비 변경요청 정책의 기술적 검토</t>
  </si>
  <si>
    <t>모든 목적지 및 서비스로의 허용 오류</t>
  </si>
  <si>
    <t>취약한 서비스의 네트워크 대역 단위 허용</t>
  </si>
  <si>
    <t>과도한 서비스 포트 허용</t>
  </si>
  <si>
    <t>불필요한 양방향 정책 허용</t>
  </si>
  <si>
    <t>정책적용 순서 오류</t>
  </si>
  <si>
    <t>출발지 포트 기반의 정책 허용</t>
  </si>
  <si>
    <t>취약한 원격서비스 허용</t>
  </si>
  <si>
    <t>기타 불필요한 정책 적용</t>
  </si>
  <si>
    <t>서버간 관리포트 허용</t>
  </si>
  <si>
    <t>단말과 서버간 접근통제를 우회한 접속 허용</t>
  </si>
  <si>
    <t>보안장비 비밀번호의 주기적인 변경</t>
  </si>
  <si>
    <t>불필요한 네트워크 대역 단위 허용</t>
  </si>
  <si>
    <t>o 보안장비 장애, 가동중지 등 비상상황 발생 시 신속하게 시스템의 정상복구가 가능하도록 하기 위함</t>
  </si>
  <si>
    <t>o 정보보호시스템에 로그를 저장하는 데 한계가 있어, 로그가 삭제될 수 있으므로 원격에 로그서버를 설치하여 별도의 로그파일을 관리하기 위함</t>
  </si>
  <si>
    <t>o 공개용 서버 구간의 DMZ 설정을 통해 내부서버 및 사용자 구간과 분리하여 비인가자가 공개용 서버 구간의 호스트를 통해 내부 네트워크로 접근하는 것을 차단하기 위함</t>
  </si>
  <si>
    <t>o 외부에 연결될 필요가 없는 시스템에 대해 NAT(Network Address Translation) 설정을 하여 비인가자가 내부 네트워크에 접근하는 것을 차단하기 위함</t>
  </si>
  <si>
    <t>o 정보보호시스템 장비 OS 및 보안패턴에 대해 최신 버전으로 적용하였는지 확인하기 위함</t>
  </si>
  <si>
    <t>o 보안장비에 사용량을 검토하여 CPU, 메모리 등 장비 가용성을 확보하기 위함</t>
  </si>
  <si>
    <t xml:space="preserve">o 장애 및 보안 이벤트에 대한 모니터링을 설정하여 해킹 등 공격 징후 또는 시스템 운영상 장애 발생에 대해 실시간 대응을 하기 위함
</t>
  </si>
  <si>
    <t>o 탐지된 이벤트 및 로그에 대한 분석을 실시하여 침해사고 발생을 점검하기 위함</t>
  </si>
  <si>
    <t>o 침해사고 발생 시 RAW 패킷이 저장되지 않는 경우 정확한 분석에 어려움이 있으므로, 정확한 분석을 위해 탐지된 패킷에 대한 RAW 데이터 저장 여부를 확인하기 위함</t>
  </si>
  <si>
    <t>o TCP/UDP/ICMP Flooding 공격에 대한 탐지 및 차단 패턴을 적용하여 외부 인터넷망을 통한 공격 시 내부 서버 및 단말기 등을 보호하기 위함</t>
  </si>
  <si>
    <t>o 외부 인터넷 망을 통해 내부 시스템에 대한 접근 정보 획득을 차단하기 위함</t>
  </si>
  <si>
    <t>o 악성코드에 대한 탐지 및 차단패턴을 적용하여 첨부파일 등을 통한 악성코드 감염을 차단하기 위함</t>
  </si>
  <si>
    <t>o 정해진 경로가 아닌 특정 경로를 통한 공격을 차단하기 위함</t>
  </si>
  <si>
    <t>o 사용하지 않는 SNMP 서비스를 중지하여 SNMP 서비스 취약점(장비의 소프트웨어 정보 및 하드웨어 정보 제공, DoS 등 각종 공격에 노출)을 이용한 공격을 차단하기 위함</t>
  </si>
  <si>
    <t>o 암호화 접속을 통해 비인가자에 의한 스니핑 공격에 노출되는 것을 방지하기 위함</t>
  </si>
  <si>
    <t>o 외부에서 쉽게 계정정보 획득이 가능한 보안장비의 Default 계정을 이용하여 비인가자가 보안장비에 접근하는 것을 차단하기 위함</t>
  </si>
  <si>
    <t>o 외부에서 쉽게 획득이 가능한 보안장비의 초기 Default 비밀번호를 사용하여 비인가자가 보안장비에 접근하여 것을 차단하기 위함</t>
  </si>
  <si>
    <t>o 침해사고 발생 시 계정별 권한에 대한 관리 및 감사증적 기록을 남기기 위함</t>
  </si>
  <si>
    <t>o 보안장비 계정을 용도별로 권한을 부여함으로써 권한 없는 사용자의 의도하지 않은 보안정책 수정이나 설정값 변경을 방지하기 위함</t>
  </si>
  <si>
    <t>o 관리용도로 허용된 IP에 대해서만 보안장비에서 허용하여 비인가자에 대한 접근을 차단하기 위함</t>
  </si>
  <si>
    <t>o 보안장비 접근 권한에 대해 계정의 로그인 성공/실패 로그를 저장하여 비인가자의 접근을 확인하기 위함</t>
  </si>
  <si>
    <t>o 비인가자가 자동화된 방법을 통해 사용자 계정에 반복적인 대입을 시도하여 계정 및 비밀번호를 탈취하여 접근하는 것을 방지하기 위함</t>
  </si>
  <si>
    <t>o 시스템 시각 정확성 및 이벤트 발생 시 정확한 로그 분석을 하기 위함</t>
  </si>
  <si>
    <t>o 주요 파일(설정, 로그 등)이 불법 변조되어 있는 것을 확인하기 위함</t>
  </si>
  <si>
    <t>o 정보보호시스템 장비 기능 외 다른 서비스가 시스템에서 실행되는 경우 비인가자에 의해 공격에 활용될 수 있으므로 이를 차단하기 위함</t>
  </si>
  <si>
    <t>o 보안장비 관리자가 사용자 편의 등을 위해 정책을 임의적으로 생성, 변경, 삭제하는 것을 차단하기 위함</t>
  </si>
  <si>
    <t>o 보안장비 정책을 생성, 변경, 삭제 시 네트워크 및 시스템 운영에 영향을 미칠 수 있으므로, 보안정책 신청에 대해 관리자가 적정성 여부 등을 검토 후 적용하고 있는지 확인하기 위함</t>
  </si>
  <si>
    <t>o 신뢰할 수 있는 내부 시스템인 경우에도, 모든 목적지의 모든 서비스로의 허용정책은 비인가자에 의한 불필요한 접근을 허용하여 잠재적인 위험에 노출될 수 있으므로 이를 차단하기 위함</t>
  </si>
  <si>
    <t>o 관리용도 또는 취약한 서비스 포트로 출발지나 목적지 IP를 광범위하게 허용할 경우 비인가자에 의한 불필요한 접근을 허용하여 잠재적인 위험에 노출될 수 있으므로 이를 방지하기 위함</t>
  </si>
  <si>
    <t>o 신뢰할 수 있는 내부 시스템인 경우에도, 과도한 서비스로의 허용정책은 비인가자에 의한 불필요한 접근을 허용하여 잠재적인 위험에 노출될 수 있으므로 이를 차단하기 위함</t>
  </si>
  <si>
    <t>o 불필요하게 양방향으로 설정된 정책은 비인가자에 의한 불필요한 접근을 허용하여 잠재적인 위험에 노출될 수 있으므로 이를 방지하기 위함</t>
  </si>
  <si>
    <t>o 잘못된 정책 적용으로 인해 비인가자에 의한 불필요한 접근을 허용할 수 있으므로 이를 차단하기 위함</t>
  </si>
  <si>
    <t>o 공격자로 하여금 출발지 포트를 속여 목적지 서버의 임의의 서비스 포트에 접속하는 것을 차단하기 위함</t>
  </si>
  <si>
    <t>o 비밀번호 없이 서버에 접근이 가능하거나 보안 취약점에 노출된 원격 서비스를 허용하고 있는지 점검하기 위함</t>
  </si>
  <si>
    <t>o 테스트용도 혹은 현재 사용하지 않은 서비스에 대한 허용정책 등 불필요한 포트 및 사용하지 않는 정책을 점검하기 위함</t>
  </si>
  <si>
    <t>o 서버간 관리포트 허용 등 취약한 정책 존재여부를 점검하기 위함</t>
  </si>
  <si>
    <t>o 사용자 단말과 서버간에 비인가 접속용 관리포트 허용정책 등 취약한 정책이 존재하는지 점검하기 위함</t>
  </si>
  <si>
    <t>o 보안장비 접근자의 비밀번호를 장기간 변경하지 않을 경우 비밀번호 대입공격으로 인한 비밀번호 탈취 위협이 존재함으로 보안장비의 비밀번호를 주기적으로 변경/관리하는지 여부를 점검</t>
  </si>
  <si>
    <t>o 출발지나 목적지 IP를 불필요하게 네트워크 대역 단위로 허용할 경우 비인가자에 의한 접근을 허용하여 잠재적인 위험에 노출될 수 있으므로 이를 방지하기 위함</t>
  </si>
  <si>
    <t>정보보호시스템 정책 및 로그를 정기적으로 백업하고 있지 않을 경우 "취약"으로 판단
단, 내부규정이 있는 경우 내부규정에 따름</t>
  </si>
  <si>
    <t>◦ 인터뷰 또는 실사를 통해 정보보호시스템 장비 정책 및 로그 백업 여부를 점검
 - 주기적으로 설정 백업을 실시하고 있는지 확인 (예 : 월 정기점검 또는 변경사항 발생 시 백업 실시 등)</t>
  </si>
  <si>
    <t>정보보호시스템이 원격 로그서버와 연동되어 있지 않을 경우 "취약"으로 판단</t>
  </si>
  <si>
    <t>- 정보보호시스템 로그를 별도의 원격 로그서버(Syslog 등)에 보관하도록 설정하였는지 여부를 점검
- 로그서버에 저장된 로그의 보관주기가 1년 이상 보관 여부를 점검</t>
  </si>
  <si>
    <t>공개용 서버 구간을 DMZ로 설정하여 분리하지 않은 경우 "취약"으로 판단</t>
  </si>
  <si>
    <t>공개용 서버 구간(DMZ)과 내부 서버 구간을 분리하여 운영하고 있는지 여부를 점검</t>
  </si>
  <si>
    <t>외부에 연결될 필요가 없는 시스템에 대해 NAT 정책이 존재하지 않을 경우 "취약"으로 판단</t>
  </si>
  <si>
    <t>외부에 연결될 필요가 없는 시스템에 NAT 설정 여부를 점검</t>
  </si>
  <si>
    <t>◦ 정보보호시스템 OS 및 패턴업데이트가 최신버전이 아니거나 주기적인 패치관리 절차가 미흡할 경우 "취약"으로 판단
◦ 각 장비 별 벤더사 홈페이지를 참고하여, EOS(End Of Service)에 따른 패치지원 중단 장비가 있는 경우 "취약"으로 판단</t>
  </si>
  <si>
    <t>- 정보보호시스템 OS 및 패턴업데이트(IPS 등)등의 최신버전 적용 여부를 점검
 - 정기적으로 업데이트 필요성에 대한 검토 및 조치를 취하고 있는지 인터뷰 및 문서(정기점검보고서, 검토보고서, 작업계획서 등)를 통해 검토</t>
  </si>
  <si>
    <t>정보보호시스템에 대한 실시간 모니터링 및 주기적인 보고* 미실시 시 "취약"으로 판단
  * 보고체계의 경우 전자금융감독규정 ⌜제2절 제8조의 4호⌟ 참고</t>
  </si>
  <si>
    <t>정보보호시스템의 가용성(CPU,메모리 사용량 등)에 대한 실시간 모니터링 및 주기적인 보고 절차가 있는지 여부를 점검</t>
  </si>
  <si>
    <t>이상 징후 공격에 대한 모니터링을 실시하고 있지 않을 경우 "취약"으로 판단</t>
  </si>
  <si>
    <t>- 정보보호시스템 장비에 이상 징후 탐지 모니터링 기능(알람, 이메일, SMS 등)이 설정되어 담당자가 즉시 인지할 수 있는 방안이 있는지 여부를 점검  
- 정보보호시스템 장비 자체 기능 대신 Syslog를 통해 모니터링 시스템으로 전송하는 경우, 해당 시스템의 모니터링 기능 설정 여부를 점검</t>
  </si>
  <si>
    <t>정기적으로 보안이벤트 및 로그에 대한 분석 및 보고 미실시 시 "취약"으로 판단</t>
  </si>
  <si>
    <t>- 보안관제보고서를 요청하고 해당 보고서 내에 통계치, 위험도 높은 이벤트 등의 상세 내용이 포함되어 있는지 여부를 점검
- 보안관제보고서가 없는 경우 탐지된 이벤트 및 로그에 대해 정기적으로 보고하는지 여부를 점검
- 위험도 높은 이벤트 및 로그에 대한 분석 및 보고절차가 있는지 점검
- 주간보고, 월간보고 등 정기적으로 보고 및 관리가 되고 있는지 점검</t>
  </si>
  <si>
    <t>정보보호시스템 장비의 위험도 높은 이벤트 및 로그에 대한 RAW 패킷이 저장되지 않고 있는 경우 "취약"으로 판단</t>
  </si>
  <si>
    <t>- 위험도 높은 이벤트 및 로그에 대한 RAW 패킷 데이터의 보관설정이 적용되어 있는지 여부를 점검
  (위험도 1~5단계인 경우, 4~5 단계를 높은 위험도로 권고)
- 정보보호시스템 장비에 해당 기능 미존재 또는 미사용 시 대체 보안수단
  (트래픽 분석기 등)을 통한 RAW 데이터 저장 여부를 점검</t>
  </si>
  <si>
    <t>TCP/UDP/ICMP Flooding 공격에 대한 탐지 및 차단 패턴이 없을 경우 "취약"으로 판단</t>
  </si>
  <si>
    <t>- TCP/UDP/ICMP Flooding 공격에 대한 탐지 및 차단 패턴 적용 여부를 점검
- 인터넷 인입구간에 위치한 DDoS 차단시스템에 TCP/UDP/ICMP Flooding 공격에 대한 차단정책 등록 여부를 점검</t>
  </si>
  <si>
    <t>Port Scan에 대한 탐지 및 차단 정책 미적용 시 "취약"으로 판단</t>
  </si>
  <si>
    <t>- Port Scan에 대한 탐지 및 차단 정책이 적용되어 있는지 여부를 점검
- 인터넷 인입구간에 위치한 DDoS 차단시스템에 Port Scan 공격에 대한 차단정책 등록 여부를 점검</t>
  </si>
  <si>
    <t>주요 해킹 툴에 대해 탐지 및 차단이 안 되고 있을 경우 "취약"으로 판단</t>
  </si>
  <si>
    <t>악성코드에 대한 탐지 및 차단 정책이 적용되어 있는지 여부를 점검</t>
  </si>
  <si>
    <t>Source Routing이 설정되어 있는 경우 "취약"으로 판단</t>
  </si>
  <si>
    <t>정보보호시스템 장비에 Source Routing 설정 여부를 점검</t>
  </si>
  <si>
    <t>SNMP 서비스를 사용하지 않는 경우 불필요하게 SNMP 서비스 설정이 되어 있으면 "취약"으로 판단</t>
  </si>
  <si>
    <t>사용하지 않는 SNMP 서비스가 불필요하게 구동 중인지 여부를 점검</t>
  </si>
  <si>
    <t>보안장비 접속 시 보안접속(SSL,SSH 등)을 하지 않을 경우 "취약"으로 판단</t>
  </si>
  <si>
    <t>보안장비에 접속 시 암호화 프로토콜(SSL,SSH 등)을 이용하여 접속하는지 여부를 점검</t>
  </si>
  <si>
    <t>보안장비의 Default 계정을 사용 할 경우 "취약"으로 판단</t>
  </si>
  <si>
    <t>보안장비에 기본적으로 설정되어 있는 기본 계정의 변경 여부를 점검</t>
  </si>
  <si>
    <t>보안장비의 Default 비밀번호를 사용하거나 비밀번호 복잡성 기준을 준수하고 있지 않는 경우 "취약"으로 판단</t>
  </si>
  <si>
    <t>◦ 보안장비에 기본 비밀번호를 사용하거나 비밀번호 복잡성 기준을준수하고 있는지 여부를 점검
 - 비밀번호 복잡성 기준
 ∙ ID, 생년월일, 주민등록번호, 전화번호 불포함
 ∙ 숫자와 영문자 및 특수문자 등을 혼합하여 8자리 이상으로 설정</t>
  </si>
  <si>
    <t>하나의 계정으로 다수의 관리자가 접속하는 경우 "취약"으로 판단
단, 전자금융감독규정 제13조 14의 2항에 근거하여 사용자 계정의 공동 사용이 불가피한 경우 개인별 사용내역을 기록 관리하고 있으면 양호</t>
  </si>
  <si>
    <t>보안장비에 등록되어 있는 계정별 권한에 대한 관리 및 감사증적이 적절하게 관리되고 있는지 여부를 점검</t>
  </si>
  <si>
    <t>계정별로 권한 설정이 되어있지 않을 경우 "취약"으로 판단</t>
  </si>
  <si>
    <t>- 보안장비에 등록한 계정들에 대해 업무에 불필요한 권한 설정 여부를 점검
- 아웃소싱인력에 대한 관리자 권한 부여 여부는 정보보호관리체계와 연계하여 점검</t>
  </si>
  <si>
    <t>관리용도로 허용된 IP만 접근 가능하도록 접근 통제가 되어 있지 않을 경우 "취약"으로 판단</t>
  </si>
  <si>
    <t>- 보안장비 원격 관리 시 관리자 IP만 접근이 가능하도록 설정하였는지 여부를 점검
- 관리콘솔에 접속할 수 있는 IP제한 설정이 없는 경우 방화벽 등을 통해 해당 장비로의 접근제어를 수행하고 있는지 여부를 점검</t>
  </si>
  <si>
    <t>보안장비 접속에 대한 성공/실패 기록이 없는 경우 "취약"으로 판단</t>
  </si>
  <si>
    <t>보안장비의 로그인 계정에 대한 성공/실패 로깅 설정이 적용되어 있는지 여부를 점검</t>
  </si>
  <si>
    <t>로그인 실패횟수 제한 설정이 5회 이내로 미설정 시 "취약"으로 판단</t>
  </si>
  <si>
    <t>보안장비에서 제공하고 있는 로그인 실패 임계값 설정이 5회 이내로 제한되어 있는지 여부를 점검</t>
  </si>
  <si>
    <t>◦ 내부 규정에 세션 종료 시간이 명시 되어 있을 경우
  - 모든 Line에 Session Timeout이 내부 규정에 명시된 세션 종료 시간 초과 설정 시 "취약"으로 판단
◦ 내부 규정에 세션 종료시간이 명시되어 있지 않을 경우
  - 모든 Line에 Session Timeout이 15분 초과 설정 시 "취약"으로 판단
  ※ 모니터링 계정에 대해서는 세션 타임아웃에 대한 예외 허용</t>
  </si>
  <si>
    <t>보안장비에 Session Timeout 설정을 적용하였는지 여부를 점검</t>
  </si>
  <si>
    <t>NTP 서버 동기화가 미설정 되어 있는 경우 "취약"으로 판단</t>
  </si>
  <si>
    <t>보안장비의 NTP 서버 연동 설정 및 시간 동기화 적용 여부를 점검</t>
  </si>
  <si>
    <t>주요 파일에 대해 주기적으로 무결성 검사 미수행 시 "취약"으로 판단
단, 무결성 검사 기능 미지원 시 해당없음(N/A)</t>
  </si>
  <si>
    <t>주요 파일에 대한 주기적인 무결성 검사 여부를 점검</t>
  </si>
  <si>
    <t>해당 보안장비의 운영 목적에 부합하지 않는 서비스가 구동될 경우 "취약"으로 판단</t>
  </si>
  <si>
    <t>정보보호시스템 기능 이외의 서비스 사용 여부를 점검</t>
  </si>
  <si>
    <t>보안장비 정책 변경 시 내부 변경절차에 따르지 않고, 임의적으로 변경이 이루어지는 경우 "취약"으로 판단</t>
  </si>
  <si>
    <t>내부 변경절차(신청서 및 작업계획서 등)를 따르지 않고, 보안장비 정책을 임의로 변경하고 있는지 여부를 점검</t>
  </si>
  <si>
    <t>보안정책 신청 시 정보보호시스템 관리자의 검토 후 적용되고 있지 않을 경우 "취약"으로 판단</t>
  </si>
  <si>
    <t>보안정책 신청 시 담당자가 해당 정책의 안전성, 적정성 등의 기술검토 후 변경이 이루어지는지 점검</t>
  </si>
  <si>
    <t>모든 목적지(ANY)의 모든 서비스(ALL)로의 허용 정책이 존재할 경우 "취약"으로 판단</t>
  </si>
  <si>
    <t>신뢰할 수 있는 내부 시스템인 경우에도, 모든 목적지(ANY)의 모든 서비스(ALL)로의 허용정책이 존재하고 있는지 여부를 점검</t>
  </si>
  <si>
    <t>출발지 또는 목적지가 ANY 또는 네트워크 IP대역으로 적용되어 있고, 관리용도 또는 취약한 포트로 허용된 정책이 존재할 경우 "취약"으로 판단
  - 관리포트 : FTP (TCP 20, 21), SSH(TCP 22), Telnet(TCP 23), MSSQL(TCP 1433, 1434), Oracle(TCP 1521, 1522), MySQL(TCP 3306), MS-RDP(TCP 3389), TFTP(UDP 69), R-Service(TCP 512, 513, 514), Xmanager(UDP 177, 7000, 7100, TCP 7500, 6000-6010, 16001), NetBIOS(UDP 135, 136, 137, 138, TCP 139, 445) 등</t>
  </si>
  <si>
    <t>출발지 또는 목적지가 ANY 또는 네트워크 IP대역으로 적용되어 있고, 관리용도 또는 취약한 포트로 허용된 정책이 존재하는지 여부를 점검</t>
  </si>
  <si>
    <t>과도한 서비스*로의 허용정책이 존재할 경우 "취약"으로 판단
  * 예) ALL, TCP ALL, UDP ALL, 1024-65535 서비스 등</t>
  </si>
  <si>
    <t>과도한 서비스로의 허용정책(ALL, TCP ALL, UDP ALL, 1024-65535 등) 설정 여부를 점검</t>
  </si>
  <si>
    <t>양방향으로 설정된 정책이 존재하는 경우 "취약"으로 판단</t>
  </si>
  <si>
    <t>- 불필요하게 양방향으로 설정된 정책이 존재하는지 여부를 점검
- 양방향으로 허용될 필요성이 없는 관리용/DB접속용 포트(21, 22, 23, 3389, 1521-1522, 1433-1434, 3306 등)를 중점으로 양방향 설정 여부를 점검</t>
  </si>
  <si>
    <t xml:space="preserve">보안장비 정책 적용 순서에 오류가 존재하는 경우 "취약"으로 판단 </t>
  </si>
  <si>
    <t>◦ 보안장비 정책 적용 순서에 오류가 존재하는지 여부를 점검
 - Black List IP, 악성코드 유포 등 유해사이트 차단 정책이 상위정책에 있지 않거나 동일IP 및 서비스 포트에 대해 정책적용 순서에 오류가 있는지 여부를 점검</t>
  </si>
  <si>
    <t>출발지 포트 기반의 정책이 존재할 경우 "취약"으로 판단</t>
  </si>
  <si>
    <t>출발지 포트를 기반으로 하는 정책이 존재하는지 여부를 점검</t>
  </si>
  <si>
    <t>취약한 원격서비스 허용 정책이 존재할 경우 "취약"으로 판단</t>
  </si>
  <si>
    <t>◦ 비밀번호 없이 서버에 접근 가능한 원격 서비스 허용 정책이 존재하는지 여부를 점검
  - r-계열 서비스(TCP 512-514), TFTP(UDP 69) 등 존재 여부를 점검
◦ 보안 취약점에 노출된 원격 서비스 허용 정책이 존재하는지 여부를 점검
  예) 취약한 Xmanager 버전
  Xmanager Enterprise 5 Build 1232, Xmanager Enterprise 5 Build 1045, Xshell 5 Build 1322, Xftp 5 Build 1218, Xlpd 5 Build 1220</t>
  </si>
  <si>
    <t>6개월 이상 사용하지 않거나 기타 불필요한 정책 존재 시 "취약"으로 판단</t>
  </si>
  <si>
    <t>◦ 보안장비 정책에 미사용 정책 및 불필요한 정책이 존재하는지 여부를 점검
 - 정책별 사용률 파악이 어려울 경우 내부 규정을 통해 정기적으로 점검하는 절차를 수립하고 준수하는지 여부를 확인</t>
  </si>
  <si>
    <t>서버와 서버간에 관리포트 허용 정책이 존재할 경우 "취약"으로 판단
  - 관리포트 : FTP (TCP 20, 21), SSH(TCP 22), Telnet(TCP 23), MSSQL(TCP 1433, 1434), Oracle(TCP 1521, 1522), MySQL(TCP 3306), MS-RDP(TCP 3389)</t>
  </si>
  <si>
    <t>- 서버와 서버간 관리포트 허용 정책이 존재하는지 여부를 점검
- 관리포트를 이용한 서버 접속을 지정된 단말기를 통해서만 접속하는지 여부를 점검</t>
  </si>
  <si>
    <t>사용자 접근권한 및 감사로그 증적이 가능한 접근통제시스템을 거치지 않고 단말과 서버간 직접 접속하는 정책이 존재할 경우 "취약"으로 판단</t>
  </si>
  <si>
    <t>사용자 접근권한 및 감사로그 증적이 가능한 접근통제시스템을 거치지 않고 단말과 서버간에 직접 접속하는 정책이 존재하는지 여부를 점검</t>
  </si>
  <si>
    <t>보안장비 접근자의 비밀번호를 주기적(분기별 1회 이상)으로 변경하고 있지 않을 경우 "취약"으로 판단</t>
  </si>
  <si>
    <t>- 보안장비 비밀번호의 주기적인 변경 여부를 점검
- 비밀번호 변경 주기를 설정할 수 없는 보안장비의 경우 내부 비밀번호 통제절차를 수립하여 변경 및 관리하고 있는지 여부를 점검</t>
  </si>
  <si>
    <t>출발지 또는 목적지가 ANY 또는 네트워크 IP대역으로 불필요하게 적용되어 허용된 정책이 존재할 경우 "취약"으로 판단</t>
  </si>
  <si>
    <t>출발지 또는 목적지가 ANY 또는 네트워크 IP대역으로 불필요하게 적용되어 허용된 정책이 존재하는지 여부를 점검</t>
  </si>
  <si>
    <t>ISS-042</t>
  </si>
  <si>
    <t>ISS-042</t>
    <phoneticPr fontId="1" type="noConversion"/>
  </si>
  <si>
    <t>차단 기능 비활성화 여부</t>
  </si>
  <si>
    <t>ㅇ 서비스 장애 여부 등과 관련없이 불필요하게 보안장비의 차단 기능을 비활성화하여 운영할 경우, 악의적인 공격에 노출될 위험이 존재하므로, 차단 기능에 대한 비활성화 여부를 점검</t>
  </si>
  <si>
    <t>서비스 운영상 불필요하게 차단 기능을 비활성화 하여 운영할 경우 "취약"으로 판단</t>
  </si>
  <si>
    <t>1. 최근 1개월 이상 차단 로그를 확인하여, 차단 기록 존재 여부를 확인
2. 차단 기능* 비활성화 여부를 확인
  * HW/SW Bypass 모드 활성화 여부를 확인</t>
  </si>
  <si>
    <t>SS(샘플)</t>
    <phoneticPr fontId="5" type="noConversion"/>
  </si>
  <si>
    <t>FW</t>
    <phoneticPr fontId="5" type="noConversion"/>
  </si>
  <si>
    <t>WAF</t>
    <phoneticPr fontId="5" type="noConversion"/>
  </si>
  <si>
    <t>o</t>
  </si>
  <si>
    <t>평가대상
(FW)</t>
    <phoneticPr fontId="59" type="noConversion"/>
  </si>
  <si>
    <t>평가대상
(VPN)</t>
    <phoneticPr fontId="59" type="noConversion"/>
  </si>
  <si>
    <t>평가대상
(IDS)</t>
    <phoneticPr fontId="59" type="noConversion"/>
  </si>
  <si>
    <t>평가대상
(IPS)</t>
    <phoneticPr fontId="59" type="noConversion"/>
  </si>
  <si>
    <t>평가대상
(DDoS)</t>
    <phoneticPr fontId="59" type="noConversion"/>
  </si>
  <si>
    <t>평가대상
(WAF)</t>
    <phoneticPr fontId="59" type="noConversion"/>
  </si>
  <si>
    <t>보안장비의 차단 기능을 활성화</t>
    <phoneticPr fontId="1" type="noConversion"/>
  </si>
  <si>
    <t>구분</t>
    <phoneticPr fontId="1" type="noConversion"/>
  </si>
  <si>
    <r>
      <rPr>
        <b/>
        <sz val="11"/>
        <color indexed="10"/>
        <rFont val="맑은 고딕"/>
        <family val="3"/>
        <charset val="129"/>
      </rPr>
      <t>• 긴급히 조치해야할 취약점</t>
    </r>
    <r>
      <rPr>
        <sz val="11"/>
        <rFont val="맑은 고딕"/>
        <family val="3"/>
        <charset val="129"/>
      </rPr>
      <t>을 우선적으로 제거</t>
    </r>
    <phoneticPr fontId="5" type="noConversion"/>
  </si>
  <si>
    <t>• "보안가이드"의 &lt;조치방안&gt;을 참고하여 시스템 환경과 서비스에 맞추어 취약점 제거</t>
    <phoneticPr fontId="5" type="noConversion"/>
  </si>
  <si>
    <t>이행 후 요약 통계</t>
    <phoneticPr fontId="1" type="noConversion"/>
  </si>
  <si>
    <t>#숨김. 전년도 점검 결과</t>
    <phoneticPr fontId="1" type="noConversion"/>
  </si>
  <si>
    <t>◈ 상세 점검 결과</t>
    <phoneticPr fontId="34" type="noConversion"/>
  </si>
  <si>
    <t>자산등급</t>
    <phoneticPr fontId="34" type="noConversion"/>
  </si>
  <si>
    <t>보안수준</t>
    <phoneticPr fontId="1" type="noConversion"/>
  </si>
  <si>
    <t>담당부서</t>
    <phoneticPr fontId="34" type="noConversion"/>
  </si>
  <si>
    <t>◈ 자산평가 결과</t>
    <phoneticPr fontId="34" type="noConversion"/>
  </si>
  <si>
    <t>O 보안 수준 계산(숨김)</t>
    <phoneticPr fontId="34" type="noConversion"/>
  </si>
  <si>
    <t>④ 보고서 종류별 '통합 점검결과' 시트 변경하기</t>
    <phoneticPr fontId="1" type="noConversion"/>
  </si>
  <si>
    <t>취약성 평가</t>
    <phoneticPr fontId="1" type="noConversion"/>
  </si>
  <si>
    <t>취약점 진단 및 조치</t>
    <phoneticPr fontId="1" type="noConversion"/>
  </si>
  <si>
    <t>정책 및 로그에 대한 백업을 하지 않음</t>
  </si>
  <si>
    <t>정기적으로 정책 및 로그에 대해 백업을 실시</t>
  </si>
  <si>
    <t>로그서버를 설치하여 별도로 로그파일을 관리</t>
  </si>
  <si>
    <t>공개용 서버 구간을 DMZ로 설정하여 내부네트워크를 보호</t>
  </si>
  <si>
    <t>외부에 공개 필요성이 없는 정보시스템에  NAT 정책 적용</t>
  </si>
  <si>
    <t>정보보호시스템 OS 및 패턴 업데이트 최신버전을 적용하거나, 주기적인 패치관리 절차 수립 및 적용</t>
  </si>
  <si>
    <t>보안장비 사용량을 검토하여 CPU, 메모리 등 장비 가용성 확보</t>
  </si>
  <si>
    <t>공격장후, 시스템 운영상 장애 발생에 대해 실시간 대응을 위한 실시간 모니터링 실시</t>
  </si>
  <si>
    <t>정기적으로 보안이벤트 및 로그에 대한 분석 및 보고</t>
  </si>
  <si>
    <t>침해사고 발생 시 정확한 분석을 위해 위험도가 높은 이벤트 및 로그에 대한 RAW패킷 저장</t>
  </si>
  <si>
    <t>TCP/UPD/ICMP Flooding 공격 등에 대한 탐지 및 차단 패턴 적용</t>
  </si>
  <si>
    <t>Port Scan에 대한 탐지 및 차단 패턴 적용</t>
  </si>
  <si>
    <t>악성코드에 대한 탐지 및 차단 패턴 적용</t>
  </si>
  <si>
    <t>보안장비 내 Source Routing 설정 제거</t>
  </si>
  <si>
    <t>불필요한 경우 SNMP 서비스 중지</t>
  </si>
  <si>
    <t>보안장비 접속시 암호화 통신(SSL. SSH등)을 사용</t>
  </si>
  <si>
    <t>Default 계정명을 변경하여 사용</t>
  </si>
  <si>
    <t>기본 비밀번호를 사용하지 않고, 비밀번호를 이용자 식별부호(아이디), 생년월일, 주민등록번호, 전화번호를 포함하지 않은 숫자, 영문자, 특수문자를 포함하여 8자리 이상으로 설정</t>
  </si>
  <si>
    <t>사용자별 계정 사용 및 불필요 계정 제거</t>
  </si>
  <si>
    <t>사용자별 계정의 용도를 파악하여 적절한 권한 부여</t>
  </si>
  <si>
    <t>보안장비 접근이 필요한 관리용 단말의 IP만 접근 가능하도록 접근통제 설정</t>
  </si>
  <si>
    <t>보안장비 접근 계정의 로그인 성공/실패 로그를 저장</t>
  </si>
  <si>
    <t>로그온 실패 횟수를 5회 이하로 제한</t>
  </si>
  <si>
    <t>Session Timeout 시간을 내부 규정에 명시된 시간으로 설정 (단, 내부 규정에 명시되어있지 않을 시 15분 이하 설정)</t>
  </si>
  <si>
    <t>NTP서버를 설정하여 시스템간 실시간 시간 동기화 설정</t>
  </si>
  <si>
    <t>주요 파일에 대한 주기적인 무결성 검사 수행</t>
  </si>
  <si>
    <t>보안장비 운영 목적에 부합하지 않은 서비스 비활성화</t>
  </si>
  <si>
    <t>보안 정책 변경 시 내부 절차 수립 및 적용</t>
  </si>
  <si>
    <t>현업 등에서 신청한 정책(룰) 생성/변경/삭제시 관리자가 정책(룰) 적정성 여부 등을 점검후 승인</t>
  </si>
  <si>
    <t>모든 목적지의 모든 서비스로의 허용정책은 불필요한 접근을 허용하는 정책을 점검하여 불필요한 허용 제거</t>
  </si>
  <si>
    <t>불필요한 접근을 허용하는 위험성이 있는 정책을 점검하여 제거</t>
  </si>
  <si>
    <t>관리용도 또는 취약한 포트로 허용된 정책은 출발지 또는 목적지를 ANY또는 네트워크 IP대역대로 설정하지 않음</t>
  </si>
  <si>
    <t>불필요한 양방향 정책 점검 후 제거</t>
  </si>
  <si>
    <t>정책 점검 후 순서에 오류가 있는 정책의 순서 변경 및 불필요 정책 제거</t>
  </si>
  <si>
    <t>출발지 포트 기반의 정책 점검 후 제거</t>
  </si>
  <si>
    <t>취약한 원격서비스(r-계열 서비스(TCP 512-514), TFTP(UDP 69). 취약한 Xmanager 버전(Xmanager Enterprise 5 Build 1232, Xmanager Enterprise 5 Build 1045, Xshell 5 Build 1322, Xftp 5 Build 1218, Xlpd 5 Build 1220) 등 ) 허용 정책 제거</t>
  </si>
  <si>
    <t>테스트용도 혹은 현재 사용하지 않는 서비스에 대한 허용정책, 불필요한 포트 등 사용하지 않는 정책 제거</t>
  </si>
  <si>
    <t>서버간 관리포트 허용 정책 제거
(관리포트 : FTP (TCP 20, 21), SSH(TCP 22), Telnet(TCP 23), MSSQL(TCP 1433, 1434), Oracle(TCP 1521, 1522), MySQL(TCP 3306), MS-RDP(TCP 3389))</t>
  </si>
  <si>
    <t>사용자 접근권한 및 감사로그 증적이 가능한 접근통제시스템을 거치지 않고 단말과 서버 간 직접 접속이 가능한 정책 제거</t>
  </si>
  <si>
    <t>주기적(분기 1회 이상)인 비밀번호 변경</t>
  </si>
  <si>
    <t>출발지 또는 목적지가 ANY 또는 네트워크 IP 대역대로 불필요하게 적용되어 허용된 정책 제거</t>
  </si>
  <si>
    <t>TG-02</t>
  </si>
  <si>
    <t>관리 및 운영 절차의 부재 또는 미흡</t>
  </si>
  <si>
    <t>모니터링 미흡</t>
  </si>
  <si>
    <t>패치관리 미흡</t>
  </si>
  <si>
    <t>불필요 시스템 사용</t>
  </si>
  <si>
    <t>계정 침해</t>
  </si>
  <si>
    <t>환경설정 미흡</t>
  </si>
  <si>
    <t>심각도</t>
    <phoneticPr fontId="1" type="noConversion"/>
  </si>
  <si>
    <t>발생빈도</t>
    <phoneticPr fontId="1" type="noConversion"/>
  </si>
  <si>
    <t>M</t>
  </si>
  <si>
    <t>H</t>
  </si>
  <si>
    <t>정보보호계획 수립기준</t>
    <phoneticPr fontId="1" type="noConversion"/>
  </si>
  <si>
    <t>◈ 요약 통계</t>
    <phoneticPr fontId="5" type="noConversion"/>
  </si>
  <si>
    <t>◈ 전년도 점검 결과</t>
    <phoneticPr fontId="5" type="noConversion"/>
  </si>
  <si>
    <t>◈ 전년도 올해 결과 비교</t>
    <phoneticPr fontId="5" type="noConversion"/>
  </si>
  <si>
    <t>◈ 통합 점검결과</t>
    <phoneticPr fontId="5" type="noConversion"/>
  </si>
  <si>
    <t>본 보고서는 취약점 점검 결과에 대한 보고서입니다. 따라서 본 보고서와 "보안 가이드"를 함께 참고하여 취약점이 도출된 항목에 대해 취약점을 제거 함으로써 해당 자산의 보안 강화를 목적으로 합니다.</t>
    <phoneticPr fontId="5" type="noConversion"/>
  </si>
  <si>
    <t>2. 보안수준 평가</t>
    <phoneticPr fontId="5" type="noConversion"/>
  </si>
  <si>
    <t>• 항목 중요도 : 진단 항목의 중요도 값
• N(가중치) : 진단결과가 양호일 경우 1로 설정, 취약일 경우 0으로 설정</t>
    <phoneticPr fontId="1" type="noConversion"/>
  </si>
  <si>
    <t>2.2 현황점수 분포</t>
    <phoneticPr fontId="1" type="noConversion"/>
  </si>
  <si>
    <t>진단 결과</t>
    <phoneticPr fontId="5" type="noConversion"/>
  </si>
  <si>
    <t>평가항목 중요도</t>
    <phoneticPr fontId="5" type="noConversion"/>
  </si>
  <si>
    <t>상(5)</t>
    <phoneticPr fontId="1" type="noConversion"/>
  </si>
  <si>
    <t>상(4)</t>
    <phoneticPr fontId="1" type="noConversion"/>
  </si>
  <si>
    <t>중(3)</t>
    <phoneticPr fontId="1" type="noConversion"/>
  </si>
  <si>
    <t>하(2)</t>
    <phoneticPr fontId="1" type="noConversion"/>
  </si>
  <si>
    <t>하(1)</t>
    <phoneticPr fontId="1" type="noConversion"/>
  </si>
  <si>
    <t>취약
(취약점 발견)</t>
    <phoneticPr fontId="1" type="noConversion"/>
  </si>
  <si>
    <t>0점</t>
    <phoneticPr fontId="1" type="noConversion"/>
  </si>
  <si>
    <t>2.3 보안지수 계산</t>
    <phoneticPr fontId="1" type="noConversion"/>
  </si>
  <si>
    <t>보안지수(%) =       X 100</t>
    <phoneticPr fontId="1" type="noConversion"/>
  </si>
  <si>
    <t>• A(현황점수) : 식별된 양호 항목의 점수 합
• B(전체점수) : N/A를 제외한 평가항목의 점수 합</t>
    <phoneticPr fontId="1" type="noConversion"/>
  </si>
  <si>
    <t>2.4 보안등급 분류</t>
    <phoneticPr fontId="1" type="noConversion"/>
  </si>
  <si>
    <t>보안등급</t>
    <phoneticPr fontId="5" type="noConversion"/>
  </si>
  <si>
    <t>보안 지수</t>
    <phoneticPr fontId="5" type="noConversion"/>
  </si>
  <si>
    <t>보안 수준</t>
    <phoneticPr fontId="5" type="noConversion"/>
  </si>
  <si>
    <t>우수</t>
    <phoneticPr fontId="5" type="noConversion"/>
  </si>
  <si>
    <t>90% ≤ Z ≤ 100%</t>
    <phoneticPr fontId="1" type="noConversion"/>
  </si>
  <si>
    <r>
      <rPr>
        <sz val="10"/>
        <rFont val="Calibri"/>
        <family val="3"/>
      </rPr>
      <t xml:space="preserve"> “</t>
    </r>
    <r>
      <rPr>
        <sz val="10"/>
        <rFont val="맑은 고딕"/>
        <family val="3"/>
        <charset val="129"/>
        <scheme val="major"/>
      </rPr>
      <t>금융분야</t>
    </r>
    <r>
      <rPr>
        <sz val="10"/>
        <rFont val="Calibri"/>
        <family val="3"/>
      </rPr>
      <t xml:space="preserve"> </t>
    </r>
    <r>
      <rPr>
        <sz val="10"/>
        <rFont val="맑은 고딕"/>
        <family val="3"/>
        <charset val="129"/>
        <scheme val="major"/>
      </rPr>
      <t>취약점</t>
    </r>
    <r>
      <rPr>
        <sz val="10"/>
        <rFont val="Calibri"/>
        <family val="3"/>
      </rPr>
      <t xml:space="preserve"> </t>
    </r>
    <r>
      <rPr>
        <sz val="10"/>
        <rFont val="맑은 고딕"/>
        <family val="3"/>
        <charset val="129"/>
        <scheme val="major"/>
      </rPr>
      <t>분석</t>
    </r>
    <r>
      <rPr>
        <sz val="10"/>
        <rFont val="Calibri"/>
        <family val="3"/>
      </rPr>
      <t>·</t>
    </r>
    <r>
      <rPr>
        <sz val="10"/>
        <rFont val="맑은 고딕"/>
        <family val="3"/>
        <charset val="129"/>
        <scheme val="major"/>
      </rPr>
      <t>평가</t>
    </r>
    <r>
      <rPr>
        <sz val="10"/>
        <rFont val="Calibri"/>
        <family val="3"/>
      </rPr>
      <t xml:space="preserve"> </t>
    </r>
    <r>
      <rPr>
        <sz val="10"/>
        <rFont val="맑은 고딕"/>
        <family val="3"/>
        <charset val="129"/>
        <scheme val="major"/>
      </rPr>
      <t>기준”</t>
    </r>
    <r>
      <rPr>
        <sz val="10"/>
        <rFont val="Calibri"/>
        <family val="3"/>
      </rPr>
      <t xml:space="preserve"> </t>
    </r>
    <r>
      <rPr>
        <sz val="10"/>
        <rFont val="맑은 고딕"/>
        <family val="3"/>
        <charset val="129"/>
        <scheme val="major"/>
      </rPr>
      <t>요구사항에</t>
    </r>
    <r>
      <rPr>
        <sz val="10"/>
        <rFont val="Calibri"/>
        <family val="3"/>
      </rPr>
      <t xml:space="preserve"> </t>
    </r>
    <r>
      <rPr>
        <sz val="10"/>
        <rFont val="맑은 고딕"/>
        <family val="3"/>
        <charset val="129"/>
        <scheme val="major"/>
      </rPr>
      <t>준수하는</t>
    </r>
    <r>
      <rPr>
        <sz val="10"/>
        <rFont val="Calibri"/>
        <family val="3"/>
      </rPr>
      <t xml:space="preserve"> </t>
    </r>
    <r>
      <rPr>
        <sz val="10"/>
        <rFont val="맑은 고딕"/>
        <family val="3"/>
        <charset val="129"/>
        <scheme val="major"/>
      </rPr>
      <t>정보보호</t>
    </r>
    <r>
      <rPr>
        <sz val="10"/>
        <rFont val="Calibri"/>
        <family val="3"/>
      </rPr>
      <t xml:space="preserve"> </t>
    </r>
    <r>
      <rPr>
        <sz val="10"/>
        <rFont val="맑은 고딕"/>
        <family val="3"/>
        <charset val="129"/>
        <scheme val="major"/>
      </rPr>
      <t>통제가</t>
    </r>
    <r>
      <rPr>
        <sz val="10"/>
        <rFont val="Calibri"/>
        <family val="3"/>
      </rPr>
      <t xml:space="preserve"> </t>
    </r>
    <r>
      <rPr>
        <sz val="10"/>
        <rFont val="맑은 고딕"/>
        <family val="3"/>
        <charset val="129"/>
        <scheme val="major"/>
      </rPr>
      <t>잘</t>
    </r>
    <r>
      <rPr>
        <sz val="10"/>
        <rFont val="Calibri"/>
        <family val="3"/>
      </rPr>
      <t xml:space="preserve"> </t>
    </r>
    <r>
      <rPr>
        <sz val="10"/>
        <rFont val="맑은 고딕"/>
        <family val="3"/>
        <charset val="129"/>
        <scheme val="major"/>
      </rPr>
      <t>실행되며</t>
    </r>
    <r>
      <rPr>
        <sz val="10"/>
        <rFont val="Calibri"/>
        <family val="3"/>
      </rPr>
      <t xml:space="preserve">, </t>
    </r>
    <r>
      <rPr>
        <sz val="10"/>
        <rFont val="맑은 고딕"/>
        <family val="3"/>
        <charset val="129"/>
        <scheme val="major"/>
      </rPr>
      <t>이를</t>
    </r>
    <r>
      <rPr>
        <sz val="10"/>
        <rFont val="Calibri"/>
        <family val="3"/>
      </rPr>
      <t xml:space="preserve"> </t>
    </r>
    <r>
      <rPr>
        <sz val="10"/>
        <rFont val="맑은 고딕"/>
        <family val="3"/>
        <charset val="129"/>
        <scheme val="major"/>
      </rPr>
      <t>증빙할</t>
    </r>
    <r>
      <rPr>
        <sz val="10"/>
        <rFont val="Calibri"/>
        <family val="3"/>
      </rPr>
      <t xml:space="preserve"> </t>
    </r>
    <r>
      <rPr>
        <sz val="10"/>
        <rFont val="맑은 고딕"/>
        <family val="3"/>
        <charset val="129"/>
        <scheme val="major"/>
      </rPr>
      <t>수</t>
    </r>
    <r>
      <rPr>
        <sz val="10"/>
        <rFont val="Calibri"/>
        <family val="3"/>
      </rPr>
      <t xml:space="preserve"> </t>
    </r>
    <r>
      <rPr>
        <sz val="10"/>
        <rFont val="맑은 고딕"/>
        <family val="3"/>
        <charset val="129"/>
        <scheme val="major"/>
      </rPr>
      <t>있는</t>
    </r>
    <r>
      <rPr>
        <sz val="10"/>
        <rFont val="Calibri"/>
        <family val="3"/>
      </rPr>
      <t xml:space="preserve"> </t>
    </r>
    <r>
      <rPr>
        <sz val="10"/>
        <rFont val="맑은 고딕"/>
        <family val="3"/>
        <charset val="129"/>
        <scheme val="major"/>
      </rPr>
      <t>수준</t>
    </r>
    <phoneticPr fontId="5" type="noConversion"/>
  </si>
  <si>
    <t>80% ≤ Z ≤ 90%</t>
    <phoneticPr fontId="1" type="noConversion"/>
  </si>
  <si>
    <t>“금융분야 취약점 분석·평가 기준” 요구사항에 준수하는 정보보호 통제가 대체로 실행되고 있으며, 이에 대해   증빙할 수 있는 수준</t>
    <phoneticPr fontId="5" type="noConversion"/>
  </si>
  <si>
    <t>보통</t>
    <phoneticPr fontId="1" type="noConversion"/>
  </si>
  <si>
    <t>70% ≤ Z ≤ 80%</t>
    <phoneticPr fontId="1" type="noConversion"/>
  </si>
  <si>
    <t>“금융분야 취약점 분석·평가 기준” 요구사항에 준수하는 정보보호 통제가 부분적으로 실행 중이며, 이에 대해   증빙이 어느정도 가능한 수준</t>
    <phoneticPr fontId="5" type="noConversion"/>
  </si>
  <si>
    <t>60% ≤ Z ≤ 70%</t>
    <phoneticPr fontId="1" type="noConversion"/>
  </si>
  <si>
    <t>“금융분야 취약점 분석·평가 기준” 요구사항에 준수하는 정보보호 통제가 일부분만 실행 중이며, 이에 대해     증빙이 어느정도 가능한 수준</t>
    <phoneticPr fontId="5" type="noConversion"/>
  </si>
  <si>
    <t>0% ≤ Z ≤ 60%</t>
    <phoneticPr fontId="5" type="noConversion"/>
  </si>
  <si>
    <t>“금융분야취약점 분석·평가 기준” 요구사항에 준수하는 정보보호 통제가 미약하거나 준수되지 않고 있으며, 이에 대해 증빙할 수 없는 수준</t>
    <phoneticPr fontId="5" type="noConversion"/>
  </si>
  <si>
    <t>3. 취약점 제거 방안</t>
    <phoneticPr fontId="5" type="noConversion"/>
  </si>
  <si>
    <t>◈ 보안등급 평가 결과</t>
    <phoneticPr fontId="1" type="noConversion"/>
  </si>
  <si>
    <t>진단대수</t>
    <phoneticPr fontId="1" type="noConversion"/>
  </si>
  <si>
    <t>점검항목</t>
    <phoneticPr fontId="1" type="noConversion"/>
  </si>
  <si>
    <t>전체점수(B)</t>
    <phoneticPr fontId="1" type="noConversion"/>
  </si>
  <si>
    <t>현황점수(A)</t>
    <phoneticPr fontId="1" type="noConversion"/>
  </si>
  <si>
    <t>보안지수</t>
    <phoneticPr fontId="1" type="noConversion"/>
  </si>
  <si>
    <t>보안등급</t>
    <phoneticPr fontId="1" type="noConversion"/>
  </si>
  <si>
    <t>정보보호시스템</t>
    <phoneticPr fontId="5" type="noConversion"/>
  </si>
  <si>
    <t>현황점수</t>
    <phoneticPr fontId="1" type="noConversion"/>
  </si>
  <si>
    <r>
      <rPr>
        <b/>
        <i/>
        <sz val="20"/>
        <color rgb="FFFF0000"/>
        <rFont val="맑은 고딕"/>
        <family val="3"/>
        <charset val="129"/>
        <scheme val="minor"/>
      </rPr>
      <t>기관명</t>
    </r>
    <r>
      <rPr>
        <b/>
        <sz val="20"/>
        <color rgb="FFFFFFFF"/>
        <rFont val="맑은 고딕"/>
        <family val="3"/>
        <charset val="129"/>
        <scheme val="minor"/>
      </rPr>
      <t xml:space="preserve">
</t>
    </r>
    <r>
      <rPr>
        <b/>
        <sz val="18"/>
        <color rgb="FFFFFFFF"/>
        <rFont val="맑은 고딕"/>
        <family val="3"/>
        <charset val="129"/>
        <scheme val="minor"/>
      </rPr>
      <t>정보보호시스템 취약점 점검 상세 결과보고서</t>
    </r>
    <phoneticPr fontId="1" type="noConversion"/>
  </si>
  <si>
    <t>취약</t>
    <phoneticPr fontId="1" type="noConversion"/>
  </si>
  <si>
    <t>미흡</t>
    <phoneticPr fontId="1" type="noConversion"/>
  </si>
  <si>
    <t>이 보고서의 저작권은 ㈜린시큐어에 있음. 저작권법에 의해 보호받는 저작물이므로 어떠한 형태로든 무단전재 및 복제를 금함. 본 보고서의 내용에 대해서 ㈜린시큐어의 문서상 동의 없이는, 전체 혹은 부분적으로도 인용이 불가함을 알리며 동의 없이 사용할 시는 관련법에 의해 처벌받을 수 있음.</t>
    <phoneticPr fontId="5" type="noConversion"/>
  </si>
  <si>
    <t>SS(샘플)_이행</t>
    <phoneticPr fontId="5" type="noConversion"/>
  </si>
  <si>
    <t>안전한 네트워크 모니터링 서비스 사용</t>
    <phoneticPr fontId="1" type="noConversion"/>
  </si>
  <si>
    <t>o 네트워크 모니터링 서비스의 보안 설정이 미비할 경우 데이터 변조, 도청 및 중간자 공격으로 시스템 정보 및 상태정보가 유출될 가능성이 존재하므로 프로토콜에 따라 알맞은 보안설정 및 안전한 버전을 적용하여 사용하고 있는지 여부를 점검</t>
    <phoneticPr fontId="1" type="noConversion"/>
  </si>
  <si>
    <t>- SNMP v3 사용 가능한 환경에서 v2를 이용 시
- SNMP v3 사용 시 보안설정이 적용되지 않은 경우
- SNMP v2 사용 시 SNMP Community String 초기 값인 Public이나 Private으로 설정되어 있거나, 유추하기 쉬운 문자열(기관명, 기기명 등)로 설정되어 있고 암호의 복잡도와 유사한 복잡도(문자+숫자+특수문자 조합)를 만족하지 않을 경우 "취약"으로 판단
※  (복잡도) 숫자+문자+특수문자 중 2종류 이상으로 조합 시 10자 이상, 3종류 이상으로 조합 시 8자 이상</t>
    <phoneticPr fontId="1" type="noConversion"/>
  </si>
  <si>
    <t>- SNMP v3 사용 가능한 환경에서 v2를 이용하고 있는지 점검
- SNMP v3 사용 시 보안레벨 설정이 AuthPriv로 설정되어 있는지 확인
- SNMP v2 사용 시 Community String이 초기 값(Public, Private)으로 되어 있거나, 유추하기 쉬운 문자열로 설정되어 있는지 여부를 점검</t>
    <phoneticPr fontId="1" type="noConversion"/>
  </si>
  <si>
    <t>1. SNMP 서비스를 비활성화 
2. SNMP v3 사용 시 보안레벨 설정이 AuthPriv로 설정
3. SNMP v2 사용 시 Community String이 초기 값(Public, Private)을 변경해주고, 숫자+문자+특수문자 중 2종류 이상으로 조합 시 10자 이상, 3종류 이상으로 조합 시 8자 이상으로 복잡도 설정
※ 3번의 경우 SNMP v3 사용할 수 없는 환경만 적용</t>
    <phoneticPr fontId="1" type="noConversion"/>
  </si>
  <si>
    <t>2.1 현황점수 계산</t>
    <phoneticPr fontId="1" type="noConversion"/>
  </si>
  <si>
    <t>현황점수 = 항목 중요도 X N</t>
    <phoneticPr fontId="1" type="noConversion"/>
  </si>
  <si>
    <t>2025-01-00</t>
    <phoneticPr fontId="1" type="noConversion"/>
  </si>
  <si>
    <t>2025.00.00.</t>
    <phoneticPr fontId="1" type="noConversion"/>
  </si>
  <si>
    <t>ISS-015</t>
    <phoneticPr fontId="1" type="noConversion"/>
  </si>
  <si>
    <t>안전한 네트워크 모니터링 서비스 사용</t>
    <phoneticPr fontId="1" type="noConversion"/>
  </si>
  <si>
    <t>◈ 점검대상</t>
    <phoneticPr fontId="5" type="noConversion"/>
  </si>
  <si>
    <t>▣ 위협 분석 및 평가</t>
  </si>
  <si>
    <t>분 류</t>
  </si>
  <si>
    <t>T_code
(Threat)</t>
  </si>
  <si>
    <t>위협 항목</t>
  </si>
  <si>
    <t>내 용</t>
  </si>
  <si>
    <t>심각도
(H,M,L)</t>
  </si>
  <si>
    <t>발생빈도
(H,M,L)</t>
  </si>
  <si>
    <t>심각도
(점수)</t>
    <phoneticPr fontId="59" type="noConversion"/>
  </si>
  <si>
    <t>발생빈도
(점수)</t>
    <phoneticPr fontId="59" type="noConversion"/>
  </si>
  <si>
    <t>평가
점수</t>
    <phoneticPr fontId="5" type="noConversion"/>
  </si>
  <si>
    <t>위협등급</t>
    <phoneticPr fontId="59" type="noConversion"/>
  </si>
  <si>
    <t>위협도
(T_Value)</t>
    <phoneticPr fontId="59" type="noConversion"/>
  </si>
  <si>
    <t>일반적 재해(G)</t>
    <phoneticPr fontId="5" type="noConversion"/>
  </si>
  <si>
    <t>TG-01</t>
  </si>
  <si>
    <t>보안 규정 부재 또는 미흡</t>
  </si>
  <si>
    <t>- 보안 정책/지침/절차 수립의 부재 또는 미흡
- 상위기관 규정 미준수로 인한 보안사고의 발생</t>
    <phoneticPr fontId="59" type="noConversion"/>
  </si>
  <si>
    <t>- 운영/접근통제 절차 미흡/부재,
- 사후관리 절차 미흡/부재,
- 변경관리 절차 미흡,
- 검증/모니터링, 보고 절차 부재</t>
    <phoneticPr fontId="1" type="noConversion"/>
  </si>
  <si>
    <t>TG-03</t>
  </si>
  <si>
    <t>인력 가용성 위반</t>
  </si>
  <si>
    <t>- 전문 인력 부족 및 부적절한 배치</t>
    <phoneticPr fontId="59" type="noConversion"/>
  </si>
  <si>
    <t>TG-04</t>
  </si>
  <si>
    <t>유지보수 미비</t>
  </si>
  <si>
    <t>- 유지보수 미계약.
- 유지보수 활동 미흡으로 인한 장애 
- 서비스 수준 협정(SLA)의 부족 또는 불충분</t>
    <phoneticPr fontId="59" type="noConversion"/>
  </si>
  <si>
    <t>TG-05</t>
  </si>
  <si>
    <t>자산관리 미흡</t>
  </si>
  <si>
    <t>- 자산목록 문서 부재
- 내부 자산의 목록 관리 미흡, 중요도, 책임자/관리자 미설정
- 자산의 통제 미흡으로 인한 도난, 분실 등</t>
    <phoneticPr fontId="59" type="noConversion"/>
  </si>
  <si>
    <t>TG-06</t>
  </si>
  <si>
    <t>금융사기 및 부정</t>
  </si>
  <si>
    <t>- 각종 금융사기 및 부정 행위</t>
    <phoneticPr fontId="1" type="noConversion"/>
  </si>
  <si>
    <t>L</t>
  </si>
  <si>
    <t>TG-07</t>
  </si>
  <si>
    <t>사회공학적 침해
(사회공학적 공격)</t>
  </si>
  <si>
    <t>- 관리자/직원 사칭에 의한 정보 유출
- 타기관 사칭 및 외주직원에 의한 침해</t>
    <phoneticPr fontId="1" type="noConversion"/>
  </si>
  <si>
    <t>TG-08</t>
  </si>
  <si>
    <t>법 및 계약 요구사항</t>
  </si>
  <si>
    <t>- 법적 요구사항, 계약 상 지켜야 할 사항 인지 부족
- 법적 요구사항, 계약 조건에 대한 정보 부재</t>
    <phoneticPr fontId="1" type="noConversion"/>
  </si>
  <si>
    <t>TG-09</t>
  </si>
  <si>
    <t>자산 폐기 및 반출입 관리의 보호</t>
    <phoneticPr fontId="59" type="noConversion"/>
  </si>
  <si>
    <t>- PC 또는 서버 등 정보자산의 반출입 또는 폐기하였을 경우 사용자 전환 시 허가되지 않은 데이터 노출 발생</t>
    <phoneticPr fontId="59" type="noConversion"/>
  </si>
  <si>
    <t>TG-10</t>
  </si>
  <si>
    <t xml:space="preserve">외부 단말기의 물리적 통제 미흡 </t>
    <phoneticPr fontId="59" type="noConversion"/>
  </si>
  <si>
    <r>
      <t>- 재택근무에 사용되는 외부 단말기의 분실</t>
    </r>
    <r>
      <rPr>
        <sz val="10"/>
        <rFont val="MS Gothic"/>
        <family val="3"/>
        <charset val="128"/>
      </rPr>
      <t>･</t>
    </r>
    <r>
      <rPr>
        <sz val="10"/>
        <rFont val="맑은 고딕"/>
        <family val="3"/>
        <charset val="129"/>
      </rPr>
      <t>도난이나 타인의 정보 훔쳐보기 시 단말기 內 데이터가 유</t>
    </r>
    <r>
      <rPr>
        <sz val="10"/>
        <rFont val="MS Gothic"/>
        <family val="3"/>
        <charset val="128"/>
      </rPr>
      <t>･</t>
    </r>
    <r>
      <rPr>
        <sz val="10"/>
        <rFont val="맑은 고딕"/>
        <family val="3"/>
        <charset val="129"/>
      </rPr>
      <t>노출
- 외부 단말기를 통한 허가되지 않은 내부 네트워크 접근
- 악성코드에 감염된 외부 단말기로 내부 네트워크 연결 시 시스템 침해 가능</t>
    </r>
    <phoneticPr fontId="59" type="noConversion"/>
  </si>
  <si>
    <t>일반적 재해(G)</t>
  </si>
  <si>
    <t>TG-11</t>
  </si>
  <si>
    <t>공급망 관리 미흡</t>
  </si>
  <si>
    <t>- 회사에서 사용하는 핵심 소프트웨어, 시스템 등에 대해 특정 공급업체에 과도하게 의존할 경우, 공급업체의 파산, 계약 종료, 서비스 중단 등의 비상상황 발생 시 대체 방안 부재로 인해 업무 연속성 저해, 서비스 중단, 자산 손실 등의 피해 발생 가능</t>
    <phoneticPr fontId="1" type="noConversion"/>
  </si>
  <si>
    <t>TG-12</t>
  </si>
  <si>
    <t>정보의 검증 미흡</t>
  </si>
  <si>
    <t>- 회사 등에서 사용하게 되는 정보에 대해 검증 절차의 누락 또는 다중 검증 누락으로 인해 데이터의 유,노출이 발생
- 정보의 검증을 위해 사용 중인 제3의 기관이 침해 되어 정보의 무결성이 손상
- 전자정보(데이터, 전자문서 등)에 대한 비인가자의 임의 변경으로 데이터 무결성 침해</t>
    <phoneticPr fontId="1" type="noConversion"/>
  </si>
  <si>
    <t>TG-13</t>
  </si>
  <si>
    <t>사이버 공격 서비스</t>
  </si>
  <si>
    <t>- 기술과 AI의 발달로 사이버 범죄 수단이 서비스화(CaaS)되어 사이버 공격 진입장벽 완화</t>
    <phoneticPr fontId="1" type="noConversion"/>
  </si>
  <si>
    <t>TG-14</t>
  </si>
  <si>
    <t>오픈소스 공급자 검증 미흡</t>
  </si>
  <si>
    <t>- 검증되지 않은 오픈소스 소프트웨어 사용으로 인해 악성코드 감염 등 내부 시스템 침해 가능성 존재</t>
    <phoneticPr fontId="1" type="noConversion"/>
  </si>
  <si>
    <t>TG-15</t>
  </si>
  <si>
    <t>공격의 연계(이름 변경 예정)</t>
  </si>
  <si>
    <t>- 지정학적 불안 등으로 사이버 공격자들이 노리는 목표가 다양해지며, 목표에 도달하기 위한 다양한 우회 경로를 마련하기 위해 침해의 전염 등 다양한 방법을 시도 하고 있어 의도하지 않은 공격의 대상이 되어 피해를 받을 수 있음</t>
  </si>
  <si>
    <t>TG-16</t>
  </si>
  <si>
    <t>공동 대응 미흡</t>
  </si>
  <si>
    <t>- 사이버 위협 고도화로 단독 대응이 어려워지며, 탐지·분석·차단을 위한 전문기관과의 공동 대응 필요</t>
    <phoneticPr fontId="1" type="noConversion"/>
  </si>
  <si>
    <t>TG-17</t>
  </si>
  <si>
    <t>부족한 보안 지원</t>
  </si>
  <si>
    <t>- 현안 대응 우선으로 보안 지원이 소홀해지며, 자원 부족으로 알려진 공격조차 방어하지 못해 침해 및 서비스 중단 유발 가능</t>
    <phoneticPr fontId="1" type="noConversion"/>
  </si>
  <si>
    <t>TG-18</t>
  </si>
  <si>
    <t>서비스 제공 기업 모니터링</t>
  </si>
  <si>
    <t>- 신뢰된 제3자를 통한 소프트웨어 공급망 침투로 보안 사고 발생 위험이 존재</t>
    <phoneticPr fontId="1" type="noConversion"/>
  </si>
  <si>
    <t>TG-19</t>
  </si>
  <si>
    <t>위험의 전가</t>
  </si>
  <si>
    <t>- 사이버 보험 등 위험 전가 체계 미비로 인한 재정적 리스크 증가</t>
    <phoneticPr fontId="1" type="noConversion"/>
  </si>
  <si>
    <t>TG-20</t>
  </si>
  <si>
    <t>위험 관리</t>
    <phoneticPr fontId="1" type="noConversion"/>
  </si>
  <si>
    <t>- 정보시스템 자산에 대한 주기적 위험 분석 및 평가 미비로 인해 다양한 피해 유발</t>
    <phoneticPr fontId="1" type="noConversion"/>
  </si>
  <si>
    <t>TG-21</t>
  </si>
  <si>
    <t>회사와 보안의 불합치</t>
  </si>
  <si>
    <t>- 회사의 경영 목표와 보안 목표 간 정합성 부족으로 인해 보안 우선순위 하락 및 대응 역량 저하</t>
    <phoneticPr fontId="1" type="noConversion"/>
  </si>
  <si>
    <t>TG-22</t>
    <phoneticPr fontId="1" type="noConversion"/>
  </si>
  <si>
    <t>보안조직</t>
    <phoneticPr fontId="1" type="noConversion"/>
  </si>
  <si>
    <t>- 보안조직이 존재하지 않아 보안 정책 수립 및 이행이 체계적으로 이루어지지 않아 보안사고 발생</t>
    <phoneticPr fontId="1" type="noConversion"/>
  </si>
  <si>
    <t>H</t>
    <phoneticPr fontId="1" type="noConversion"/>
  </si>
  <si>
    <t>L</t>
    <phoneticPr fontId="1" type="noConversion"/>
  </si>
  <si>
    <t>TG-23</t>
    <phoneticPr fontId="1" type="noConversion"/>
  </si>
  <si>
    <t>인적보안</t>
    <phoneticPr fontId="1" type="noConversion"/>
  </si>
  <si>
    <t>- 주요직무자 식별, 서약서 작성, 교육, 퇴직 관리 등 입사에서 퇴사까지의 임직원에 대한 보안 활동 미흡으로 인한 보안사고 발생</t>
    <phoneticPr fontId="1" type="noConversion"/>
  </si>
  <si>
    <t>L</t>
    <phoneticPr fontId="1" type="noConversion"/>
  </si>
  <si>
    <t>TG-24</t>
    <phoneticPr fontId="1" type="noConversion"/>
  </si>
  <si>
    <t>문서 및 기록의 보호</t>
    <phoneticPr fontId="1" type="noConversion"/>
  </si>
  <si>
    <t>- 보안관련 문서 및 기록 관리 미흡으로 보안사고 발생</t>
    <phoneticPr fontId="1" type="noConversion"/>
  </si>
  <si>
    <t>TG-25</t>
    <phoneticPr fontId="1" type="noConversion"/>
  </si>
  <si>
    <t>정보보호 활동</t>
  </si>
  <si>
    <t>- 범위 누락, 자산 누락 등 보안활동 범위 미식별로 인해 보안사고 발생
- 적절치 않은 정보보안 계획(대책) 및 예산 반영으로 효과적인 보안사고 예방 및 대응 실패</t>
    <phoneticPr fontId="1" type="noConversion"/>
  </si>
  <si>
    <t>M</t>
    <phoneticPr fontId="1" type="noConversion"/>
  </si>
  <si>
    <t>인위적 재해(H)</t>
    <phoneticPr fontId="5" type="noConversion"/>
  </si>
  <si>
    <t>TH-01</t>
  </si>
  <si>
    <t>내외부 직원 통제 미흡</t>
  </si>
  <si>
    <t>- 내∙외부자에 의한 데이터 유출, 변조 및 파괴
- 내부직원의 통제 부족으로 인한 법적 피해 발생,
- 계약직 및 외부인에 의한 매체 또는 문서의 도난</t>
    <phoneticPr fontId="1" type="noConversion"/>
  </si>
  <si>
    <t>TH-02</t>
    <phoneticPr fontId="1" type="noConversion"/>
  </si>
  <si>
    <t>법적 계약 미비</t>
  </si>
  <si>
    <t>- 부적절한 고용 절차, 외주 인력에 대한 신원조회, 전문성 검증 미비,
- 고객 및 제3자와의 계약서의 조항 부족 또는 불충분
- 직원과의 계약서에 (정보보호에 관한) 조항의 부족 또는 불충분
- 계약서 내 보안 요구사항 기재 미흡</t>
    <phoneticPr fontId="1" type="noConversion"/>
  </si>
  <si>
    <t>TH-03</t>
  </si>
  <si>
    <t>교육 및 훈련</t>
  </si>
  <si>
    <t>- 정기적 교육 미비 및 불충분한 보안 훈련으로 인한 보안 인식 부족
- 전문적 교육 부족으로 업무 적격성(competence) 미흡</t>
    <phoneticPr fontId="1" type="noConversion"/>
  </si>
  <si>
    <t>인위적 재해(H)</t>
    <phoneticPr fontId="5" type="noConversion"/>
  </si>
  <si>
    <t>TH-04</t>
  </si>
  <si>
    <t>실수 또는 악의적 손상</t>
  </si>
  <si>
    <t>- 운영 실수나 악의적인 목적에 의한 소프트웨어/하드웨어의 장애 (데이터삭제, 물리적파괴 등)</t>
    <phoneticPr fontId="1" type="noConversion"/>
  </si>
  <si>
    <t>TH-05</t>
  </si>
  <si>
    <t>운영절차 미준수</t>
  </si>
  <si>
    <t>- 규정 지침 절차의 미준수로 인한 사고</t>
    <phoneticPr fontId="5" type="noConversion"/>
  </si>
  <si>
    <t>TH-06</t>
  </si>
  <si>
    <t>관리자 권한 오남용</t>
  </si>
  <si>
    <t>- 관리자 권한의 오남용으로 인한 정보유출, 위변조 등 위반행위
- 주요업무자 모니터링 관리 미흡</t>
    <phoneticPr fontId="1" type="noConversion"/>
  </si>
  <si>
    <t>TH-07</t>
  </si>
  <si>
    <t>파업</t>
  </si>
  <si>
    <t>- 파업으로 인한 업무인력/대체인력 부재로 서비스/업무 문제 발생</t>
    <phoneticPr fontId="1" type="noConversion"/>
  </si>
  <si>
    <t>인위적 재해(H)</t>
  </si>
  <si>
    <t>TH-08</t>
  </si>
  <si>
    <t>하이브리드(사이버+물리적) 전쟁 및 테러</t>
  </si>
  <si>
    <t>- 국제전에서 하이브리드 전쟁 및 테러가 최초로 도입되기 시작('22 우크라이나 전쟁), 
- 다양한 방식의 서비스 파괴, 방해 공격을 예상한 총력전
- 통신망 테러를 통한 통신 마비를 일으켜 회사의 서비스를 중지 시키는 등 다양한 방식의 재해에 의한 훼손</t>
    <phoneticPr fontId="1" type="noConversion"/>
  </si>
  <si>
    <t>물리적 재해(P)</t>
    <phoneticPr fontId="5" type="noConversion"/>
  </si>
  <si>
    <t>TP-01</t>
  </si>
  <si>
    <t>자연재해</t>
  </si>
  <si>
    <t>- 화재, 홍수, 지진 등으로 인한 장애</t>
    <phoneticPr fontId="1" type="noConversion"/>
  </si>
  <si>
    <t>TP-02</t>
  </si>
  <si>
    <t>환경재해</t>
  </si>
  <si>
    <t>- 정전, 항온항습기고장, 누수, CCTV 등</t>
    <phoneticPr fontId="1" type="noConversion"/>
  </si>
  <si>
    <t>물리적 재해(P)</t>
    <phoneticPr fontId="5" type="noConversion"/>
  </si>
  <si>
    <t>TP-03</t>
  </si>
  <si>
    <t>전쟁 및 테러 등</t>
  </si>
  <si>
    <t>- 전쟁, 테러, 폭동, 데모, 도둑, 강도 등의 재해에 의한 자산의 훼손</t>
    <phoneticPr fontId="1" type="noConversion"/>
  </si>
  <si>
    <t>TP-04</t>
  </si>
  <si>
    <t>물리적 접근통제 미흡</t>
  </si>
  <si>
    <t>- 사무실, 전산실등 사내 통제구역의 비인가 접근</t>
    <phoneticPr fontId="1" type="noConversion"/>
  </si>
  <si>
    <t>TP-05</t>
  </si>
  <si>
    <t>장비 도난</t>
  </si>
  <si>
    <t>- 건물 출입문 및 창문의 물리적 보호의 부족 장비 도난</t>
    <phoneticPr fontId="1" type="noConversion"/>
  </si>
  <si>
    <t>TP-06</t>
    <phoneticPr fontId="1" type="noConversion"/>
  </si>
  <si>
    <t>물리적 시설의 안전성</t>
  </si>
  <si>
    <t>- 주요 정보시스템의 물리적 위치 또는 시설에 대한 계획 및 조성 단계에서의 안전성 검토 미흡 인해 재난•장애의 피해 확대</t>
    <phoneticPr fontId="1" type="noConversion"/>
  </si>
  <si>
    <t>L</t>
    <phoneticPr fontId="1" type="noConversion"/>
  </si>
  <si>
    <t>기술적 재해(T)</t>
    <phoneticPr fontId="5" type="noConversion"/>
  </si>
  <si>
    <t>기술적 재해(T)</t>
    <phoneticPr fontId="5" type="noConversion"/>
  </si>
  <si>
    <t>TT-01</t>
  </si>
  <si>
    <t>개발/운영 환경 미분리</t>
  </si>
  <si>
    <t>- 개발/운영 환경의 서버 및 네트워크 미분리
- 테스트 시 실데이타 혼용사용</t>
    <phoneticPr fontId="59" type="noConversion"/>
  </si>
  <si>
    <t>기술적 재해(T)</t>
    <phoneticPr fontId="5" type="noConversion"/>
  </si>
  <si>
    <t>TT-02</t>
  </si>
  <si>
    <t>계정관리 미흡</t>
    <phoneticPr fontId="5" type="noConversion"/>
  </si>
  <si>
    <t>- 사용자 또는 이용자 관리미흡으로 인한 비인가자 접속</t>
    <phoneticPr fontId="5" type="noConversion"/>
  </si>
  <si>
    <t>M</t>
    <phoneticPr fontId="59" type="noConversion"/>
  </si>
  <si>
    <t>TT-03</t>
  </si>
  <si>
    <t>SW 오류 및 장애</t>
    <phoneticPr fontId="59" type="noConversion"/>
  </si>
  <si>
    <t>- 소프트웨어 버그 등에 의한 오동작
- 복잡한 사용자 인터페이스, 파라미터 설정오류, 부정확한 날짜 등으로 인한 오류</t>
    <phoneticPr fontId="1" type="noConversion"/>
  </si>
  <si>
    <t>TT-04</t>
  </si>
  <si>
    <t>HW 장애</t>
  </si>
  <si>
    <t>- 하드웨어 파괴, 고장, 노후로 인한 장애
- 전산장비 이중화 및 예비장치 미확보로 인한 복구 불가</t>
    <phoneticPr fontId="5" type="noConversion"/>
  </si>
  <si>
    <t>TT-05</t>
  </si>
  <si>
    <t>접근통제 미흡</t>
  </si>
  <si>
    <t>- 내부 접근통제 시스템의 미설정, 미적용, 오류, 장애, 버그등에 의한 접근통제 미흡으로 인한 침해, 접근권한관리 미흡
- VPC 및 운영 서비스간의 Security Group 설정 미흡</t>
    <phoneticPr fontId="59" type="noConversion"/>
  </si>
  <si>
    <t>TT-06</t>
  </si>
  <si>
    <t>로그보관 미흡</t>
    <phoneticPr fontId="59" type="noConversion"/>
  </si>
  <si>
    <t>- 내부 시스템의 로그설정/분리보관 미흡으로 인한 책임추적 불가
- 클라우드 Console 및 리소스에 대한 로그 설정 미흡으로 인한 로그 보관 미흡</t>
    <phoneticPr fontId="59" type="noConversion"/>
  </si>
  <si>
    <t>TT-07</t>
  </si>
  <si>
    <t>암호화 미흡</t>
  </si>
  <si>
    <t>- 내부 주요 데이터의 암호화 적용 미흡으로 인한 정보유출
- 안전하지 않은 프로토콜 사용으로 인한 정보 유출</t>
    <phoneticPr fontId="59" type="noConversion"/>
  </si>
  <si>
    <t>TT-08</t>
  </si>
  <si>
    <t>- 내부 시스템의 모니터링 미흡으로 인한 오류/장애인지 지연 및 서비스/업무 문제 발생</t>
    <phoneticPr fontId="1" type="noConversion"/>
  </si>
  <si>
    <t>TT-09</t>
  </si>
  <si>
    <t>백업관리 미흡</t>
    <phoneticPr fontId="59" type="noConversion"/>
  </si>
  <si>
    <t>- 주요 시스템 데이터의 주기적 백업 및 검증 프로세스 부재 / 사고 발생시 복구 불가</t>
    <phoneticPr fontId="1" type="noConversion"/>
  </si>
  <si>
    <t>TT-10</t>
    <phoneticPr fontId="59" type="noConversion"/>
  </si>
  <si>
    <t>비인가 소프트웨어 사용</t>
    <phoneticPr fontId="59" type="noConversion"/>
  </si>
  <si>
    <t>- 불법/비인가 소프트웨어 사용에 의한 악성 바이러스 감염
- 불법/비인가 소프트웨어 사용에 의한 라이센스 위반</t>
    <phoneticPr fontId="59" type="noConversion"/>
  </si>
  <si>
    <t>TT-11</t>
  </si>
  <si>
    <t>비인가 저장매체 사용</t>
  </si>
  <si>
    <t>- USB, 외장하드, CD 등 허가되지 않은 저장매체의 사용</t>
    <phoneticPr fontId="1" type="noConversion"/>
  </si>
  <si>
    <t>TT-12</t>
  </si>
  <si>
    <t>- 최신 소프트웨어로 업데이트하지 않아 발생할 수 있는 침해사고</t>
    <phoneticPr fontId="1" type="noConversion"/>
  </si>
  <si>
    <t>TT-13</t>
  </si>
  <si>
    <t>내·외부 네트워크 서비스 장애</t>
  </si>
  <si>
    <t>- ISP, 회선등 통신서비스 장애
- 네트워크 장비/케이블(구성요소)의 고장 및 장애로 인한 서비스 중단 등</t>
    <phoneticPr fontId="1" type="noConversion"/>
  </si>
  <si>
    <t>TT-14</t>
  </si>
  <si>
    <t>- 미사용/불필요 서비스,프로그램,파일 등의 사용 및 관리 미흡에 의한 침해사고</t>
    <phoneticPr fontId="1" type="noConversion"/>
  </si>
  <si>
    <t>TT-15</t>
  </si>
  <si>
    <t>키 관리</t>
    <phoneticPr fontId="59" type="noConversion"/>
  </si>
  <si>
    <t>- 암호화 키 관리 및 사용자 액세스 키 관리 미흡으로 인한 데이터 유출</t>
    <phoneticPr fontId="59" type="noConversion"/>
  </si>
  <si>
    <t>TT-16</t>
  </si>
  <si>
    <t>클라우드 리전 마비</t>
    <phoneticPr fontId="59" type="noConversion"/>
  </si>
  <si>
    <t>- 클라우드 서비스 제공자의 시설의 마비로 인한 서비스 중단</t>
    <phoneticPr fontId="59" type="noConversion"/>
  </si>
  <si>
    <t>TT-17</t>
  </si>
  <si>
    <t>네트워크 구성 미흡</t>
    <phoneticPr fontId="59" type="noConversion"/>
  </si>
  <si>
    <t>- 클라우드 네트워크 상의 Public/Private Subnet 구성 및 설정 미흡</t>
    <phoneticPr fontId="59" type="noConversion"/>
  </si>
  <si>
    <t>TT-18</t>
  </si>
  <si>
    <t>로그분석 미흡</t>
    <phoneticPr fontId="1" type="noConversion"/>
  </si>
  <si>
    <t>- 주기적 또는 상시적으로 로그를 분석하거나 점검하지 않아 보안 위반의 발생 여부나 책임추적이 불가능</t>
    <phoneticPr fontId="59" type="noConversion"/>
  </si>
  <si>
    <t>TT-19</t>
  </si>
  <si>
    <t>리소스 관리 접근통제 미흡</t>
    <phoneticPr fontId="59" type="noConversion"/>
  </si>
  <si>
    <t>- 클라우드 리소스 관리 Console 접근에 대한 접근통제 미설정 및 2Factor 미적용, 과도한 접근권한 부여 등</t>
    <phoneticPr fontId="59" type="noConversion"/>
  </si>
  <si>
    <t>기술적 재해(T)</t>
  </si>
  <si>
    <t>TT-20</t>
  </si>
  <si>
    <t>자원 관리 미흡</t>
  </si>
  <si>
    <t>- 자원 소모량 검증 미비로 인한 자산 낭비 및 시스템 부하 증가</t>
    <phoneticPr fontId="1" type="noConversion"/>
  </si>
  <si>
    <t>TT-21</t>
  </si>
  <si>
    <t>신뢰받지 못하는 저장소</t>
  </si>
  <si>
    <t>- 통합 저장소 이용 및 보안 설정 미비로 인한 데이터 유·노출 위험 증가</t>
    <phoneticPr fontId="1" type="noConversion"/>
  </si>
  <si>
    <t>TT-22</t>
  </si>
  <si>
    <t>자동화 위협</t>
  </si>
  <si>
    <t>- 제한 없는 자동화 허용으로 인한 악성코드 자동 전파 및 침해 확산 가능성</t>
    <phoneticPr fontId="59" type="noConversion"/>
  </si>
  <si>
    <t>TT-23</t>
  </si>
  <si>
    <t>권한 관리</t>
  </si>
  <si>
    <t>- 설계 사상 대비 과도한 권한 부여로 인한 데이터 위변조 및 유출 가능성</t>
    <phoneticPr fontId="1" type="noConversion"/>
  </si>
  <si>
    <t>TT-24</t>
  </si>
  <si>
    <t>모듈화 보안 미흡</t>
  </si>
  <si>
    <t>- API 단위 시스템 도입에 따른 보안 검증 미흡으로 인한 침해 및 정보 유출 가능성</t>
    <phoneticPr fontId="1" type="noConversion"/>
  </si>
  <si>
    <t>TT-25</t>
  </si>
  <si>
    <t>보안 검증</t>
  </si>
  <si>
    <t>- 식별된 위협에 대한 선제적 대응 미흡 또는 이해당사자의 개입으로 인한 보안 검증의 공정성 저하로 인해 잠재적 공격 기술이 은폐되거나 간과되어, 데이터 유출 및 서비스 중단 등의 피해 발생 위험</t>
    <phoneticPr fontId="1" type="noConversion"/>
  </si>
  <si>
    <t>TT-26</t>
  </si>
  <si>
    <t>보안 기능 부족</t>
  </si>
  <si>
    <t>- 보안 요구사항이 미비한 정보시스템 도입으로 인한 침해위험 증가</t>
    <phoneticPr fontId="1" type="noConversion"/>
  </si>
  <si>
    <t>TT-27</t>
  </si>
  <si>
    <t>비 표준 언어 대응 미흡</t>
  </si>
  <si>
    <t>- Rust, Go 등 비표준 언어로 작성된 악성코드에 대한 대응 체계 미비 시, 초기 인터넷 시대와 유사한 형태의 급속한 악성코드 확산 및 대규모 침해 사고로 이어질 우려 존재</t>
    <phoneticPr fontId="1" type="noConversion"/>
  </si>
  <si>
    <t>TT-28</t>
  </si>
  <si>
    <t>인증 받지 않은 확장 프로그램</t>
  </si>
  <si>
    <t>- 웹 환경에서 다양한 브라우저 확장 프로그램 사용이 가능해진 가운데, 인증되지 않은 확장 기능을 통한 침해 및 사고 발생 위험 증가</t>
    <phoneticPr fontId="1" type="noConversion"/>
  </si>
  <si>
    <t>TT-29</t>
  </si>
  <si>
    <t>제로트러스트 위협</t>
  </si>
  <si>
    <t>- 제로트러스트는 '기본적으로 신뢰하지 않음'을 전제로 운영되나, 인증 체계의 집중화로 인해 인증 시스템이 우회될 경우 전사 자원에 대한 무제한 접근으로 이어질 수 있어 심각한 피해 발생 가능성 존재</t>
    <phoneticPr fontId="1" type="noConversion"/>
  </si>
  <si>
    <t>전자적 침해(E)</t>
    <phoneticPr fontId="5" type="noConversion"/>
  </si>
  <si>
    <t>TE-01</t>
  </si>
  <si>
    <t>위장 공격</t>
  </si>
  <si>
    <t>- spoofing 또는 정상 소프트웨어로 위장한 악성코드, 정상 하드웨어로 위장된 시스템 등에 의한 침해</t>
    <phoneticPr fontId="1" type="noConversion"/>
  </si>
  <si>
    <t>TE-02</t>
    <phoneticPr fontId="5" type="noConversion"/>
  </si>
  <si>
    <t>서비스거부</t>
  </si>
  <si>
    <t>- 네트워크 트래픽, 메모리 공격등 각종 서비스거부 공격에 의한 침해</t>
    <phoneticPr fontId="1" type="noConversion"/>
  </si>
  <si>
    <t>전자적 침해(E)</t>
    <phoneticPr fontId="5" type="noConversion"/>
  </si>
  <si>
    <t>TE-03</t>
  </si>
  <si>
    <t>악성코드</t>
  </si>
  <si>
    <t>- 웜, 바이러스, 랜섬웨어, 에드웨어 등 각종 악성코드에 의한 침해</t>
    <phoneticPr fontId="1" type="noConversion"/>
  </si>
  <si>
    <t>TE-04</t>
  </si>
  <si>
    <t>전기적 도청</t>
  </si>
  <si>
    <t>- 전화 및 팩스, 무선통신망, 기타 도청 장비에 의한 도청</t>
    <phoneticPr fontId="1" type="noConversion"/>
  </si>
  <si>
    <t>TE-05</t>
  </si>
  <si>
    <t>전자적 도청</t>
  </si>
  <si>
    <t>- 내·외부 네트워크의 스니핑을 이용한 비인가 데이터 접근</t>
    <phoneticPr fontId="1" type="noConversion"/>
  </si>
  <si>
    <t>TE-06</t>
  </si>
  <si>
    <t>피싱</t>
  </si>
  <si>
    <t>- 위·변조된 사이트, 메일, 문자 등에 의한 피싱</t>
    <phoneticPr fontId="1" type="noConversion"/>
  </si>
  <si>
    <t>TE-07</t>
  </si>
  <si>
    <t>정보수집</t>
  </si>
  <si>
    <t>- 침해를 목적으로 각종 스캔방법을 이용한 내부정보 수집</t>
    <phoneticPr fontId="1" type="noConversion"/>
  </si>
  <si>
    <t>TE-08</t>
  </si>
  <si>
    <t>정보의 송·수신 부인</t>
  </si>
  <si>
    <t>- 수신자의 정보 송·수신 부인</t>
    <phoneticPr fontId="1" type="noConversion"/>
  </si>
  <si>
    <t>TE-09</t>
  </si>
  <si>
    <t>신규취약점 침해</t>
  </si>
  <si>
    <t>- 알려지지 않은 신규 취약점에 의한 침해</t>
    <phoneticPr fontId="1" type="noConversion"/>
  </si>
  <si>
    <t>TE-10</t>
  </si>
  <si>
    <t>- 계정의 보관, 설정 부실등으로 인해 악의적 침해 행위로 인한 아이디/패스워드 유출</t>
    <phoneticPr fontId="1" type="noConversion"/>
  </si>
  <si>
    <t>TE-11</t>
  </si>
  <si>
    <t>안전하지 않은 API
(Application Programming Interface)</t>
  </si>
  <si>
    <t>- 안전하지 않은 API를 통한 데이터 유출, 서비스 접근 등을 통한 사고 발생</t>
    <phoneticPr fontId="1" type="noConversion"/>
  </si>
  <si>
    <t>TE-12</t>
  </si>
  <si>
    <t>- 시스템 보안설정 미흡으로 인한 침해사고 발생</t>
    <phoneticPr fontId="1" type="noConversion"/>
  </si>
  <si>
    <t>TE-13</t>
  </si>
  <si>
    <t>이용자 검증 미흡</t>
  </si>
  <si>
    <t>- 서비스 이용 시 이용자 검증 미흡으로 인한 침해사고 발생</t>
    <phoneticPr fontId="1" type="noConversion"/>
  </si>
  <si>
    <t>TE-14</t>
  </si>
  <si>
    <t>입력값 검증 미흡</t>
  </si>
  <si>
    <t>- 서비스 이용 시 이용자의 입력 값 검증 미흡으로 인한 침해사고 발생</t>
    <phoneticPr fontId="1" type="noConversion"/>
  </si>
  <si>
    <t>전자적 침해(E)</t>
  </si>
  <si>
    <t>TE-15</t>
  </si>
  <si>
    <t>악의적인 인공지능</t>
  </si>
  <si>
    <t>- 대화형 인공지능(AI) 사용 과정에서 내부 기밀 또는 중요 정보가 유출될 경우, 해당 정보가 AI 학습 데이터로 활용되어 글로벌 사용자에게 노출될 가능성 존재
- 머신러닝 기반 기술을 악용하여 잠재적 취약점을 가진 시스템을 빠르게 식별하고, 공격의 시작점으로 활용하여 피해 발생 가능성 증가</t>
    <phoneticPr fontId="1" type="noConversion"/>
  </si>
  <si>
    <t>TE-16</t>
  </si>
  <si>
    <t>악의적인 시스템 접근</t>
  </si>
  <si>
    <t>- 내부 시스템에서 악성 사이트 또는 시스템에 대한 접근 시도를 차단하지 못할 경우, 침해 전파의 경유지로 악용되는 등 보안 사고로 이어질 가능성 존재</t>
    <phoneticPr fontId="1" type="noConversion"/>
  </si>
  <si>
    <t>개인정보 침해(PI)</t>
    <phoneticPr fontId="5" type="noConversion"/>
  </si>
  <si>
    <t>개인정보 침해(PI)</t>
    <phoneticPr fontId="5" type="noConversion"/>
  </si>
  <si>
    <t>TPI-01</t>
    <phoneticPr fontId="5" type="noConversion"/>
  </si>
  <si>
    <t>개인정보 수집</t>
    <phoneticPr fontId="5" type="noConversion"/>
  </si>
  <si>
    <t>- 개인정보 수집∙이용 동의 절차 부재, 동의 시 고지사항 미흡,  불필요한 개인정보 수집</t>
    <phoneticPr fontId="5" type="noConversion"/>
  </si>
  <si>
    <t>TPI-02</t>
    <phoneticPr fontId="5" type="noConversion"/>
  </si>
  <si>
    <t>개인정보 이용</t>
    <phoneticPr fontId="5" type="noConversion"/>
  </si>
  <si>
    <t>- 동의 받은 목적 및 법령에서 구체적으로 정한 범위 내에서 개인정보 이용</t>
    <phoneticPr fontId="5" type="noConversion"/>
  </si>
  <si>
    <t>개인정보 침해(PI)</t>
    <phoneticPr fontId="5" type="noConversion"/>
  </si>
  <si>
    <t>TPI-03</t>
    <phoneticPr fontId="5" type="noConversion"/>
  </si>
  <si>
    <t>중요정보 수집</t>
    <phoneticPr fontId="5" type="noConversion"/>
  </si>
  <si>
    <t>- 주민등록번호, 민감정보 등 중요 개인정보의 근거에 의하지 않은 수집</t>
    <phoneticPr fontId="5" type="noConversion"/>
  </si>
  <si>
    <t>TPI-04</t>
    <phoneticPr fontId="5" type="noConversion"/>
  </si>
  <si>
    <t>개인정보 제공</t>
    <phoneticPr fontId="5" type="noConversion"/>
  </si>
  <si>
    <t>- 제3자의 무분별한 개인정보 이용 및 안전한 관리 미흡</t>
    <phoneticPr fontId="5" type="noConversion"/>
  </si>
  <si>
    <t>TPI-05</t>
    <phoneticPr fontId="5" type="noConversion"/>
  </si>
  <si>
    <t>개인정보 위탁</t>
    <phoneticPr fontId="5" type="noConversion"/>
  </si>
  <si>
    <t>- 위탁 절차 미흡, 수탁자 관리∙감독 미흡</t>
    <phoneticPr fontId="5" type="noConversion"/>
  </si>
  <si>
    <t>TPI-06</t>
    <phoneticPr fontId="5" type="noConversion"/>
  </si>
  <si>
    <t>개인정보 파기</t>
    <phoneticPr fontId="5" type="noConversion"/>
  </si>
  <si>
    <t>- 개인정보의 안전한 파기 관리 및 파기 방법이 구현되지 않음으로써 목적을 달성한 개인정보의 재사용</t>
    <phoneticPr fontId="5" type="noConversion"/>
  </si>
  <si>
    <t>TPI-07</t>
    <phoneticPr fontId="5" type="noConversion"/>
  </si>
  <si>
    <t>분리보관</t>
    <phoneticPr fontId="5" type="noConversion"/>
  </si>
  <si>
    <t>- 분리보관 미흡으로 인한 목적외 사용 발생</t>
    <phoneticPr fontId="5" type="noConversion"/>
  </si>
  <si>
    <t>TPI-08</t>
    <phoneticPr fontId="5" type="noConversion"/>
  </si>
  <si>
    <t>정보주체의 권리 보장</t>
    <phoneticPr fontId="5" type="noConversion"/>
  </si>
  <si>
    <t>- 개인정보처리방침, 이용내역 통지, 이용내역 요청 등 개인정보주체의 권리 미보장</t>
    <phoneticPr fontId="5" type="noConversion"/>
  </si>
  <si>
    <t>TPI-09</t>
    <phoneticPr fontId="5" type="noConversion"/>
  </si>
  <si>
    <t>개인정보 출력</t>
    <phoneticPr fontId="5" type="noConversion"/>
  </si>
  <si>
    <t>- 개인정보처리시스템 상의 조회, 출력되는 개인정보의 유출</t>
    <phoneticPr fontId="5" type="noConversion"/>
  </si>
  <si>
    <t>TPI-10</t>
    <phoneticPr fontId="5" type="noConversion"/>
  </si>
  <si>
    <t>영상정보처리기기 관리</t>
    <phoneticPr fontId="5" type="noConversion"/>
  </si>
  <si>
    <t>- 정보주체의 영상정보 수집 및 안내에 관한 권리 침해</t>
    <phoneticPr fontId="5" type="noConversion"/>
  </si>
  <si>
    <t>위협평가</t>
    <phoneticPr fontId="1" type="noConversion"/>
  </si>
  <si>
    <t>로그보관 미흡</t>
  </si>
  <si>
    <t>- 내부 시스템의 로그설정/분리보관 미흡으로 인한 책임추적 불가
- 클라우드 Console 및 리소스에 대한 로그 설정 미흡으로 인한 로그 보관 미흡</t>
  </si>
  <si>
    <t>로그분석 미흡</t>
  </si>
  <si>
    <t>- 주기적 또는 상시적으로 로그를 분석하거나 점검하지 않아 보안 위반의 발생 여부나 책임추적이 불가능</t>
  </si>
  <si>
    <t>네트워크 구성 미흡</t>
  </si>
  <si>
    <t>- 클라우드 네트워크 상의 Public/Private Subnet 구성 및 설정 미흡</t>
  </si>
  <si>
    <t>- 침해를 목적으로 각종 스캔방법을 이용한 내부정보 수집</t>
  </si>
  <si>
    <t>- 최신 소프트웨어로 업데이트하지 않아 발생할 수 있는 침해사고</t>
  </si>
  <si>
    <t>- 자원 소모량 검증 미비로 인한 자산 낭비 및 시스템 부하 증가</t>
  </si>
  <si>
    <t>- 내부 시스템의 모니터링 미흡으로 인한 오류/장애인지 지연 및 서비스/업무 문제 발생</t>
  </si>
  <si>
    <t>- 미사용/불필요 서비스,프로그램,파일 등의 사용 및 관리 미흡에 의한 침해사고</t>
  </si>
  <si>
    <t>- 내부 접근통제 시스템의 미설정, 미적용, 오류, 장애, 버그등에 의한 접근통제 미흡으로 인한 침해, 접근권한관리 미흡
- VPC 및 운영 서비스간의 Security Group 설정 미흡</t>
  </si>
  <si>
    <t>- 계정의 보관, 설정 부실등으로 인해 악의적 침해 행위로 인한 아이디/패스워드 유출</t>
  </si>
  <si>
    <t>- 설계 사상 대비 과도한 권한 부여로 인한 데이터 위변조 및 유출 가능성</t>
  </si>
  <si>
    <t>- 회사 등에서 사용하게 되는 정보에 대해 검증 절차의 누락 또는 다중 검증 누락으로 인해 데이터의 유,노출이 발생
- 정보의 검증을 위해 사용 중인 제3의 기관이 침해 되어 정보의 무결성이 손상
- 전자정보(데이터, 전자문서 등)에 대한 비인가자의 임의 변경으로 데이터 무결성 침해</t>
  </si>
  <si>
    <t>- 규정 지침 절차의 미준수로 인한 사고</t>
  </si>
  <si>
    <t>계정관리 미흡</t>
  </si>
  <si>
    <t>- 사용자 또는 이용자 관리미흡으로 인한 비인가자 접속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</si>
</sst>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%"/>
  </numFmts>
  <fonts count="8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0"/>
      <color theme="1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b/>
      <sz val="12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0"/>
      <color theme="0"/>
      <name val="맑은 고딕"/>
      <family val="3"/>
      <charset val="129"/>
      <scheme val="major"/>
    </font>
    <font>
      <b/>
      <sz val="12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i/>
      <u/>
      <sz val="12"/>
      <name val="맑은 고딕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i/>
      <u/>
      <sz val="12"/>
      <color theme="1"/>
      <name val="맑은 고딕"/>
      <family val="3"/>
      <charset val="129"/>
    </font>
    <font>
      <b/>
      <i/>
      <u/>
      <sz val="12"/>
      <color theme="1"/>
      <name val="맑은 고딕"/>
      <family val="3"/>
      <charset val="129"/>
      <scheme val="minor"/>
    </font>
    <font>
      <u/>
      <sz val="11"/>
      <color theme="10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ajor"/>
    </font>
    <font>
      <b/>
      <sz val="10"/>
      <color theme="3" tint="0.39994506668294322"/>
      <name val="맑은 고딕"/>
      <family val="3"/>
      <charset val="129"/>
      <scheme val="major"/>
    </font>
    <font>
      <b/>
      <sz val="12"/>
      <color theme="1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0"/>
      <color rgb="FF000000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ajor"/>
    </font>
    <font>
      <b/>
      <u/>
      <sz val="10"/>
      <color rgb="FFFF0000"/>
      <name val="맑은 고딕"/>
      <family val="3"/>
      <charset val="129"/>
    </font>
    <font>
      <b/>
      <sz val="10"/>
      <color rgb="FFFFC000"/>
      <name val="맑은 고딕"/>
      <family val="3"/>
      <charset val="129"/>
      <scheme val="major"/>
    </font>
    <font>
      <b/>
      <i/>
      <sz val="12"/>
      <color theme="1"/>
      <name val="맑은 고딕"/>
      <family val="3"/>
      <charset val="129"/>
      <scheme val="minor"/>
    </font>
    <font>
      <b/>
      <i/>
      <sz val="18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b/>
      <sz val="11"/>
      <color rgb="FF000000"/>
      <name val="돋움"/>
      <family val="3"/>
      <charset val="129"/>
    </font>
    <font>
      <b/>
      <i/>
      <sz val="12"/>
      <color theme="1"/>
      <name val="맑은 고딕"/>
      <family val="3"/>
      <charset val="129"/>
    </font>
    <font>
      <b/>
      <sz val="15"/>
      <color theme="1"/>
      <name val="맑은 고딕"/>
      <family val="3"/>
      <charset val="129"/>
      <scheme val="minor"/>
    </font>
    <font>
      <b/>
      <sz val="10"/>
      <color indexed="81"/>
      <name val="맑은 고딕"/>
      <family val="3"/>
      <charset val="129"/>
    </font>
    <font>
      <b/>
      <sz val="20"/>
      <color theme="1"/>
      <name val="맑은 고딕"/>
      <family val="3"/>
      <charset val="129"/>
      <scheme val="minor"/>
    </font>
    <font>
      <b/>
      <u/>
      <sz val="10"/>
      <color theme="1"/>
      <name val="맑은 고딕"/>
      <family val="3"/>
      <charset val="129"/>
      <scheme val="major"/>
    </font>
    <font>
      <b/>
      <i/>
      <u/>
      <sz val="10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</font>
    <font>
      <b/>
      <u/>
      <sz val="12"/>
      <color theme="1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b/>
      <sz val="16"/>
      <name val="맑은 고딕"/>
      <family val="3"/>
      <charset val="129"/>
      <scheme val="major"/>
    </font>
    <font>
      <b/>
      <sz val="11"/>
      <color theme="1"/>
      <name val="맑은 고딕"/>
      <family val="3"/>
      <charset val="129"/>
      <scheme val="minor"/>
    </font>
    <font>
      <b/>
      <sz val="12"/>
      <name val="맑은 고딕"/>
      <family val="3"/>
      <charset val="129"/>
    </font>
    <font>
      <b/>
      <sz val="9"/>
      <name val="맑은 고딕"/>
      <family val="3"/>
      <charset val="129"/>
      <scheme val="major"/>
    </font>
    <font>
      <b/>
      <sz val="11"/>
      <name val="맑은 고딕"/>
      <family val="3"/>
      <charset val="129"/>
      <scheme val="minor"/>
    </font>
    <font>
      <b/>
      <sz val="11"/>
      <color indexed="10"/>
      <name val="맑은 고딕"/>
      <family val="3"/>
      <charset val="129"/>
    </font>
    <font>
      <sz val="11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ajor"/>
    </font>
    <font>
      <b/>
      <sz val="11"/>
      <color rgb="FFFF0000"/>
      <name val="맑은 고딕"/>
      <family val="3"/>
      <charset val="129"/>
      <scheme val="minor"/>
    </font>
    <font>
      <b/>
      <sz val="11"/>
      <color rgb="FFFFFF00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b/>
      <sz val="9"/>
      <color theme="0" tint="-0.499984740745262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name val="맑은 고딕"/>
      <family val="3"/>
      <charset val="129"/>
    </font>
    <font>
      <b/>
      <sz val="11"/>
      <color theme="10"/>
      <name val="돋움"/>
      <family val="3"/>
      <charset val="129"/>
    </font>
    <font>
      <sz val="10"/>
      <name val="Calibri"/>
      <family val="3"/>
    </font>
    <font>
      <b/>
      <sz val="20"/>
      <color rgb="FFFFFFFF"/>
      <name val="맑은 고딕"/>
      <family val="3"/>
      <charset val="129"/>
      <scheme val="minor"/>
    </font>
    <font>
      <b/>
      <i/>
      <sz val="2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b/>
      <sz val="18"/>
      <color rgb="FFFFFFFF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4"/>
      <name val="맑은 고딕"/>
      <family val="3"/>
      <charset val="129"/>
    </font>
    <font>
      <sz val="10"/>
      <name val="맑은 고딕"/>
      <family val="3"/>
      <charset val="129"/>
    </font>
    <font>
      <b/>
      <sz val="10"/>
      <name val="맑은 고딕"/>
      <family val="3"/>
      <charset val="129"/>
    </font>
    <font>
      <sz val="10"/>
      <name val="Malgun Gothic"/>
      <family val="3"/>
      <charset val="129"/>
    </font>
    <font>
      <sz val="10"/>
      <name val="MS Gothic"/>
      <family val="3"/>
      <charset val="128"/>
    </font>
    <font>
      <sz val="10"/>
      <color theme="1"/>
      <name val="Malgun Gothic"/>
      <family val="3"/>
      <charset val="129"/>
    </font>
    <font>
      <sz val="10"/>
      <color rgb="FF0070C0"/>
      <name val="Malgun Gothic"/>
      <family val="3"/>
      <charset val="129"/>
    </font>
    <font>
      <sz val="10"/>
      <color rgb="FF0070C0"/>
      <name val="맑은 고딕"/>
      <family val="3"/>
      <charset val="129"/>
      <scheme val="minor"/>
    </font>
    <font>
      <sz val="11"/>
      <color rgb="FF0070C0"/>
      <name val="맑은 고딕"/>
      <family val="2"/>
      <charset val="129"/>
      <scheme val="minor"/>
    </font>
    <font>
      <b/>
      <sz val="10"/>
      <color rgb="FF0070C0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theme="1"/>
      <name val="맑은 고딕"/>
      <family val="3"/>
      <charset val="129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FD5DD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rgb="FFF2F2F2"/>
        <bgColor rgb="FF8DB3E2"/>
      </patternFill>
    </fill>
    <fill>
      <patternFill patternType="solid">
        <fgColor theme="4" tint="0.59999389629810485"/>
        <bgColor rgb="FFFFF2CC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rgb="FFFFD966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rgb="FFD9EAD3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59999389629810485"/>
        <bgColor rgb="FFEAD1DC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rgb="FFCFE2F3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</fills>
  <borders count="152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rgb="FF54BCC5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rgb="FF54BCC5"/>
      </top>
      <bottom style="medium">
        <color rgb="FF54BCC5"/>
      </bottom>
      <diagonal/>
    </border>
    <border>
      <left/>
      <right/>
      <top style="medium">
        <color rgb="FF54BCC5"/>
      </top>
      <bottom/>
      <diagonal/>
    </border>
    <border>
      <left/>
      <right/>
      <top/>
      <bottom style="medium">
        <color rgb="FF54BCC5"/>
      </bottom>
      <diagonal/>
    </border>
    <border>
      <left/>
      <right style="thin">
        <color rgb="FF54BCC5"/>
      </right>
      <top style="medium">
        <color rgb="FF54BCC5"/>
      </top>
      <bottom style="thin">
        <color rgb="FF54BCC5"/>
      </bottom>
      <diagonal/>
    </border>
    <border>
      <left style="thin">
        <color rgb="FF54BCC5"/>
      </left>
      <right style="thin">
        <color rgb="FF54BCC5"/>
      </right>
      <top style="medium">
        <color rgb="FF54BCC5"/>
      </top>
      <bottom style="thin">
        <color rgb="FF54BCC5"/>
      </bottom>
      <diagonal/>
    </border>
    <border>
      <left style="thin">
        <color rgb="FF54BCC5"/>
      </left>
      <right/>
      <top style="medium">
        <color rgb="FF54BCC5"/>
      </top>
      <bottom style="thin">
        <color rgb="FF54BCC5"/>
      </bottom>
      <diagonal/>
    </border>
    <border>
      <left/>
      <right style="thin">
        <color rgb="FF54BCC5"/>
      </right>
      <top style="thin">
        <color rgb="FF54BCC5"/>
      </top>
      <bottom style="medium">
        <color rgb="FF54BCC5"/>
      </bottom>
      <diagonal/>
    </border>
    <border>
      <left style="thin">
        <color rgb="FF54BCC5"/>
      </left>
      <right style="thin">
        <color rgb="FF54BCC5"/>
      </right>
      <top style="thin">
        <color rgb="FF54BCC5"/>
      </top>
      <bottom style="medium">
        <color rgb="FF54BCC5"/>
      </bottom>
      <diagonal/>
    </border>
    <border>
      <left style="thin">
        <color rgb="FF54BCC5"/>
      </left>
      <right/>
      <top style="thin">
        <color rgb="FF54BCC5"/>
      </top>
      <bottom style="medium">
        <color rgb="FF54BCC5"/>
      </bottom>
      <diagonal/>
    </border>
    <border>
      <left/>
      <right/>
      <top style="medium">
        <color rgb="FF54BCC5"/>
      </top>
      <bottom style="thin">
        <color rgb="FF54BCC5"/>
      </bottom>
      <diagonal/>
    </border>
    <border>
      <left/>
      <right style="thin">
        <color rgb="FF54BCC5"/>
      </right>
      <top style="medium">
        <color rgb="FF54BCC5"/>
      </top>
      <bottom/>
      <diagonal/>
    </border>
    <border>
      <left/>
      <right style="thin">
        <color rgb="FF54BCC5"/>
      </right>
      <top/>
      <bottom style="medium">
        <color rgb="FF54BCC5"/>
      </bottom>
      <diagonal/>
    </border>
    <border>
      <left style="thin">
        <color rgb="FF54BCC5"/>
      </left>
      <right style="thin">
        <color rgb="FF54BCC5"/>
      </right>
      <top/>
      <bottom style="thin">
        <color rgb="FF54BCC5"/>
      </bottom>
      <diagonal/>
    </border>
    <border>
      <left style="thin">
        <color rgb="FF54BCC5"/>
      </left>
      <right/>
      <top/>
      <bottom style="thin">
        <color rgb="FF54BCC5"/>
      </bottom>
      <diagonal/>
    </border>
    <border>
      <left/>
      <right style="thin">
        <color rgb="FF54BCC5"/>
      </right>
      <top style="medium">
        <color rgb="FF54BCC5"/>
      </top>
      <bottom style="medium">
        <color rgb="FF54BCC5"/>
      </bottom>
      <diagonal/>
    </border>
    <border>
      <left style="thin">
        <color rgb="FF54BCC5"/>
      </left>
      <right style="thin">
        <color rgb="FF54BCC5"/>
      </right>
      <top style="medium">
        <color rgb="FF54BCC5"/>
      </top>
      <bottom style="medium">
        <color rgb="FF54BCC5"/>
      </bottom>
      <diagonal/>
    </border>
    <border>
      <left style="thin">
        <color rgb="FF54BCC5"/>
      </left>
      <right/>
      <top style="medium">
        <color rgb="FF54BCC5"/>
      </top>
      <bottom style="medium">
        <color rgb="FF54BCC5"/>
      </bottom>
      <diagonal/>
    </border>
    <border>
      <left style="thin">
        <color rgb="FF54BCC5"/>
      </left>
      <right/>
      <top style="medium">
        <color rgb="FF54BCC5"/>
      </top>
      <bottom/>
      <diagonal/>
    </border>
    <border>
      <left/>
      <right style="thin">
        <color theme="0" tint="-0.24994659260841701"/>
      </right>
      <top style="medium">
        <color rgb="FF54BCC5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rgb="FF54BCC5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medium">
        <color rgb="FF54BCC5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medium">
        <color rgb="FF54BCC5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rgb="FF54BCC5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medium">
        <color rgb="FF54BCC5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34998626667073579"/>
      </right>
      <top style="medium">
        <color rgb="FF54BCC5"/>
      </top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rgb="FF54BCC5"/>
      </top>
      <bottom style="thin">
        <color theme="0" tint="-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rgb="FF54BCC5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rgb="FF54BCC5"/>
      </top>
      <bottom style="thin">
        <color theme="0" tint="-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medium">
        <color rgb="FF54BCC5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medium">
        <color rgb="FF54BCC5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medium">
        <color rgb="FF54BCC5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medium">
        <color rgb="FF54BCC5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rgb="FF54BCC5"/>
      </left>
      <right/>
      <top/>
      <bottom style="medium">
        <color rgb="FF54BCC5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medium">
        <color theme="0" tint="-0.24994659260841701"/>
      </top>
      <bottom style="medium">
        <color rgb="FF54BCC5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theme="0" tint="-0.24994659260841701"/>
      </top>
      <bottom style="medium">
        <color rgb="FF54BCC5"/>
      </bottom>
      <diagonal/>
    </border>
    <border>
      <left style="thin">
        <color theme="0" tint="-0.24994659260841701"/>
      </left>
      <right/>
      <top style="medium">
        <color theme="0" tint="-0.24994659260841701"/>
      </top>
      <bottom style="medium">
        <color rgb="FF54BCC5"/>
      </bottom>
      <diagonal/>
    </border>
    <border>
      <left/>
      <right style="thin">
        <color theme="0" tint="-0.34998626667073579"/>
      </right>
      <top style="medium">
        <color theme="0" tint="-0.34998626667073579"/>
      </top>
      <bottom style="medium">
        <color rgb="FF54BCC5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theme="0" tint="-0.34998626667073579"/>
      </top>
      <bottom style="medium">
        <color rgb="FF54BCC5"/>
      </bottom>
      <diagonal/>
    </border>
    <border>
      <left style="thin">
        <color theme="0" tint="-0.34998626667073579"/>
      </left>
      <right/>
      <top style="medium">
        <color theme="0" tint="-0.34998626667073579"/>
      </top>
      <bottom style="medium">
        <color rgb="FF54BCC5"/>
      </bottom>
      <diagonal/>
    </border>
    <border>
      <left style="medium">
        <color theme="0" tint="-0.34998626667073579"/>
      </left>
      <right/>
      <top style="medium">
        <color rgb="FF54BCC5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medium">
        <color rgb="FF54BCC5"/>
      </bottom>
      <diagonal/>
    </border>
    <border>
      <left style="medium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medium">
        <color rgb="FF54BCC5"/>
      </top>
      <bottom style="medium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rgb="FF54BCC5"/>
      </top>
      <bottom style="medium">
        <color theme="0" tint="-0.34998626667073579"/>
      </bottom>
      <diagonal/>
    </border>
    <border>
      <left style="thin">
        <color theme="0" tint="-0.34998626667073579"/>
      </left>
      <right/>
      <top style="medium">
        <color rgb="FF54BCC5"/>
      </top>
      <bottom style="medium">
        <color theme="0" tint="-0.34998626667073579"/>
      </bottom>
      <diagonal/>
    </border>
    <border>
      <left/>
      <right/>
      <top style="medium">
        <color rgb="FF54BCC5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medium">
        <color rgb="FF54BCC5"/>
      </bottom>
      <diagonal/>
    </border>
    <border>
      <left/>
      <right/>
      <top style="thin">
        <color rgb="FF54BCC5"/>
      </top>
      <bottom/>
      <diagonal/>
    </border>
    <border>
      <left/>
      <right style="thin">
        <color theme="0" tint="-0.24994659260841701"/>
      </right>
      <top style="medium">
        <color rgb="FF54BCC5"/>
      </top>
      <bottom style="medium">
        <color rgb="FF54BCC5"/>
      </bottom>
      <diagonal/>
    </border>
    <border>
      <left style="thin">
        <color theme="0" tint="-0.24994659260841701"/>
      </left>
      <right/>
      <top style="medium">
        <color rgb="FF54BCC5"/>
      </top>
      <bottom style="medium">
        <color rgb="FF54BCC5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/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medium">
        <color rgb="FF54BCC5"/>
      </bottom>
      <diagonal/>
    </border>
    <border>
      <left/>
      <right style="thin">
        <color theme="0" tint="-0.24994659260841701"/>
      </right>
      <top/>
      <bottom style="medium">
        <color rgb="FF54BCC5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rgb="FF54BCC5"/>
      </top>
      <bottom style="medium">
        <color rgb="FF54BCC5"/>
      </bottom>
      <diagonal/>
    </border>
    <border>
      <left/>
      <right style="thin">
        <color theme="0" tint="-0.24994659260841701"/>
      </right>
      <top style="medium">
        <color rgb="FF54BCC5"/>
      </top>
      <bottom/>
      <diagonal/>
    </border>
    <border>
      <left/>
      <right/>
      <top/>
      <bottom style="thin">
        <color theme="0" tint="-0.24994659260841701"/>
      </bottom>
      <diagonal/>
    </border>
    <border>
      <left style="medium">
        <color theme="0" tint="-0.24994659260841701"/>
      </left>
      <right/>
      <top style="medium">
        <color theme="0" tint="-0.24994659260841701"/>
      </top>
      <bottom/>
      <diagonal/>
    </border>
    <border>
      <left/>
      <right/>
      <top style="medium">
        <color theme="0" tint="-0.24994659260841701"/>
      </top>
      <bottom/>
      <diagonal/>
    </border>
    <border>
      <left/>
      <right style="medium">
        <color theme="0" tint="-0.24994659260841701"/>
      </right>
      <top style="medium">
        <color theme="0" tint="-0.24994659260841701"/>
      </top>
      <bottom/>
      <diagonal/>
    </border>
    <border>
      <left style="medium">
        <color theme="0" tint="-0.24994659260841701"/>
      </left>
      <right/>
      <top/>
      <bottom/>
      <diagonal/>
    </border>
    <border>
      <left/>
      <right style="medium">
        <color theme="0" tint="-0.24994659260841701"/>
      </right>
      <top/>
      <bottom/>
      <diagonal/>
    </border>
    <border>
      <left style="medium">
        <color theme="0" tint="-0.24994659260841701"/>
      </left>
      <right/>
      <top/>
      <bottom style="medium">
        <color theme="0" tint="-0.24994659260841701"/>
      </bottom>
      <diagonal/>
    </border>
    <border>
      <left/>
      <right/>
      <top/>
      <bottom style="medium">
        <color theme="0" tint="-0.24994659260841701"/>
      </bottom>
      <diagonal/>
    </border>
    <border>
      <left/>
      <right style="medium">
        <color theme="0" tint="-0.24994659260841701"/>
      </right>
      <top/>
      <bottom style="medium">
        <color theme="0" tint="-0.24994659260841701"/>
      </bottom>
      <diagonal/>
    </border>
    <border>
      <left/>
      <right style="thin">
        <color theme="0" tint="-0.249977111117893"/>
      </right>
      <top style="medium">
        <color rgb="FF54BCC5"/>
      </top>
      <bottom style="thin">
        <color theme="0" tint="-0.24994659260841701"/>
      </bottom>
      <diagonal/>
    </border>
    <border>
      <left/>
      <right style="thin">
        <color theme="0" tint="-0.249977111117893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/>
      <top style="thin">
        <color theme="0" tint="-0.24994659260841701"/>
      </top>
      <bottom style="medium">
        <color theme="0" tint="-0.34998626667073579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medium">
        <color theme="0" tint="-0.34998626667073579"/>
      </bottom>
      <diagonal/>
    </border>
    <border>
      <left/>
      <right/>
      <top style="medium">
        <color rgb="FF54BCC5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medium">
        <color rgb="FF54BCC5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rgb="FF54BCC5"/>
      </top>
      <bottom/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theme="0" tint="-0.24994659260841701"/>
      </left>
      <right/>
      <top style="medium">
        <color rgb="FF54BCC5"/>
      </top>
      <bottom/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4659260841701"/>
      </top>
      <bottom style="medium">
        <color rgb="FF54BCC5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34998626667073579"/>
      </top>
      <bottom style="medium">
        <color rgb="FF54BCC5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rgb="FF54BCC5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hair">
        <color rgb="FF000000"/>
      </right>
      <top style="medium">
        <color rgb="FF54BCC5"/>
      </top>
      <bottom style="hair">
        <color rgb="FF000000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medium">
        <color rgb="FF54BCC5"/>
      </bottom>
      <diagonal/>
    </border>
    <border>
      <left/>
      <right style="hair">
        <color rgb="FF000000"/>
      </right>
      <top style="hair">
        <color rgb="FF000000"/>
      </top>
      <bottom style="medium">
        <color rgb="FF54BCC5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rgb="FF54BCC5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34998626667073579"/>
      </top>
      <bottom style="medium">
        <color rgb="FF54BCC5"/>
      </bottom>
      <diagonal/>
    </border>
    <border>
      <left/>
      <right style="thin">
        <color rgb="FF54BCC5"/>
      </right>
      <top style="thin">
        <color rgb="FF54BCC5"/>
      </top>
      <bottom/>
      <diagonal/>
    </border>
    <border>
      <left style="thin">
        <color rgb="FF54BCC5"/>
      </left>
      <right style="thin">
        <color rgb="FF54BCC5"/>
      </right>
      <top style="thin">
        <color rgb="FF54BCC5"/>
      </top>
      <bottom/>
      <diagonal/>
    </border>
    <border>
      <left style="thin">
        <color theme="0" tint="-0.24994659260841701"/>
      </left>
      <right style="thin">
        <color theme="0" tint="-0.34998626667073579"/>
      </right>
      <top style="medium">
        <color theme="0" tint="-0.34998626667073579"/>
      </top>
      <bottom style="medium">
        <color rgb="FF54BCC5"/>
      </bottom>
      <diagonal/>
    </border>
    <border>
      <left style="medium">
        <color rgb="FF54BCC5"/>
      </left>
      <right style="thin">
        <color indexed="64"/>
      </right>
      <top style="medium">
        <color rgb="FF54BCC5"/>
      </top>
      <bottom style="medium">
        <color rgb="FF54BCC5"/>
      </bottom>
      <diagonal/>
    </border>
    <border>
      <left style="thin">
        <color indexed="64"/>
      </left>
      <right style="thin">
        <color indexed="64"/>
      </right>
      <top style="medium">
        <color rgb="FF54BCC5"/>
      </top>
      <bottom style="medium">
        <color rgb="FF54BCC5"/>
      </bottom>
      <diagonal/>
    </border>
    <border>
      <left style="thin">
        <color indexed="64"/>
      </left>
      <right style="medium">
        <color rgb="FF54BCC5"/>
      </right>
      <top style="medium">
        <color rgb="FF54BCC5"/>
      </top>
      <bottom style="medium">
        <color rgb="FF54BCC5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6">
    <xf numFmtId="0" fontId="0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19" fillId="0" borderId="0" applyNumberFormat="0" applyFill="0" applyBorder="0" applyAlignment="0" applyProtection="0">
      <alignment vertical="top"/>
      <protection locked="0"/>
    </xf>
    <xf numFmtId="0" fontId="3" fillId="0" borderId="0">
      <alignment vertical="center"/>
    </xf>
    <xf numFmtId="0" fontId="3" fillId="0" borderId="0"/>
    <xf numFmtId="0" fontId="2" fillId="0" borderId="0"/>
    <xf numFmtId="0" fontId="2" fillId="0" borderId="0">
      <alignment vertical="center"/>
    </xf>
    <xf numFmtId="0" fontId="11" fillId="3" borderId="13" applyBorder="0">
      <alignment horizontal="center" vertical="center" wrapText="1"/>
    </xf>
    <xf numFmtId="0" fontId="2" fillId="0" borderId="0">
      <alignment vertical="center"/>
    </xf>
    <xf numFmtId="0" fontId="58" fillId="0" borderId="0"/>
    <xf numFmtId="0" fontId="67" fillId="0" borderId="0"/>
    <xf numFmtId="0" fontId="3" fillId="0" borderId="0">
      <alignment vertical="center"/>
    </xf>
    <xf numFmtId="0" fontId="3" fillId="0" borderId="0"/>
  </cellStyleXfs>
  <cellXfs count="583">
    <xf numFmtId="0" fontId="0" fillId="0" borderId="0" xfId="0">
      <alignment vertical="center"/>
    </xf>
    <xf numFmtId="0" fontId="2" fillId="2" borderId="0" xfId="1" applyFill="1">
      <alignment vertical="center"/>
    </xf>
    <xf numFmtId="0" fontId="3" fillId="0" borderId="0" xfId="2">
      <alignment vertical="center"/>
    </xf>
    <xf numFmtId="0" fontId="4" fillId="2" borderId="0" xfId="1" applyFont="1" applyFill="1">
      <alignment vertical="center"/>
    </xf>
    <xf numFmtId="0" fontId="6" fillId="2" borderId="0" xfId="1" applyFont="1" applyFill="1">
      <alignment vertical="center"/>
    </xf>
    <xf numFmtId="0" fontId="7" fillId="2" borderId="0" xfId="2" applyFont="1" applyFill="1">
      <alignment vertical="center"/>
    </xf>
    <xf numFmtId="0" fontId="15" fillId="2" borderId="0" xfId="1" applyFont="1" applyFill="1" applyAlignment="1">
      <alignment horizontal="left" vertical="center"/>
    </xf>
    <xf numFmtId="0" fontId="3" fillId="2" borderId="0" xfId="2" applyFill="1">
      <alignment vertical="center"/>
    </xf>
    <xf numFmtId="0" fontId="9" fillId="2" borderId="0" xfId="2" applyFont="1" applyFill="1">
      <alignment vertical="center"/>
    </xf>
    <xf numFmtId="0" fontId="17" fillId="2" borderId="0" xfId="1" applyFont="1" applyFill="1">
      <alignment vertical="center"/>
    </xf>
    <xf numFmtId="0" fontId="18" fillId="2" borderId="0" xfId="1" applyFont="1" applyFill="1">
      <alignment vertical="center"/>
    </xf>
    <xf numFmtId="0" fontId="10" fillId="4" borderId="21" xfId="2" applyFont="1" applyFill="1" applyBorder="1" applyAlignment="1">
      <alignment horizontal="center" vertical="center"/>
    </xf>
    <xf numFmtId="0" fontId="10" fillId="4" borderId="6" xfId="2" applyFont="1" applyFill="1" applyBorder="1" applyAlignment="1">
      <alignment horizontal="center" vertical="center"/>
    </xf>
    <xf numFmtId="0" fontId="10" fillId="4" borderId="23" xfId="2" applyFont="1" applyFill="1" applyBorder="1" applyAlignment="1">
      <alignment horizontal="center" vertical="center"/>
    </xf>
    <xf numFmtId="0" fontId="10" fillId="4" borderId="4" xfId="2" applyFont="1" applyFill="1" applyBorder="1" applyAlignment="1">
      <alignment horizontal="center" vertical="center"/>
    </xf>
    <xf numFmtId="0" fontId="10" fillId="4" borderId="27" xfId="2" applyFont="1" applyFill="1" applyBorder="1" applyAlignment="1">
      <alignment horizontal="center" vertical="center"/>
    </xf>
    <xf numFmtId="0" fontId="10" fillId="4" borderId="11" xfId="2" applyFont="1" applyFill="1" applyBorder="1" applyAlignment="1">
      <alignment horizontal="center" vertical="center"/>
    </xf>
    <xf numFmtId="0" fontId="10" fillId="4" borderId="7" xfId="2" applyFont="1" applyFill="1" applyBorder="1" applyAlignment="1">
      <alignment horizontal="center" vertical="center"/>
    </xf>
    <xf numFmtId="0" fontId="10" fillId="4" borderId="3" xfId="2" applyFont="1" applyFill="1" applyBorder="1" applyAlignment="1">
      <alignment horizontal="center" vertical="center"/>
    </xf>
    <xf numFmtId="0" fontId="10" fillId="4" borderId="9" xfId="2" applyFont="1" applyFill="1" applyBorder="1" applyAlignment="1">
      <alignment horizontal="center" vertical="center"/>
    </xf>
    <xf numFmtId="0" fontId="10" fillId="4" borderId="12" xfId="2" applyFont="1" applyFill="1" applyBorder="1" applyAlignment="1">
      <alignment horizontal="center" vertical="center"/>
    </xf>
    <xf numFmtId="0" fontId="28" fillId="2" borderId="0" xfId="1" applyFont="1" applyFill="1" applyAlignment="1">
      <alignment horizontal="right" vertical="center"/>
    </xf>
    <xf numFmtId="0" fontId="10" fillId="4" borderId="5" xfId="2" applyFont="1" applyFill="1" applyBorder="1" applyAlignment="1">
      <alignment horizontal="center" vertical="center"/>
    </xf>
    <xf numFmtId="0" fontId="10" fillId="4" borderId="8" xfId="2" applyFont="1" applyFill="1" applyBorder="1" applyAlignment="1">
      <alignment horizontal="center" vertical="center"/>
    </xf>
    <xf numFmtId="0" fontId="10" fillId="4" borderId="10" xfId="2" applyFont="1" applyFill="1" applyBorder="1" applyAlignment="1">
      <alignment horizontal="center" vertical="center"/>
    </xf>
    <xf numFmtId="0" fontId="29" fillId="4" borderId="9" xfId="2" applyFont="1" applyFill="1" applyBorder="1" applyAlignment="1">
      <alignment horizontal="center" vertical="center"/>
    </xf>
    <xf numFmtId="0" fontId="22" fillId="4" borderId="9" xfId="2" applyFont="1" applyFill="1" applyBorder="1" applyAlignment="1">
      <alignment horizontal="center" vertical="center"/>
    </xf>
    <xf numFmtId="0" fontId="21" fillId="4" borderId="29" xfId="2" applyFont="1" applyFill="1" applyBorder="1" applyAlignment="1">
      <alignment horizontal="center" vertical="center"/>
    </xf>
    <xf numFmtId="0" fontId="10" fillId="4" borderId="30" xfId="2" applyFont="1" applyFill="1" applyBorder="1" applyAlignment="1">
      <alignment horizontal="center" vertical="center"/>
    </xf>
    <xf numFmtId="0" fontId="10" fillId="4" borderId="1" xfId="2" applyFont="1" applyFill="1" applyBorder="1" applyAlignment="1">
      <alignment horizontal="center" vertical="center"/>
    </xf>
    <xf numFmtId="0" fontId="10" fillId="4" borderId="14" xfId="2" applyFont="1" applyFill="1" applyBorder="1" applyAlignment="1">
      <alignment horizontal="center" vertical="center"/>
    </xf>
    <xf numFmtId="0" fontId="10" fillId="4" borderId="29" xfId="2" applyFont="1" applyFill="1" applyBorder="1" applyAlignment="1">
      <alignment horizontal="center" vertical="center"/>
    </xf>
    <xf numFmtId="0" fontId="10" fillId="4" borderId="20" xfId="2" applyFont="1" applyFill="1" applyBorder="1" applyAlignment="1">
      <alignment horizontal="center" vertical="center"/>
    </xf>
    <xf numFmtId="0" fontId="10" fillId="4" borderId="26" xfId="2" applyFont="1" applyFill="1" applyBorder="1" applyAlignment="1">
      <alignment horizontal="center" vertical="center"/>
    </xf>
    <xf numFmtId="0" fontId="6" fillId="2" borderId="0" xfId="1" applyFont="1" applyFill="1" applyAlignment="1">
      <alignment horizontal="center" vertical="center"/>
    </xf>
    <xf numFmtId="0" fontId="31" fillId="2" borderId="0" xfId="1" applyFont="1" applyFill="1" applyAlignment="1">
      <alignment horizontal="left" vertical="center"/>
    </xf>
    <xf numFmtId="0" fontId="28" fillId="2" borderId="0" xfId="1" applyFont="1" applyFill="1">
      <alignment vertical="center"/>
    </xf>
    <xf numFmtId="0" fontId="14" fillId="2" borderId="0" xfId="2" applyFont="1" applyFill="1">
      <alignment vertical="center"/>
    </xf>
    <xf numFmtId="0" fontId="39" fillId="2" borderId="0" xfId="1" applyFont="1" applyFill="1">
      <alignment vertical="center"/>
    </xf>
    <xf numFmtId="0" fontId="12" fillId="2" borderId="0" xfId="2" applyFont="1" applyFill="1">
      <alignment vertical="center"/>
    </xf>
    <xf numFmtId="0" fontId="14" fillId="2" borderId="0" xfId="2" applyFont="1" applyFill="1" applyAlignment="1">
      <alignment vertical="center" wrapText="1"/>
    </xf>
    <xf numFmtId="0" fontId="6" fillId="2" borderId="0" xfId="2" applyFont="1" applyFill="1">
      <alignment vertical="center"/>
    </xf>
    <xf numFmtId="0" fontId="40" fillId="2" borderId="0" xfId="2" applyFont="1" applyFill="1" applyAlignment="1">
      <alignment horizontal="left" vertical="center"/>
    </xf>
    <xf numFmtId="0" fontId="41" fillId="2" borderId="0" xfId="2" applyFont="1" applyFill="1">
      <alignment vertical="center"/>
    </xf>
    <xf numFmtId="0" fontId="42" fillId="2" borderId="0" xfId="2" applyFont="1" applyFill="1" applyAlignment="1">
      <alignment horizontal="left" vertical="center"/>
    </xf>
    <xf numFmtId="0" fontId="42" fillId="2" borderId="0" xfId="2" applyFont="1" applyFill="1">
      <alignment vertical="center"/>
    </xf>
    <xf numFmtId="0" fontId="43" fillId="2" borderId="0" xfId="1" applyFont="1" applyFill="1" applyAlignment="1">
      <alignment horizontal="left" vertical="center"/>
    </xf>
    <xf numFmtId="0" fontId="7" fillId="2" borderId="32" xfId="2" applyFont="1" applyFill="1" applyBorder="1" applyAlignment="1">
      <alignment horizontal="center" vertical="center"/>
    </xf>
    <xf numFmtId="0" fontId="27" fillId="2" borderId="0" xfId="1" applyFont="1" applyFill="1">
      <alignment vertical="center"/>
    </xf>
    <xf numFmtId="0" fontId="7" fillId="2" borderId="32" xfId="2" applyFont="1" applyFill="1" applyBorder="1">
      <alignment vertical="center"/>
    </xf>
    <xf numFmtId="0" fontId="7" fillId="2" borderId="32" xfId="6" applyFont="1" applyFill="1" applyBorder="1" applyAlignment="1">
      <alignment horizontal="center" vertical="center" wrapText="1"/>
    </xf>
    <xf numFmtId="0" fontId="7" fillId="2" borderId="33" xfId="2" applyFont="1" applyFill="1" applyBorder="1" applyAlignment="1">
      <alignment horizontal="center" vertical="center"/>
    </xf>
    <xf numFmtId="0" fontId="7" fillId="2" borderId="33" xfId="6" applyFont="1" applyFill="1" applyBorder="1" applyAlignment="1">
      <alignment horizontal="center" vertical="center" wrapText="1"/>
    </xf>
    <xf numFmtId="0" fontId="7" fillId="2" borderId="0" xfId="6" applyFont="1" applyFill="1" applyAlignment="1">
      <alignment horizontal="center" vertical="center" wrapText="1"/>
    </xf>
    <xf numFmtId="0" fontId="33" fillId="2" borderId="32" xfId="1" applyFont="1" applyFill="1" applyBorder="1" applyAlignment="1">
      <alignment vertical="center" wrapText="1"/>
    </xf>
    <xf numFmtId="0" fontId="33" fillId="2" borderId="32" xfId="1" applyFont="1" applyFill="1" applyBorder="1" applyAlignment="1">
      <alignment horizontal="center" vertical="center" wrapText="1"/>
    </xf>
    <xf numFmtId="0" fontId="33" fillId="2" borderId="32" xfId="2" quotePrefix="1" applyFont="1" applyFill="1" applyBorder="1" applyAlignment="1">
      <alignment vertical="center" wrapText="1"/>
    </xf>
    <xf numFmtId="0" fontId="33" fillId="2" borderId="32" xfId="1" applyFont="1" applyFill="1" applyBorder="1" applyAlignment="1">
      <alignment horizontal="justify" vertical="center" wrapText="1"/>
    </xf>
    <xf numFmtId="0" fontId="14" fillId="2" borderId="32" xfId="8" applyFont="1" applyFill="1" applyBorder="1" applyAlignment="1">
      <alignment horizontal="center" vertical="center"/>
    </xf>
    <xf numFmtId="0" fontId="14" fillId="2" borderId="32" xfId="7" applyFont="1" applyFill="1" applyBorder="1" applyAlignment="1">
      <alignment horizontal="center" vertical="center" wrapText="1"/>
    </xf>
    <xf numFmtId="0" fontId="14" fillId="2" borderId="32" xfId="7" applyFont="1" applyFill="1" applyBorder="1" applyAlignment="1" applyProtection="1">
      <alignment horizontal="center" vertical="center" wrapText="1"/>
      <protection locked="0"/>
    </xf>
    <xf numFmtId="0" fontId="2" fillId="0" borderId="0" xfId="11">
      <alignment vertical="center"/>
    </xf>
    <xf numFmtId="0" fontId="45" fillId="2" borderId="0" xfId="0" applyFont="1" applyFill="1" applyAlignment="1">
      <alignment vertical="center" shrinkToFit="1"/>
    </xf>
    <xf numFmtId="0" fontId="10" fillId="6" borderId="46" xfId="3" applyFont="1" applyFill="1" applyBorder="1" applyAlignment="1">
      <alignment horizontal="center" vertical="center" wrapText="1"/>
    </xf>
    <xf numFmtId="0" fontId="10" fillId="6" borderId="47" xfId="3" applyFont="1" applyFill="1" applyBorder="1" applyAlignment="1">
      <alignment horizontal="center" vertical="center" wrapText="1"/>
    </xf>
    <xf numFmtId="0" fontId="8" fillId="2" borderId="0" xfId="2" applyFont="1" applyFill="1">
      <alignment vertical="center"/>
    </xf>
    <xf numFmtId="0" fontId="10" fillId="2" borderId="0" xfId="2" applyFont="1" applyFill="1">
      <alignment vertical="center"/>
    </xf>
    <xf numFmtId="0" fontId="7" fillId="2" borderId="0" xfId="4" applyFont="1" applyFill="1">
      <alignment vertical="center"/>
    </xf>
    <xf numFmtId="0" fontId="7" fillId="2" borderId="0" xfId="2" applyFont="1" applyFill="1" applyAlignment="1">
      <alignment horizontal="center" vertical="center"/>
    </xf>
    <xf numFmtId="0" fontId="8" fillId="2" borderId="31" xfId="2" applyFont="1" applyFill="1" applyBorder="1">
      <alignment vertical="center"/>
    </xf>
    <xf numFmtId="0" fontId="12" fillId="0" borderId="31" xfId="4" applyFont="1" applyBorder="1">
      <alignment vertical="center"/>
    </xf>
    <xf numFmtId="0" fontId="7" fillId="2" borderId="31" xfId="2" applyFont="1" applyFill="1" applyBorder="1">
      <alignment vertical="center"/>
    </xf>
    <xf numFmtId="0" fontId="42" fillId="2" borderId="0" xfId="1" applyFont="1" applyFill="1" applyAlignment="1">
      <alignment horizontal="left" vertical="center"/>
    </xf>
    <xf numFmtId="0" fontId="13" fillId="6" borderId="53" xfId="1" applyFont="1" applyFill="1" applyBorder="1" applyAlignment="1">
      <alignment horizontal="center" vertical="center"/>
    </xf>
    <xf numFmtId="0" fontId="13" fillId="6" borderId="45" xfId="1" applyFont="1" applyFill="1" applyBorder="1" applyAlignment="1">
      <alignment horizontal="center" vertical="center"/>
    </xf>
    <xf numFmtId="0" fontId="13" fillId="6" borderId="46" xfId="1" applyFont="1" applyFill="1" applyBorder="1" applyAlignment="1">
      <alignment horizontal="center" vertical="center"/>
    </xf>
    <xf numFmtId="0" fontId="4" fillId="2" borderId="55" xfId="1" applyFont="1" applyFill="1" applyBorder="1" applyAlignment="1">
      <alignment horizontal="center" vertical="center"/>
    </xf>
    <xf numFmtId="0" fontId="7" fillId="2" borderId="58" xfId="2" applyFont="1" applyFill="1" applyBorder="1" applyAlignment="1">
      <alignment horizontal="center" vertical="center"/>
    </xf>
    <xf numFmtId="0" fontId="7" fillId="2" borderId="61" xfId="2" applyFont="1" applyFill="1" applyBorder="1" applyAlignment="1">
      <alignment horizontal="center" vertical="center"/>
    </xf>
    <xf numFmtId="0" fontId="20" fillId="0" borderId="58" xfId="1" applyFont="1" applyBorder="1" applyAlignment="1">
      <alignment horizontal="center" vertical="center" wrapText="1"/>
    </xf>
    <xf numFmtId="0" fontId="4" fillId="0" borderId="58" xfId="1" applyFont="1" applyBorder="1" applyAlignment="1">
      <alignment horizontal="center" vertical="center"/>
    </xf>
    <xf numFmtId="0" fontId="20" fillId="2" borderId="59" xfId="1" applyFont="1" applyFill="1" applyBorder="1" applyAlignment="1">
      <alignment horizontal="center" vertical="center" wrapText="1"/>
    </xf>
    <xf numFmtId="0" fontId="20" fillId="0" borderId="61" xfId="1" applyFont="1" applyBorder="1" applyAlignment="1">
      <alignment horizontal="center" vertical="center" wrapText="1"/>
    </xf>
    <xf numFmtId="0" fontId="4" fillId="0" borderId="61" xfId="1" applyFont="1" applyBorder="1" applyAlignment="1">
      <alignment horizontal="center" vertical="center"/>
    </xf>
    <xf numFmtId="0" fontId="20" fillId="2" borderId="62" xfId="1" applyFont="1" applyFill="1" applyBorder="1" applyAlignment="1">
      <alignment horizontal="center" vertical="center" wrapText="1"/>
    </xf>
    <xf numFmtId="0" fontId="26" fillId="2" borderId="58" xfId="3" applyFont="1" applyFill="1" applyBorder="1" applyAlignment="1">
      <alignment horizontal="center" vertical="center" wrapText="1"/>
    </xf>
    <xf numFmtId="0" fontId="26" fillId="2" borderId="61" xfId="3" applyFont="1" applyFill="1" applyBorder="1" applyAlignment="1">
      <alignment horizontal="center" vertical="center" wrapText="1"/>
    </xf>
    <xf numFmtId="0" fontId="26" fillId="2" borderId="62" xfId="3" applyFont="1" applyFill="1" applyBorder="1" applyAlignment="1">
      <alignment horizontal="center" vertical="center" wrapText="1"/>
    </xf>
    <xf numFmtId="0" fontId="7" fillId="2" borderId="58" xfId="2" applyFont="1" applyFill="1" applyBorder="1">
      <alignment vertical="center"/>
    </xf>
    <xf numFmtId="0" fontId="7" fillId="2" borderId="58" xfId="6" applyFont="1" applyFill="1" applyBorder="1" applyAlignment="1">
      <alignment horizontal="center" vertical="center" wrapText="1"/>
    </xf>
    <xf numFmtId="0" fontId="7" fillId="2" borderId="59" xfId="6" applyFont="1" applyFill="1" applyBorder="1" applyAlignment="1">
      <alignment horizontal="center" vertical="center" wrapText="1"/>
    </xf>
    <xf numFmtId="0" fontId="7" fillId="2" borderId="61" xfId="2" applyFont="1" applyFill="1" applyBorder="1">
      <alignment vertical="center"/>
    </xf>
    <xf numFmtId="0" fontId="7" fillId="2" borderId="61" xfId="6" applyFont="1" applyFill="1" applyBorder="1" applyAlignment="1">
      <alignment horizontal="center" vertical="center" wrapText="1"/>
    </xf>
    <xf numFmtId="0" fontId="7" fillId="2" borderId="62" xfId="6" applyFont="1" applyFill="1" applyBorder="1" applyAlignment="1">
      <alignment horizontal="center" vertical="center" wrapText="1"/>
    </xf>
    <xf numFmtId="0" fontId="7" fillId="7" borderId="69" xfId="2" applyFont="1" applyFill="1" applyBorder="1" applyAlignment="1">
      <alignment horizontal="center" vertical="center"/>
    </xf>
    <xf numFmtId="0" fontId="7" fillId="7" borderId="70" xfId="2" applyFont="1" applyFill="1" applyBorder="1" applyAlignment="1">
      <alignment horizontal="center" vertical="center"/>
    </xf>
    <xf numFmtId="0" fontId="7" fillId="2" borderId="59" xfId="6" applyFont="1" applyFill="1" applyBorder="1" applyAlignment="1">
      <alignment horizontal="left" vertical="center" wrapText="1"/>
    </xf>
    <xf numFmtId="0" fontId="7" fillId="2" borderId="62" xfId="6" applyFont="1" applyFill="1" applyBorder="1" applyAlignment="1">
      <alignment horizontal="left" vertical="center" wrapText="1"/>
    </xf>
    <xf numFmtId="0" fontId="7" fillId="7" borderId="71" xfId="2" applyFont="1" applyFill="1" applyBorder="1" applyAlignment="1">
      <alignment horizontal="center" vertical="center"/>
    </xf>
    <xf numFmtId="0" fontId="7" fillId="7" borderId="68" xfId="2" applyFont="1" applyFill="1" applyBorder="1" applyAlignment="1">
      <alignment horizontal="center" vertical="center"/>
    </xf>
    <xf numFmtId="0" fontId="7" fillId="2" borderId="33" xfId="2" applyFont="1" applyFill="1" applyBorder="1">
      <alignment vertical="center"/>
    </xf>
    <xf numFmtId="0" fontId="7" fillId="7" borderId="73" xfId="2" applyFont="1" applyFill="1" applyBorder="1" applyAlignment="1">
      <alignment horizontal="center" vertical="center"/>
    </xf>
    <xf numFmtId="0" fontId="7" fillId="7" borderId="74" xfId="2" applyFont="1" applyFill="1" applyBorder="1" applyAlignment="1">
      <alignment horizontal="center" vertical="center"/>
    </xf>
    <xf numFmtId="0" fontId="7" fillId="2" borderId="75" xfId="6" applyFont="1" applyFill="1" applyBorder="1" applyAlignment="1">
      <alignment horizontal="center" vertical="center" wrapText="1"/>
    </xf>
    <xf numFmtId="0" fontId="7" fillId="2" borderId="76" xfId="6" applyFont="1" applyFill="1" applyBorder="1" applyAlignment="1">
      <alignment horizontal="center" vertical="center" wrapText="1"/>
    </xf>
    <xf numFmtId="0" fontId="7" fillId="2" borderId="33" xfId="2" applyFont="1" applyFill="1" applyBorder="1" applyAlignment="1">
      <alignment vertical="center" wrapText="1"/>
    </xf>
    <xf numFmtId="0" fontId="13" fillId="6" borderId="54" xfId="3" applyFont="1" applyFill="1" applyBorder="1" applyAlignment="1" applyProtection="1">
      <alignment horizontal="center" vertical="center" wrapText="1"/>
      <protection locked="0"/>
    </xf>
    <xf numFmtId="0" fontId="13" fillId="6" borderId="55" xfId="3" applyFont="1" applyFill="1" applyBorder="1" applyAlignment="1" applyProtection="1">
      <alignment horizontal="center" vertical="center" wrapText="1"/>
      <protection locked="0"/>
    </xf>
    <xf numFmtId="0" fontId="33" fillId="2" borderId="33" xfId="1" applyFont="1" applyFill="1" applyBorder="1" applyAlignment="1">
      <alignment horizontal="center" vertical="center" wrapText="1"/>
    </xf>
    <xf numFmtId="0" fontId="33" fillId="2" borderId="33" xfId="2" quotePrefix="1" applyFont="1" applyFill="1" applyBorder="1" applyAlignment="1">
      <alignment vertical="center" wrapText="1"/>
    </xf>
    <xf numFmtId="0" fontId="33" fillId="7" borderId="73" xfId="1" applyFont="1" applyFill="1" applyBorder="1" applyAlignment="1">
      <alignment horizontal="left" vertical="center" wrapText="1"/>
    </xf>
    <xf numFmtId="0" fontId="33" fillId="7" borderId="74" xfId="1" applyFont="1" applyFill="1" applyBorder="1" applyAlignment="1">
      <alignment horizontal="left" vertical="center" wrapText="1"/>
    </xf>
    <xf numFmtId="0" fontId="13" fillId="6" borderId="83" xfId="3" applyFont="1" applyFill="1" applyBorder="1" applyAlignment="1" applyProtection="1">
      <alignment horizontal="center" vertical="center" wrapText="1"/>
      <protection locked="0"/>
    </xf>
    <xf numFmtId="0" fontId="42" fillId="2" borderId="0" xfId="1" applyFont="1" applyFill="1">
      <alignment vertical="center"/>
    </xf>
    <xf numFmtId="0" fontId="26" fillId="2" borderId="85" xfId="3" applyFont="1" applyFill="1" applyBorder="1" applyAlignment="1">
      <alignment horizontal="center" vertical="center" wrapText="1"/>
    </xf>
    <xf numFmtId="0" fontId="26" fillId="2" borderId="86" xfId="3" applyFont="1" applyFill="1" applyBorder="1" applyAlignment="1">
      <alignment horizontal="center" vertical="center" wrapText="1"/>
    </xf>
    <xf numFmtId="0" fontId="10" fillId="7" borderId="91" xfId="3" applyFont="1" applyFill="1" applyBorder="1" applyAlignment="1">
      <alignment horizontal="center" vertical="center" wrapText="1"/>
    </xf>
    <xf numFmtId="0" fontId="7" fillId="2" borderId="91" xfId="2" applyFont="1" applyFill="1" applyBorder="1" applyAlignment="1">
      <alignment horizontal="center" vertical="center"/>
    </xf>
    <xf numFmtId="0" fontId="7" fillId="2" borderId="91" xfId="6" applyFont="1" applyFill="1" applyBorder="1" applyAlignment="1">
      <alignment horizontal="center" vertical="center" wrapText="1"/>
    </xf>
    <xf numFmtId="0" fontId="7" fillId="2" borderId="92" xfId="6" applyFont="1" applyFill="1" applyBorder="1" applyAlignment="1">
      <alignment horizontal="center" vertical="center" wrapText="1"/>
    </xf>
    <xf numFmtId="0" fontId="7" fillId="2" borderId="96" xfId="6" applyFont="1" applyFill="1" applyBorder="1" applyAlignment="1">
      <alignment horizontal="center" vertical="center" wrapText="1"/>
    </xf>
    <xf numFmtId="0" fontId="7" fillId="2" borderId="97" xfId="6" applyFont="1" applyFill="1" applyBorder="1" applyAlignment="1">
      <alignment horizontal="center" vertical="center" wrapText="1"/>
    </xf>
    <xf numFmtId="0" fontId="7" fillId="2" borderId="98" xfId="6" applyFont="1" applyFill="1" applyBorder="1" applyAlignment="1">
      <alignment horizontal="center" vertical="center" wrapText="1"/>
    </xf>
    <xf numFmtId="0" fontId="48" fillId="4" borderId="32" xfId="2" applyFont="1" applyFill="1" applyBorder="1" applyAlignment="1">
      <alignment horizontal="center" vertical="center"/>
    </xf>
    <xf numFmtId="0" fontId="14" fillId="2" borderId="33" xfId="8" applyFont="1" applyFill="1" applyBorder="1" applyAlignment="1">
      <alignment horizontal="center" vertical="center"/>
    </xf>
    <xf numFmtId="0" fontId="13" fillId="6" borderId="46" xfId="2" applyFont="1" applyFill="1" applyBorder="1" applyAlignment="1">
      <alignment horizontal="center" vertical="center"/>
    </xf>
    <xf numFmtId="0" fontId="13" fillId="6" borderId="47" xfId="2" applyFont="1" applyFill="1" applyBorder="1" applyAlignment="1">
      <alignment horizontal="center" vertical="center"/>
    </xf>
    <xf numFmtId="0" fontId="13" fillId="4" borderId="88" xfId="8" applyFont="1" applyFill="1" applyBorder="1" applyAlignment="1">
      <alignment horizontal="center" vertical="center"/>
    </xf>
    <xf numFmtId="0" fontId="13" fillId="6" borderId="46" xfId="3" applyFont="1" applyFill="1" applyBorder="1" applyAlignment="1" applyProtection="1">
      <alignment horizontal="center" vertical="center" wrapText="1"/>
      <protection locked="0"/>
    </xf>
    <xf numFmtId="0" fontId="13" fillId="6" borderId="47" xfId="3" applyFont="1" applyFill="1" applyBorder="1" applyAlignment="1" applyProtection="1">
      <alignment horizontal="center" vertical="center" wrapText="1"/>
      <protection locked="0"/>
    </xf>
    <xf numFmtId="0" fontId="13" fillId="4" borderId="77" xfId="7" applyFont="1" applyFill="1" applyBorder="1" applyAlignment="1">
      <alignment horizontal="center" vertical="center"/>
    </xf>
    <xf numFmtId="0" fontId="14" fillId="2" borderId="76" xfId="7" applyFont="1" applyFill="1" applyBorder="1" applyAlignment="1" applyProtection="1">
      <alignment horizontal="center" vertical="center" wrapText="1"/>
      <protection locked="0"/>
    </xf>
    <xf numFmtId="0" fontId="53" fillId="2" borderId="0" xfId="2" applyFont="1" applyFill="1">
      <alignment vertical="center"/>
    </xf>
    <xf numFmtId="0" fontId="13" fillId="6" borderId="46" xfId="1" applyFont="1" applyFill="1" applyBorder="1" applyAlignment="1">
      <alignment horizontal="center" vertical="center" wrapText="1"/>
    </xf>
    <xf numFmtId="0" fontId="13" fillId="2" borderId="0" xfId="2" applyFont="1" applyFill="1">
      <alignment vertical="center"/>
    </xf>
    <xf numFmtId="0" fontId="14" fillId="2" borderId="31" xfId="2" applyFont="1" applyFill="1" applyBorder="1">
      <alignment vertical="center"/>
    </xf>
    <xf numFmtId="0" fontId="36" fillId="2" borderId="0" xfId="1" applyFont="1" applyFill="1">
      <alignment vertical="center"/>
    </xf>
    <xf numFmtId="0" fontId="30" fillId="2" borderId="0" xfId="1" applyFont="1" applyFill="1">
      <alignment vertical="center"/>
    </xf>
    <xf numFmtId="0" fontId="0" fillId="0" borderId="60" xfId="0" applyBorder="1" applyAlignment="1">
      <alignment horizontal="center" vertical="center"/>
    </xf>
    <xf numFmtId="0" fontId="46" fillId="6" borderId="63" xfId="0" applyFont="1" applyFill="1" applyBorder="1" applyAlignment="1">
      <alignment horizontal="center" vertical="center"/>
    </xf>
    <xf numFmtId="0" fontId="46" fillId="0" borderId="0" xfId="0" applyFont="1">
      <alignment vertical="center"/>
    </xf>
    <xf numFmtId="0" fontId="46" fillId="6" borderId="64" xfId="0" applyFont="1" applyFill="1" applyBorder="1" applyAlignment="1">
      <alignment horizontal="center" vertical="center"/>
    </xf>
    <xf numFmtId="0" fontId="46" fillId="6" borderId="65" xfId="0" applyFont="1" applyFill="1" applyBorder="1" applyAlignment="1">
      <alignment horizontal="center" vertical="center"/>
    </xf>
    <xf numFmtId="0" fontId="55" fillId="10" borderId="84" xfId="0" applyFont="1" applyFill="1" applyBorder="1" applyAlignment="1">
      <alignment horizontal="center" vertical="center"/>
    </xf>
    <xf numFmtId="0" fontId="0" fillId="0" borderId="85" xfId="0" applyBorder="1" applyAlignment="1">
      <alignment horizontal="center" vertical="center"/>
    </xf>
    <xf numFmtId="0" fontId="55" fillId="10" borderId="60" xfId="0" applyFont="1" applyFill="1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55" fillId="10" borderId="64" xfId="0" applyFont="1" applyFill="1" applyBorder="1" applyAlignment="1">
      <alignment horizontal="center" vertical="center"/>
    </xf>
    <xf numFmtId="0" fontId="46" fillId="0" borderId="40" xfId="0" applyFont="1" applyBorder="1">
      <alignment vertical="center"/>
    </xf>
    <xf numFmtId="0" fontId="0" fillId="0" borderId="40" xfId="0" applyBorder="1">
      <alignment vertical="center"/>
    </xf>
    <xf numFmtId="0" fontId="46" fillId="0" borderId="113" xfId="0" applyFont="1" applyBorder="1">
      <alignment vertical="center"/>
    </xf>
    <xf numFmtId="0" fontId="0" fillId="0" borderId="114" xfId="0" applyBorder="1">
      <alignment vertical="center"/>
    </xf>
    <xf numFmtId="0" fontId="0" fillId="0" borderId="115" xfId="0" applyBorder="1">
      <alignment vertical="center"/>
    </xf>
    <xf numFmtId="0" fontId="46" fillId="0" borderId="116" xfId="0" applyFont="1" applyBorder="1">
      <alignment vertical="center"/>
    </xf>
    <xf numFmtId="0" fontId="0" fillId="0" borderId="117" xfId="0" applyBorder="1">
      <alignment vertical="center"/>
    </xf>
    <xf numFmtId="0" fontId="46" fillId="0" borderId="118" xfId="0" applyFont="1" applyBorder="1">
      <alignment vertical="center"/>
    </xf>
    <xf numFmtId="0" fontId="0" fillId="0" borderId="119" xfId="0" applyBorder="1">
      <alignment vertical="center"/>
    </xf>
    <xf numFmtId="0" fontId="0" fillId="0" borderId="120" xfId="0" applyBorder="1">
      <alignment vertical="center"/>
    </xf>
    <xf numFmtId="0" fontId="46" fillId="0" borderId="114" xfId="0" applyFont="1" applyBorder="1">
      <alignment vertical="center"/>
    </xf>
    <xf numFmtId="0" fontId="46" fillId="0" borderId="119" xfId="0" applyFont="1" applyBorder="1">
      <alignment vertical="center"/>
    </xf>
    <xf numFmtId="0" fontId="57" fillId="0" borderId="118" xfId="0" applyFont="1" applyBorder="1">
      <alignment vertical="center"/>
    </xf>
    <xf numFmtId="0" fontId="57" fillId="0" borderId="0" xfId="0" applyFont="1">
      <alignment vertical="center"/>
    </xf>
    <xf numFmtId="0" fontId="32" fillId="0" borderId="0" xfId="0" applyFont="1">
      <alignment vertical="center"/>
    </xf>
    <xf numFmtId="0" fontId="57" fillId="0" borderId="116" xfId="0" applyFont="1" applyBorder="1">
      <alignment vertical="center"/>
    </xf>
    <xf numFmtId="0" fontId="0" fillId="0" borderId="116" xfId="0" applyBorder="1">
      <alignment vertical="center"/>
    </xf>
    <xf numFmtId="0" fontId="54" fillId="0" borderId="113" xfId="0" applyFont="1" applyBorder="1">
      <alignment vertical="center"/>
    </xf>
    <xf numFmtId="0" fontId="55" fillId="10" borderId="61" xfId="0" applyFont="1" applyFill="1" applyBorder="1" applyAlignment="1">
      <alignment horizontal="center" vertical="center"/>
    </xf>
    <xf numFmtId="0" fontId="55" fillId="10" borderId="62" xfId="0" applyFont="1" applyFill="1" applyBorder="1" applyAlignment="1">
      <alignment horizontal="center" vertical="center"/>
    </xf>
    <xf numFmtId="0" fontId="52" fillId="0" borderId="64" xfId="0" applyFont="1" applyBorder="1" applyAlignment="1">
      <alignment horizontal="center" vertical="center"/>
    </xf>
    <xf numFmtId="0" fontId="7" fillId="4" borderId="57" xfId="2" applyFont="1" applyFill="1" applyBorder="1" applyAlignment="1">
      <alignment vertical="center" wrapText="1"/>
    </xf>
    <xf numFmtId="0" fontId="7" fillId="4" borderId="60" xfId="2" applyFont="1" applyFill="1" applyBorder="1" applyAlignment="1">
      <alignment vertical="center" wrapText="1"/>
    </xf>
    <xf numFmtId="0" fontId="0" fillId="0" borderId="123" xfId="0" applyBorder="1" applyAlignment="1">
      <alignment horizontal="center" vertical="center"/>
    </xf>
    <xf numFmtId="0" fontId="10" fillId="4" borderId="21" xfId="2" applyFont="1" applyFill="1" applyBorder="1">
      <alignment vertical="center"/>
    </xf>
    <xf numFmtId="0" fontId="10" fillId="4" borderId="23" xfId="2" applyFont="1" applyFill="1" applyBorder="1">
      <alignment vertical="center"/>
    </xf>
    <xf numFmtId="0" fontId="10" fillId="4" borderId="27" xfId="2" applyFont="1" applyFill="1" applyBorder="1">
      <alignment vertical="center"/>
    </xf>
    <xf numFmtId="0" fontId="4" fillId="0" borderId="131" xfId="1" applyFont="1" applyBorder="1" applyAlignment="1">
      <alignment horizontal="center" vertical="center"/>
    </xf>
    <xf numFmtId="49" fontId="34" fillId="0" borderId="132" xfId="0" applyNumberFormat="1" applyFont="1" applyBorder="1" applyAlignment="1">
      <alignment horizontal="center" vertical="center"/>
    </xf>
    <xf numFmtId="49" fontId="34" fillId="0" borderId="133" xfId="0" applyNumberFormat="1" applyFont="1" applyBorder="1" applyAlignment="1">
      <alignment horizontal="center" vertical="center"/>
    </xf>
    <xf numFmtId="0" fontId="52" fillId="2" borderId="0" xfId="4" applyFont="1" applyFill="1" applyAlignment="1">
      <alignment vertical="center" wrapText="1"/>
    </xf>
    <xf numFmtId="0" fontId="13" fillId="6" borderId="47" xfId="1" applyFont="1" applyFill="1" applyBorder="1" applyAlignment="1">
      <alignment horizontal="center" vertical="center"/>
    </xf>
    <xf numFmtId="0" fontId="49" fillId="2" borderId="0" xfId="4" applyFont="1" applyFill="1">
      <alignment vertical="center"/>
    </xf>
    <xf numFmtId="0" fontId="52" fillId="2" borderId="0" xfId="4" applyFont="1" applyFill="1">
      <alignment vertical="center"/>
    </xf>
    <xf numFmtId="0" fontId="60" fillId="2" borderId="0" xfId="4" applyFont="1" applyFill="1">
      <alignment vertical="center"/>
    </xf>
    <xf numFmtId="0" fontId="0" fillId="0" borderId="59" xfId="0" applyBorder="1" applyAlignment="1">
      <alignment horizontal="center" vertical="center"/>
    </xf>
    <xf numFmtId="0" fontId="55" fillId="10" borderId="65" xfId="0" applyFont="1" applyFill="1" applyBorder="1" applyAlignment="1">
      <alignment horizontal="center" vertical="center"/>
    </xf>
    <xf numFmtId="0" fontId="7" fillId="4" borderId="82" xfId="2" applyFont="1" applyFill="1" applyBorder="1" applyAlignment="1">
      <alignment vertical="center" wrapText="1"/>
    </xf>
    <xf numFmtId="0" fontId="7" fillId="4" borderId="77" xfId="2" applyFont="1" applyFill="1" applyBorder="1" applyAlignment="1">
      <alignment vertical="center" wrapText="1"/>
    </xf>
    <xf numFmtId="0" fontId="61" fillId="2" borderId="0" xfId="5" applyFont="1" applyFill="1" applyAlignment="1" applyProtection="1">
      <alignment horizontal="right" vertical="center"/>
    </xf>
    <xf numFmtId="0" fontId="10" fillId="2" borderId="0" xfId="2" applyFont="1" applyFill="1" applyAlignment="1">
      <alignment horizontal="right" vertical="center"/>
    </xf>
    <xf numFmtId="0" fontId="14" fillId="2" borderId="138" xfId="7" applyFont="1" applyFill="1" applyBorder="1" applyAlignment="1" applyProtection="1">
      <alignment horizontal="center" vertical="center" wrapText="1"/>
      <protection locked="0"/>
    </xf>
    <xf numFmtId="0" fontId="7" fillId="2" borderId="138" xfId="2" applyFont="1" applyFill="1" applyBorder="1" applyAlignment="1">
      <alignment horizontal="center" vertical="center"/>
    </xf>
    <xf numFmtId="0" fontId="33" fillId="0" borderId="33" xfId="1" applyFont="1" applyBorder="1" applyAlignment="1">
      <alignment horizontal="center" vertical="center" wrapText="1"/>
    </xf>
    <xf numFmtId="0" fontId="37" fillId="0" borderId="0" xfId="9" applyFont="1">
      <alignment vertical="center"/>
    </xf>
    <xf numFmtId="0" fontId="14" fillId="4" borderId="32" xfId="7" applyFont="1" applyFill="1" applyBorder="1" applyAlignment="1">
      <alignment horizontal="center" vertical="center" wrapText="1"/>
    </xf>
    <xf numFmtId="0" fontId="10" fillId="6" borderId="54" xfId="3" applyFont="1" applyFill="1" applyBorder="1" applyAlignment="1">
      <alignment horizontal="center" vertical="center" wrapText="1"/>
    </xf>
    <xf numFmtId="0" fontId="10" fillId="6" borderId="54" xfId="3" applyFont="1" applyFill="1" applyBorder="1" applyAlignment="1">
      <alignment horizontal="center" vertical="center" shrinkToFit="1"/>
    </xf>
    <xf numFmtId="0" fontId="10" fillId="6" borderId="55" xfId="3" applyFont="1" applyFill="1" applyBorder="1" applyAlignment="1">
      <alignment horizontal="center" vertical="center" wrapText="1"/>
    </xf>
    <xf numFmtId="0" fontId="26" fillId="2" borderId="110" xfId="3" applyFont="1" applyFill="1" applyBorder="1" applyAlignment="1">
      <alignment horizontal="center" vertical="center" wrapText="1"/>
    </xf>
    <xf numFmtId="176" fontId="26" fillId="2" borderId="110" xfId="3" applyNumberFormat="1" applyFont="1" applyFill="1" applyBorder="1" applyAlignment="1">
      <alignment horizontal="center" vertical="center" wrapText="1"/>
    </xf>
    <xf numFmtId="0" fontId="25" fillId="2" borderId="104" xfId="3" applyFont="1" applyFill="1" applyBorder="1" applyAlignment="1">
      <alignment horizontal="center" vertical="center" wrapText="1"/>
    </xf>
    <xf numFmtId="176" fontId="25" fillId="7" borderId="93" xfId="3" applyNumberFormat="1" applyFont="1" applyFill="1" applyBorder="1" applyAlignment="1">
      <alignment horizontal="center" vertical="center" wrapText="1"/>
    </xf>
    <xf numFmtId="176" fontId="25" fillId="7" borderId="95" xfId="3" applyNumberFormat="1" applyFont="1" applyFill="1" applyBorder="1" applyAlignment="1">
      <alignment horizontal="center" vertical="center" wrapText="1"/>
    </xf>
    <xf numFmtId="176" fontId="25" fillId="7" borderId="94" xfId="3" applyNumberFormat="1" applyFont="1" applyFill="1" applyBorder="1" applyAlignment="1">
      <alignment horizontal="center" vertical="center" wrapText="1"/>
    </xf>
    <xf numFmtId="176" fontId="14" fillId="2" borderId="75" xfId="8" applyNumberFormat="1" applyFont="1" applyFill="1" applyBorder="1" applyAlignment="1">
      <alignment horizontal="center" vertical="center"/>
    </xf>
    <xf numFmtId="176" fontId="14" fillId="2" borderId="76" xfId="8" applyNumberFormat="1" applyFont="1" applyFill="1" applyBorder="1" applyAlignment="1">
      <alignment horizontal="center" vertical="center"/>
    </xf>
    <xf numFmtId="176" fontId="13" fillId="4" borderId="89" xfId="8" applyNumberFormat="1" applyFont="1" applyFill="1" applyBorder="1" applyAlignment="1">
      <alignment horizontal="center" vertical="center"/>
    </xf>
    <xf numFmtId="0" fontId="63" fillId="9" borderId="0" xfId="1" applyFont="1" applyFill="1" applyAlignment="1">
      <alignment vertical="center" wrapText="1"/>
    </xf>
    <xf numFmtId="0" fontId="39" fillId="9" borderId="0" xfId="1" applyFont="1" applyFill="1" applyAlignment="1">
      <alignment vertical="center" wrapText="1"/>
    </xf>
    <xf numFmtId="0" fontId="14" fillId="2" borderId="84" xfId="7" applyFont="1" applyFill="1" applyBorder="1" applyAlignment="1">
      <alignment horizontal="center" vertical="center" wrapText="1"/>
    </xf>
    <xf numFmtId="0" fontId="14" fillId="2" borderId="85" xfId="7" applyFont="1" applyFill="1" applyBorder="1" applyAlignment="1">
      <alignment horizontal="center" vertical="center" wrapText="1"/>
    </xf>
    <xf numFmtId="0" fontId="13" fillId="8" borderId="85" xfId="7" applyFont="1" applyFill="1" applyBorder="1" applyAlignment="1">
      <alignment horizontal="center" vertical="center" wrapText="1"/>
    </xf>
    <xf numFmtId="0" fontId="14" fillId="2" borderId="85" xfId="7" applyFont="1" applyFill="1" applyBorder="1" applyAlignment="1" applyProtection="1">
      <alignment horizontal="center" vertical="center" wrapText="1"/>
      <protection locked="0"/>
    </xf>
    <xf numFmtId="0" fontId="48" fillId="4" borderId="72" xfId="2" applyFont="1" applyFill="1" applyBorder="1" applyAlignment="1">
      <alignment horizontal="center" vertical="center"/>
    </xf>
    <xf numFmtId="0" fontId="33" fillId="2" borderId="72" xfId="1" applyFont="1" applyFill="1" applyBorder="1" applyAlignment="1">
      <alignment vertical="center" wrapText="1"/>
    </xf>
    <xf numFmtId="0" fontId="33" fillId="2" borderId="72" xfId="1" applyFont="1" applyFill="1" applyBorder="1" applyAlignment="1">
      <alignment horizontal="center" vertical="center" wrapText="1"/>
    </xf>
    <xf numFmtId="0" fontId="33" fillId="0" borderId="72" xfId="1" applyFont="1" applyBorder="1" applyAlignment="1">
      <alignment horizontal="center" vertical="center" wrapText="1"/>
    </xf>
    <xf numFmtId="0" fontId="33" fillId="2" borderId="72" xfId="2" quotePrefix="1" applyFont="1" applyFill="1" applyBorder="1" applyAlignment="1">
      <alignment vertical="center" wrapText="1"/>
    </xf>
    <xf numFmtId="49" fontId="34" fillId="0" borderId="140" xfId="0" applyNumberFormat="1" applyFont="1" applyBorder="1" applyAlignment="1">
      <alignment horizontal="center" vertical="center"/>
    </xf>
    <xf numFmtId="0" fontId="48" fillId="4" borderId="138" xfId="2" applyFont="1" applyFill="1" applyBorder="1" applyAlignment="1">
      <alignment horizontal="center" vertical="center"/>
    </xf>
    <xf numFmtId="0" fontId="33" fillId="7" borderId="137" xfId="1" applyFont="1" applyFill="1" applyBorder="1" applyAlignment="1">
      <alignment horizontal="left" vertical="center" wrapText="1"/>
    </xf>
    <xf numFmtId="0" fontId="33" fillId="2" borderId="138" xfId="1" applyFont="1" applyFill="1" applyBorder="1" applyAlignment="1">
      <alignment vertical="center" wrapText="1"/>
    </xf>
    <xf numFmtId="0" fontId="33" fillId="2" borderId="138" xfId="1" applyFont="1" applyFill="1" applyBorder="1" applyAlignment="1">
      <alignment horizontal="center" vertical="center" wrapText="1"/>
    </xf>
    <xf numFmtId="0" fontId="33" fillId="0" borderId="141" xfId="1" applyFont="1" applyBorder="1" applyAlignment="1">
      <alignment horizontal="center" vertical="center" wrapText="1"/>
    </xf>
    <xf numFmtId="0" fontId="33" fillId="2" borderId="141" xfId="2" quotePrefix="1" applyFont="1" applyFill="1" applyBorder="1" applyAlignment="1">
      <alignment vertical="center" wrapText="1"/>
    </xf>
    <xf numFmtId="0" fontId="33" fillId="2" borderId="138" xfId="2" quotePrefix="1" applyFont="1" applyFill="1" applyBorder="1" applyAlignment="1">
      <alignment vertical="center" wrapText="1"/>
    </xf>
    <xf numFmtId="49" fontId="34" fillId="0" borderId="142" xfId="0" applyNumberFormat="1" applyFont="1" applyBorder="1" applyAlignment="1">
      <alignment horizontal="center" vertical="center"/>
    </xf>
    <xf numFmtId="0" fontId="34" fillId="0" borderId="143" xfId="0" applyFont="1" applyBorder="1" applyAlignment="1">
      <alignment horizontal="center" vertical="center" wrapText="1"/>
    </xf>
    <xf numFmtId="0" fontId="7" fillId="4" borderId="63" xfId="2" applyFont="1" applyFill="1" applyBorder="1" applyAlignment="1">
      <alignment vertical="center" wrapText="1"/>
    </xf>
    <xf numFmtId="0" fontId="7" fillId="7" borderId="144" xfId="2" applyFont="1" applyFill="1" applyBorder="1" applyAlignment="1">
      <alignment horizontal="center" vertical="center"/>
    </xf>
    <xf numFmtId="0" fontId="7" fillId="2" borderId="64" xfId="2" applyFont="1" applyFill="1" applyBorder="1">
      <alignment vertical="center"/>
    </xf>
    <xf numFmtId="0" fontId="7" fillId="2" borderId="65" xfId="6" applyFont="1" applyFill="1" applyBorder="1" applyAlignment="1">
      <alignment horizontal="left" vertical="center" wrapText="1"/>
    </xf>
    <xf numFmtId="0" fontId="13" fillId="6" borderId="145" xfId="1" applyFont="1" applyFill="1" applyBorder="1" applyAlignment="1">
      <alignment horizontal="center" vertical="center"/>
    </xf>
    <xf numFmtId="0" fontId="13" fillId="6" borderId="146" xfId="1" applyFont="1" applyFill="1" applyBorder="1" applyAlignment="1">
      <alignment horizontal="center" vertical="center"/>
    </xf>
    <xf numFmtId="0" fontId="7" fillId="4" borderId="58" xfId="2" applyFont="1" applyFill="1" applyBorder="1" applyAlignment="1">
      <alignment vertical="center" wrapText="1"/>
    </xf>
    <xf numFmtId="0" fontId="7" fillId="2" borderId="72" xfId="2" applyFont="1" applyFill="1" applyBorder="1">
      <alignment vertical="center"/>
    </xf>
    <xf numFmtId="0" fontId="7" fillId="2" borderId="72" xfId="2" applyFont="1" applyFill="1" applyBorder="1" applyAlignment="1">
      <alignment horizontal="center" vertical="center"/>
    </xf>
    <xf numFmtId="0" fontId="7" fillId="2" borderId="72" xfId="6" applyFont="1" applyFill="1" applyBorder="1" applyAlignment="1">
      <alignment horizontal="center" vertical="center" wrapText="1"/>
    </xf>
    <xf numFmtId="0" fontId="7" fillId="2" borderId="79" xfId="6" applyFont="1" applyFill="1" applyBorder="1" applyAlignment="1">
      <alignment horizontal="center" vertical="center" wrapText="1"/>
    </xf>
    <xf numFmtId="0" fontId="7" fillId="4" borderId="61" xfId="2" applyFont="1" applyFill="1" applyBorder="1" applyAlignment="1">
      <alignment vertical="center" wrapText="1"/>
    </xf>
    <xf numFmtId="0" fontId="7" fillId="2" borderId="40" xfId="2" applyFont="1" applyFill="1" applyBorder="1">
      <alignment vertical="center"/>
    </xf>
    <xf numFmtId="0" fontId="7" fillId="2" borderId="41" xfId="2" applyFont="1" applyFill="1" applyBorder="1">
      <alignment vertical="center"/>
    </xf>
    <xf numFmtId="0" fontId="13" fillId="4" borderId="78" xfId="7" applyFont="1" applyFill="1" applyBorder="1" applyAlignment="1">
      <alignment horizontal="center" vertical="center"/>
    </xf>
    <xf numFmtId="0" fontId="14" fillId="4" borderId="72" xfId="7" applyFont="1" applyFill="1" applyBorder="1" applyAlignment="1">
      <alignment horizontal="center" vertical="center" wrapText="1"/>
    </xf>
    <xf numFmtId="0" fontId="14" fillId="2" borderId="72" xfId="7" applyFont="1" applyFill="1" applyBorder="1" applyAlignment="1">
      <alignment horizontal="center" vertical="center" wrapText="1"/>
    </xf>
    <xf numFmtId="0" fontId="14" fillId="2" borderId="72" xfId="7" applyFont="1" applyFill="1" applyBorder="1" applyAlignment="1" applyProtection="1">
      <alignment horizontal="center" vertical="center" wrapText="1"/>
      <protection locked="0"/>
    </xf>
    <xf numFmtId="0" fontId="14" fillId="2" borderId="79" xfId="7" applyFont="1" applyFill="1" applyBorder="1" applyAlignment="1" applyProtection="1">
      <alignment horizontal="center" vertical="center" wrapText="1"/>
      <protection locked="0"/>
    </xf>
    <xf numFmtId="0" fontId="13" fillId="4" borderId="80" xfId="7" applyFont="1" applyFill="1" applyBorder="1" applyAlignment="1">
      <alignment horizontal="center" vertical="center"/>
    </xf>
    <xf numFmtId="0" fontId="14" fillId="4" borderId="138" xfId="7" applyFont="1" applyFill="1" applyBorder="1" applyAlignment="1">
      <alignment horizontal="center" vertical="center" wrapText="1"/>
    </xf>
    <xf numFmtId="0" fontId="14" fillId="2" borderId="138" xfId="7" applyFont="1" applyFill="1" applyBorder="1" applyAlignment="1">
      <alignment horizontal="center" vertical="center" wrapText="1"/>
    </xf>
    <xf numFmtId="0" fontId="14" fillId="2" borderId="81" xfId="7" applyFont="1" applyFill="1" applyBorder="1" applyAlignment="1" applyProtection="1">
      <alignment horizontal="center" vertical="center" wrapText="1"/>
      <protection locked="0"/>
    </xf>
    <xf numFmtId="0" fontId="14" fillId="4" borderId="72" xfId="2" applyFont="1" applyFill="1" applyBorder="1" applyAlignment="1">
      <alignment vertical="center" wrapText="1"/>
    </xf>
    <xf numFmtId="0" fontId="13" fillId="4" borderId="72" xfId="2" applyFont="1" applyFill="1" applyBorder="1" applyAlignment="1">
      <alignment horizontal="center" vertical="center"/>
    </xf>
    <xf numFmtId="0" fontId="14" fillId="4" borderId="32" xfId="2" applyFont="1" applyFill="1" applyBorder="1" applyAlignment="1">
      <alignment vertical="center" wrapText="1"/>
    </xf>
    <xf numFmtId="0" fontId="13" fillId="4" borderId="32" xfId="2" applyFont="1" applyFill="1" applyBorder="1" applyAlignment="1">
      <alignment horizontal="center" vertical="center"/>
    </xf>
    <xf numFmtId="0" fontId="14" fillId="4" borderId="138" xfId="2" applyFont="1" applyFill="1" applyBorder="1" applyAlignment="1">
      <alignment vertical="center" wrapText="1"/>
    </xf>
    <xf numFmtId="0" fontId="13" fillId="4" borderId="138" xfId="2" applyFont="1" applyFill="1" applyBorder="1" applyAlignment="1">
      <alignment horizontal="center" vertical="center"/>
    </xf>
    <xf numFmtId="0" fontId="13" fillId="4" borderId="85" xfId="2" applyFont="1" applyFill="1" applyBorder="1" applyAlignment="1">
      <alignment horizontal="center" vertical="center"/>
    </xf>
    <xf numFmtId="0" fontId="13" fillId="4" borderId="85" xfId="2" applyFont="1" applyFill="1" applyBorder="1">
      <alignment vertical="center"/>
    </xf>
    <xf numFmtId="0" fontId="13" fillId="8" borderId="85" xfId="2" applyFont="1" applyFill="1" applyBorder="1" applyAlignment="1">
      <alignment horizontal="center" vertical="center"/>
    </xf>
    <xf numFmtId="0" fontId="14" fillId="2" borderId="85" xfId="2" applyFont="1" applyFill="1" applyBorder="1" applyAlignment="1">
      <alignment vertical="center" wrapText="1"/>
    </xf>
    <xf numFmtId="0" fontId="14" fillId="2" borderId="0" xfId="2" applyFont="1" applyFill="1" applyAlignment="1">
      <alignment horizontal="center" vertical="center"/>
    </xf>
    <xf numFmtId="0" fontId="7" fillId="2" borderId="72" xfId="2" applyFont="1" applyFill="1" applyBorder="1" applyAlignment="1">
      <alignment vertical="center" wrapText="1"/>
    </xf>
    <xf numFmtId="0" fontId="7" fillId="2" borderId="141" xfId="2" applyFont="1" applyFill="1" applyBorder="1" applyAlignment="1">
      <alignment vertical="center" wrapText="1"/>
    </xf>
    <xf numFmtId="0" fontId="10" fillId="2" borderId="72" xfId="7" applyFont="1" applyFill="1" applyBorder="1" applyAlignment="1">
      <alignment horizontal="center" vertical="center"/>
    </xf>
    <xf numFmtId="0" fontId="7" fillId="2" borderId="72" xfId="7" applyFont="1" applyFill="1" applyBorder="1" applyAlignment="1" applyProtection="1">
      <alignment horizontal="center" vertical="center" wrapText="1"/>
      <protection locked="0"/>
    </xf>
    <xf numFmtId="0" fontId="10" fillId="2" borderId="32" xfId="7" applyFont="1" applyFill="1" applyBorder="1" applyAlignment="1">
      <alignment horizontal="center" vertical="center"/>
    </xf>
    <xf numFmtId="0" fontId="7" fillId="2" borderId="32" xfId="7" applyFont="1" applyFill="1" applyBorder="1" applyAlignment="1" applyProtection="1">
      <alignment horizontal="center" vertical="center" wrapText="1"/>
      <protection locked="0"/>
    </xf>
    <xf numFmtId="0" fontId="10" fillId="2" borderId="138" xfId="7" applyFont="1" applyFill="1" applyBorder="1" applyAlignment="1">
      <alignment horizontal="center" vertical="center"/>
    </xf>
    <xf numFmtId="0" fontId="7" fillId="2" borderId="138" xfId="7" applyFont="1" applyFill="1" applyBorder="1" applyAlignment="1" applyProtection="1">
      <alignment horizontal="center" vertical="center" wrapText="1"/>
      <protection locked="0"/>
    </xf>
    <xf numFmtId="0" fontId="14" fillId="4" borderId="60" xfId="5" applyFont="1" applyFill="1" applyBorder="1" applyAlignment="1" applyProtection="1">
      <alignment horizontal="center" vertical="center"/>
    </xf>
    <xf numFmtId="0" fontId="14" fillId="4" borderId="57" xfId="5" applyFont="1" applyFill="1" applyBorder="1" applyAlignment="1" applyProtection="1">
      <alignment horizontal="center" vertical="center"/>
    </xf>
    <xf numFmtId="0" fontId="14" fillId="4" borderId="63" xfId="5" applyFont="1" applyFill="1" applyBorder="1" applyAlignment="1" applyProtection="1">
      <alignment horizontal="center" vertical="center"/>
    </xf>
    <xf numFmtId="0" fontId="4" fillId="0" borderId="64" xfId="1" applyFont="1" applyBorder="1" applyAlignment="1">
      <alignment horizontal="center" vertical="center"/>
    </xf>
    <xf numFmtId="0" fontId="20" fillId="0" borderId="64" xfId="1" applyFont="1" applyBorder="1" applyAlignment="1">
      <alignment horizontal="center" vertical="center" wrapText="1"/>
    </xf>
    <xf numFmtId="0" fontId="20" fillId="2" borderId="65" xfId="1" applyFont="1" applyFill="1" applyBorder="1" applyAlignment="1">
      <alignment horizontal="center" vertical="center" wrapText="1"/>
    </xf>
    <xf numFmtId="0" fontId="67" fillId="0" borderId="0" xfId="13" applyAlignment="1">
      <alignment vertical="center"/>
    </xf>
    <xf numFmtId="0" fontId="68" fillId="11" borderId="0" xfId="13" applyFont="1" applyFill="1" applyAlignment="1">
      <alignment vertical="center" wrapText="1"/>
    </xf>
    <xf numFmtId="0" fontId="69" fillId="0" borderId="0" xfId="13" applyFont="1" applyAlignment="1">
      <alignment vertical="center"/>
    </xf>
    <xf numFmtId="0" fontId="60" fillId="12" borderId="148" xfId="13" applyFont="1" applyFill="1" applyBorder="1" applyAlignment="1">
      <alignment horizontal="center" vertical="center"/>
    </xf>
    <xf numFmtId="0" fontId="60" fillId="12" borderId="149" xfId="13" applyFont="1" applyFill="1" applyBorder="1" applyAlignment="1">
      <alignment horizontal="center" vertical="center" wrapText="1"/>
    </xf>
    <xf numFmtId="0" fontId="60" fillId="12" borderId="149" xfId="13" applyFont="1" applyFill="1" applyBorder="1" applyAlignment="1">
      <alignment horizontal="center" vertical="center"/>
    </xf>
    <xf numFmtId="0" fontId="60" fillId="12" borderId="150" xfId="13" applyFont="1" applyFill="1" applyBorder="1" applyAlignment="1">
      <alignment horizontal="center" vertical="center" wrapText="1"/>
    </xf>
    <xf numFmtId="0" fontId="70" fillId="0" borderId="0" xfId="13" applyFont="1" applyAlignment="1">
      <alignment vertical="center"/>
    </xf>
    <xf numFmtId="0" fontId="71" fillId="13" borderId="151" xfId="14" applyFont="1" applyFill="1" applyBorder="1" applyAlignment="1">
      <alignment vertical="center" wrapText="1"/>
    </xf>
    <xf numFmtId="0" fontId="4" fillId="13" borderId="151" xfId="14" applyFont="1" applyFill="1" applyBorder="1" applyAlignment="1">
      <alignment horizontal="center" vertical="center" wrapText="1"/>
    </xf>
    <xf numFmtId="0" fontId="4" fillId="13" borderId="151" xfId="14" applyFont="1" applyFill="1" applyBorder="1" applyAlignment="1">
      <alignment vertical="center" wrapText="1"/>
    </xf>
    <xf numFmtId="0" fontId="14" fillId="13" borderId="151" xfId="14" quotePrefix="1" applyFont="1" applyFill="1" applyBorder="1" applyAlignment="1">
      <alignment horizontal="left" vertical="center" wrapText="1"/>
    </xf>
    <xf numFmtId="0" fontId="0" fillId="14" borderId="151" xfId="0" applyFill="1" applyBorder="1" applyAlignment="1">
      <alignment horizontal="center" vertical="center"/>
    </xf>
    <xf numFmtId="0" fontId="13" fillId="14" borderId="151" xfId="13" applyFont="1" applyFill="1" applyBorder="1" applyAlignment="1">
      <alignment horizontal="center" vertical="center" wrapText="1"/>
    </xf>
    <xf numFmtId="0" fontId="70" fillId="14" borderId="151" xfId="13" applyFont="1" applyFill="1" applyBorder="1" applyAlignment="1">
      <alignment horizontal="center" vertical="center" wrapText="1"/>
    </xf>
    <xf numFmtId="0" fontId="71" fillId="13" borderId="4" xfId="14" applyFont="1" applyFill="1" applyBorder="1" applyAlignment="1">
      <alignment vertical="center" wrapText="1"/>
    </xf>
    <xf numFmtId="0" fontId="4" fillId="13" borderId="4" xfId="14" applyFont="1" applyFill="1" applyBorder="1" applyAlignment="1">
      <alignment horizontal="center" vertical="center" wrapText="1"/>
    </xf>
    <xf numFmtId="0" fontId="4" fillId="13" borderId="4" xfId="14" applyFont="1" applyFill="1" applyBorder="1" applyAlignment="1">
      <alignment vertical="center" wrapText="1"/>
    </xf>
    <xf numFmtId="0" fontId="14" fillId="13" borderId="4" xfId="14" quotePrefix="1" applyFont="1" applyFill="1" applyBorder="1" applyAlignment="1">
      <alignment horizontal="left" vertical="center" wrapText="1"/>
    </xf>
    <xf numFmtId="0" fontId="0" fillId="14" borderId="4" xfId="0" applyFill="1" applyBorder="1" applyAlignment="1">
      <alignment horizontal="center" vertical="center"/>
    </xf>
    <xf numFmtId="0" fontId="13" fillId="14" borderId="4" xfId="13" applyFont="1" applyFill="1" applyBorder="1" applyAlignment="1">
      <alignment horizontal="center" vertical="center" wrapText="1"/>
    </xf>
    <xf numFmtId="0" fontId="71" fillId="13" borderId="4" xfId="14" quotePrefix="1" applyFont="1" applyFill="1" applyBorder="1" applyAlignment="1">
      <alignment horizontal="left" vertical="center" wrapText="1"/>
    </xf>
    <xf numFmtId="0" fontId="73" fillId="13" borderId="4" xfId="14" applyFont="1" applyFill="1" applyBorder="1" applyAlignment="1">
      <alignment vertical="center" wrapText="1"/>
    </xf>
    <xf numFmtId="0" fontId="74" fillId="13" borderId="4" xfId="14" applyFont="1" applyFill="1" applyBorder="1" applyAlignment="1">
      <alignment vertical="center" wrapText="1"/>
    </xf>
    <xf numFmtId="0" fontId="75" fillId="13" borderId="4" xfId="14" applyFont="1" applyFill="1" applyBorder="1" applyAlignment="1">
      <alignment horizontal="center" vertical="center" wrapText="1"/>
    </xf>
    <xf numFmtId="0" fontId="75" fillId="13" borderId="4" xfId="14" applyFont="1" applyFill="1" applyBorder="1" applyAlignment="1">
      <alignment vertical="center" wrapText="1"/>
    </xf>
    <xf numFmtId="0" fontId="76" fillId="14" borderId="4" xfId="0" applyFont="1" applyFill="1" applyBorder="1" applyAlignment="1">
      <alignment horizontal="center" vertical="center"/>
    </xf>
    <xf numFmtId="0" fontId="77" fillId="14" borderId="4" xfId="13" applyFont="1" applyFill="1" applyBorder="1" applyAlignment="1">
      <alignment horizontal="center" vertical="center" wrapText="1"/>
    </xf>
    <xf numFmtId="0" fontId="71" fillId="15" borderId="4" xfId="14" applyFont="1" applyFill="1" applyBorder="1" applyAlignment="1">
      <alignment vertical="center" wrapText="1"/>
    </xf>
    <xf numFmtId="0" fontId="4" fillId="15" borderId="4" xfId="14" applyFont="1" applyFill="1" applyBorder="1" applyAlignment="1">
      <alignment horizontal="center" vertical="center" wrapText="1"/>
    </xf>
    <xf numFmtId="0" fontId="4" fillId="15" borderId="4" xfId="14" applyFont="1" applyFill="1" applyBorder="1" applyAlignment="1">
      <alignment vertical="center" wrapText="1"/>
    </xf>
    <xf numFmtId="0" fontId="14" fillId="15" borderId="4" xfId="14" quotePrefix="1" applyFont="1" applyFill="1" applyBorder="1" applyAlignment="1">
      <alignment horizontal="left" vertical="center" wrapText="1"/>
    </xf>
    <xf numFmtId="0" fontId="0" fillId="16" borderId="4" xfId="0" applyFill="1" applyBorder="1" applyAlignment="1">
      <alignment horizontal="center" vertical="center"/>
    </xf>
    <xf numFmtId="0" fontId="13" fillId="16" borderId="4" xfId="13" applyFont="1" applyFill="1" applyBorder="1" applyAlignment="1">
      <alignment horizontal="center" vertical="center" wrapText="1"/>
    </xf>
    <xf numFmtId="0" fontId="70" fillId="16" borderId="4" xfId="13" applyFont="1" applyFill="1" applyBorder="1" applyAlignment="1">
      <alignment horizontal="center" vertical="center" wrapText="1"/>
    </xf>
    <xf numFmtId="0" fontId="71" fillId="17" borderId="4" xfId="14" applyFont="1" applyFill="1" applyBorder="1" applyAlignment="1">
      <alignment vertical="center" wrapText="1"/>
    </xf>
    <xf numFmtId="0" fontId="4" fillId="17" borderId="4" xfId="14" applyFont="1" applyFill="1" applyBorder="1" applyAlignment="1">
      <alignment horizontal="center" vertical="center" wrapText="1"/>
    </xf>
    <xf numFmtId="0" fontId="4" fillId="17" borderId="4" xfId="14" applyFont="1" applyFill="1" applyBorder="1" applyAlignment="1">
      <alignment vertical="center" wrapText="1"/>
    </xf>
    <xf numFmtId="0" fontId="14" fillId="17" borderId="4" xfId="14" quotePrefix="1" applyFont="1" applyFill="1" applyBorder="1" applyAlignment="1">
      <alignment horizontal="left" vertical="center" wrapText="1"/>
    </xf>
    <xf numFmtId="0" fontId="0" fillId="18" borderId="4" xfId="0" applyFill="1" applyBorder="1" applyAlignment="1">
      <alignment horizontal="center" vertical="center"/>
    </xf>
    <xf numFmtId="0" fontId="13" fillId="18" borderId="4" xfId="13" applyFont="1" applyFill="1" applyBorder="1" applyAlignment="1">
      <alignment horizontal="center" vertical="center" wrapText="1"/>
    </xf>
    <xf numFmtId="0" fontId="70" fillId="18" borderId="4" xfId="13" applyFont="1" applyFill="1" applyBorder="1" applyAlignment="1">
      <alignment horizontal="center" vertical="center" wrapText="1"/>
    </xf>
    <xf numFmtId="0" fontId="71" fillId="19" borderId="4" xfId="14" applyFont="1" applyFill="1" applyBorder="1" applyAlignment="1">
      <alignment vertical="center" wrapText="1"/>
    </xf>
    <xf numFmtId="0" fontId="4" fillId="19" borderId="4" xfId="14" applyFont="1" applyFill="1" applyBorder="1" applyAlignment="1">
      <alignment horizontal="center" vertical="center" wrapText="1"/>
    </xf>
    <xf numFmtId="0" fontId="4" fillId="19" borderId="4" xfId="14" applyFont="1" applyFill="1" applyBorder="1" applyAlignment="1">
      <alignment vertical="center" wrapText="1"/>
    </xf>
    <xf numFmtId="0" fontId="14" fillId="19" borderId="4" xfId="14" quotePrefix="1" applyFont="1" applyFill="1" applyBorder="1" applyAlignment="1">
      <alignment horizontal="left" vertical="center" wrapText="1"/>
    </xf>
    <xf numFmtId="0" fontId="0" fillId="20" borderId="4" xfId="0" applyFill="1" applyBorder="1" applyAlignment="1">
      <alignment horizontal="center" vertical="center"/>
    </xf>
    <xf numFmtId="0" fontId="13" fillId="20" borderId="4" xfId="13" applyFont="1" applyFill="1" applyBorder="1" applyAlignment="1">
      <alignment horizontal="center" vertical="center" wrapText="1"/>
    </xf>
    <xf numFmtId="0" fontId="70" fillId="20" borderId="4" xfId="13" applyFont="1" applyFill="1" applyBorder="1" applyAlignment="1">
      <alignment horizontal="center" vertical="center" wrapText="1"/>
    </xf>
    <xf numFmtId="0" fontId="4" fillId="19" borderId="4" xfId="0" applyFont="1" applyFill="1" applyBorder="1" applyAlignment="1">
      <alignment horizontal="center" vertical="center" wrapText="1"/>
    </xf>
    <xf numFmtId="0" fontId="4" fillId="19" borderId="4" xfId="0" applyFont="1" applyFill="1" applyBorder="1" applyAlignment="1">
      <alignment vertical="center" wrapText="1"/>
    </xf>
    <xf numFmtId="0" fontId="14" fillId="19" borderId="4" xfId="0" quotePrefix="1" applyFont="1" applyFill="1" applyBorder="1" applyAlignment="1">
      <alignment horizontal="left" vertical="center" wrapText="1"/>
    </xf>
    <xf numFmtId="0" fontId="4" fillId="19" borderId="4" xfId="14" applyFont="1" applyFill="1" applyBorder="1" applyAlignment="1">
      <alignment horizontal="left" vertical="center" wrapText="1"/>
    </xf>
    <xf numFmtId="0" fontId="71" fillId="21" borderId="4" xfId="14" applyFont="1" applyFill="1" applyBorder="1" applyAlignment="1">
      <alignment vertical="center" wrapText="1"/>
    </xf>
    <xf numFmtId="0" fontId="4" fillId="21" borderId="4" xfId="14" applyFont="1" applyFill="1" applyBorder="1" applyAlignment="1">
      <alignment horizontal="center" vertical="center" wrapText="1"/>
    </xf>
    <xf numFmtId="0" fontId="4" fillId="21" borderId="4" xfId="14" applyFont="1" applyFill="1" applyBorder="1" applyAlignment="1">
      <alignment vertical="center" wrapText="1"/>
    </xf>
    <xf numFmtId="0" fontId="14" fillId="21" borderId="4" xfId="14" quotePrefix="1" applyFont="1" applyFill="1" applyBorder="1" applyAlignment="1">
      <alignment horizontal="left" vertical="center" wrapText="1"/>
    </xf>
    <xf numFmtId="0" fontId="0" fillId="22" borderId="4" xfId="0" applyFill="1" applyBorder="1" applyAlignment="1">
      <alignment horizontal="center" vertical="center"/>
    </xf>
    <xf numFmtId="0" fontId="13" fillId="22" borderId="4" xfId="13" applyFont="1" applyFill="1" applyBorder="1" applyAlignment="1">
      <alignment horizontal="center" vertical="center" wrapText="1"/>
    </xf>
    <xf numFmtId="0" fontId="70" fillId="22" borderId="4" xfId="13" applyFont="1" applyFill="1" applyBorder="1" applyAlignment="1">
      <alignment horizontal="center" vertical="center" wrapText="1"/>
    </xf>
    <xf numFmtId="0" fontId="78" fillId="23" borderId="4" xfId="15" applyFont="1" applyFill="1" applyBorder="1" applyAlignment="1">
      <alignment vertical="center" wrapText="1"/>
    </xf>
    <xf numFmtId="0" fontId="79" fillId="23" borderId="4" xfId="15" applyFont="1" applyFill="1" applyBorder="1" applyAlignment="1">
      <alignment horizontal="center" vertical="center" wrapText="1"/>
    </xf>
    <xf numFmtId="0" fontId="79" fillId="23" borderId="4" xfId="15" applyFont="1" applyFill="1" applyBorder="1" applyAlignment="1">
      <alignment horizontal="left" vertical="center" wrapText="1"/>
    </xf>
    <xf numFmtId="0" fontId="69" fillId="23" borderId="4" xfId="15" quotePrefix="1" applyFont="1" applyFill="1" applyBorder="1" applyAlignment="1">
      <alignment horizontal="left" vertical="center" wrapText="1"/>
    </xf>
    <xf numFmtId="0" fontId="0" fillId="23" borderId="4" xfId="0" applyFill="1" applyBorder="1" applyAlignment="1">
      <alignment horizontal="center" vertical="center"/>
    </xf>
    <xf numFmtId="0" fontId="13" fillId="23" borderId="4" xfId="13" applyFont="1" applyFill="1" applyBorder="1" applyAlignment="1">
      <alignment horizontal="center" vertical="center" wrapText="1"/>
    </xf>
    <xf numFmtId="0" fontId="70" fillId="23" borderId="4" xfId="13" applyFont="1" applyFill="1" applyBorder="1" applyAlignment="1">
      <alignment horizontal="center" vertical="center" wrapText="1"/>
    </xf>
    <xf numFmtId="0" fontId="69" fillId="0" borderId="0" xfId="13" applyFont="1" applyAlignment="1">
      <alignment horizontal="center" vertical="center"/>
    </xf>
    <xf numFmtId="0" fontId="0" fillId="0" borderId="101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0" fillId="0" borderId="100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46" fillId="6" borderId="61" xfId="0" applyFont="1" applyFill="1" applyBorder="1" applyAlignment="1">
      <alignment horizontal="center" vertical="center"/>
    </xf>
    <xf numFmtId="0" fontId="46" fillId="6" borderId="62" xfId="0" applyFont="1" applyFill="1" applyBorder="1" applyAlignment="1">
      <alignment horizontal="center" vertical="center"/>
    </xf>
    <xf numFmtId="0" fontId="46" fillId="6" borderId="58" xfId="0" applyFont="1" applyFill="1" applyBorder="1" applyAlignment="1">
      <alignment horizontal="center" vertical="center"/>
    </xf>
    <xf numFmtId="0" fontId="46" fillId="6" borderId="59" xfId="0" applyFont="1" applyFill="1" applyBorder="1" applyAlignment="1">
      <alignment horizontal="center" vertical="center"/>
    </xf>
    <xf numFmtId="0" fontId="46" fillId="6" borderId="40" xfId="0" applyFont="1" applyFill="1" applyBorder="1" applyAlignment="1">
      <alignment horizontal="center" vertical="center"/>
    </xf>
    <xf numFmtId="0" fontId="46" fillId="6" borderId="111" xfId="0" applyFont="1" applyFill="1" applyBorder="1" applyAlignment="1">
      <alignment horizontal="center" vertical="center"/>
    </xf>
    <xf numFmtId="0" fontId="46" fillId="6" borderId="112" xfId="0" applyFont="1" applyFill="1" applyBorder="1" applyAlignment="1">
      <alignment horizontal="center" vertical="center"/>
    </xf>
    <xf numFmtId="0" fontId="46" fillId="6" borderId="84" xfId="0" applyFont="1" applyFill="1" applyBorder="1" applyAlignment="1">
      <alignment horizontal="center" vertical="center"/>
    </xf>
    <xf numFmtId="0" fontId="46" fillId="6" borderId="101" xfId="0" applyFont="1" applyFill="1" applyBorder="1" applyAlignment="1">
      <alignment horizontal="center" vertical="center"/>
    </xf>
    <xf numFmtId="0" fontId="46" fillId="6" borderId="63" xfId="0" applyFont="1" applyFill="1" applyBorder="1" applyAlignment="1">
      <alignment horizontal="center" vertical="center"/>
    </xf>
    <xf numFmtId="0" fontId="0" fillId="0" borderId="99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13" fillId="6" borderId="42" xfId="1" applyFont="1" applyFill="1" applyBorder="1" applyAlignment="1">
      <alignment horizontal="center" vertical="center"/>
    </xf>
    <xf numFmtId="0" fontId="13" fillId="6" borderId="45" xfId="1" applyFont="1" applyFill="1" applyBorder="1" applyAlignment="1">
      <alignment horizontal="center" vertical="center"/>
    </xf>
    <xf numFmtId="0" fontId="13" fillId="6" borderId="43" xfId="1" applyFont="1" applyFill="1" applyBorder="1" applyAlignment="1">
      <alignment horizontal="center" vertical="center"/>
    </xf>
    <xf numFmtId="0" fontId="13" fillId="6" borderId="44" xfId="1" applyFont="1" applyFill="1" applyBorder="1" applyAlignment="1">
      <alignment horizontal="center" vertical="center"/>
    </xf>
    <xf numFmtId="0" fontId="68" fillId="11" borderId="0" xfId="13" applyFont="1" applyFill="1" applyAlignment="1">
      <alignment horizontal="left" vertical="center" wrapText="1"/>
    </xf>
    <xf numFmtId="0" fontId="51" fillId="0" borderId="0" xfId="13" applyFont="1" applyAlignment="1">
      <alignment vertical="center"/>
    </xf>
    <xf numFmtId="0" fontId="65" fillId="2" borderId="0" xfId="2" applyFont="1" applyFill="1" applyAlignment="1">
      <alignment horizontal="center" vertical="center"/>
    </xf>
    <xf numFmtId="0" fontId="44" fillId="5" borderId="40" xfId="2" applyFont="1" applyFill="1" applyBorder="1" applyAlignment="1">
      <alignment horizontal="left" vertical="center" wrapText="1"/>
    </xf>
    <xf numFmtId="0" fontId="44" fillId="5" borderId="0" xfId="2" applyFont="1" applyFill="1" applyAlignment="1">
      <alignment horizontal="left" vertical="center" wrapText="1"/>
    </xf>
    <xf numFmtId="0" fontId="44" fillId="5" borderId="41" xfId="2" applyFont="1" applyFill="1" applyBorder="1" applyAlignment="1">
      <alignment horizontal="left" vertical="center" wrapText="1"/>
    </xf>
    <xf numFmtId="0" fontId="63" fillId="9" borderId="0" xfId="1" applyFont="1" applyFill="1" applyAlignment="1">
      <alignment horizontal="center" vertical="center" wrapText="1"/>
    </xf>
    <xf numFmtId="0" fontId="6" fillId="2" borderId="60" xfId="1" applyFont="1" applyFill="1" applyBorder="1" applyAlignment="1">
      <alignment horizontal="center" vertical="center" wrapText="1"/>
    </xf>
    <xf numFmtId="0" fontId="6" fillId="2" borderId="61" xfId="1" applyFont="1" applyFill="1" applyBorder="1" applyAlignment="1">
      <alignment horizontal="center" vertical="center" wrapText="1"/>
    </xf>
    <xf numFmtId="14" fontId="7" fillId="2" borderId="61" xfId="2" applyNumberFormat="1" applyFont="1" applyFill="1" applyBorder="1" applyAlignment="1">
      <alignment horizontal="center" vertical="center"/>
    </xf>
    <xf numFmtId="0" fontId="7" fillId="2" borderId="61" xfId="2" applyFont="1" applyFill="1" applyBorder="1" applyAlignment="1">
      <alignment horizontal="center" vertical="center"/>
    </xf>
    <xf numFmtId="0" fontId="7" fillId="2" borderId="61" xfId="2" applyFont="1" applyFill="1" applyBorder="1" applyAlignment="1">
      <alignment horizontal="center" vertical="center" wrapText="1"/>
    </xf>
    <xf numFmtId="0" fontId="7" fillId="2" borderId="62" xfId="2" applyFont="1" applyFill="1" applyBorder="1" applyAlignment="1">
      <alignment horizontal="center" vertical="center" wrapText="1"/>
    </xf>
    <xf numFmtId="0" fontId="6" fillId="2" borderId="63" xfId="1" applyFont="1" applyFill="1" applyBorder="1" applyAlignment="1">
      <alignment horizontal="center" vertical="center" wrapText="1"/>
    </xf>
    <xf numFmtId="0" fontId="6" fillId="2" borderId="64" xfId="1" applyFont="1" applyFill="1" applyBorder="1" applyAlignment="1">
      <alignment horizontal="center" vertical="center" wrapText="1"/>
    </xf>
    <xf numFmtId="14" fontId="7" fillId="2" borderId="64" xfId="2" applyNumberFormat="1" applyFont="1" applyFill="1" applyBorder="1" applyAlignment="1">
      <alignment horizontal="center" vertical="center"/>
    </xf>
    <xf numFmtId="0" fontId="7" fillId="2" borderId="64" xfId="2" applyFont="1" applyFill="1" applyBorder="1" applyAlignment="1">
      <alignment horizontal="center" vertical="center"/>
    </xf>
    <xf numFmtId="0" fontId="7" fillId="2" borderId="64" xfId="2" applyFont="1" applyFill="1" applyBorder="1" applyAlignment="1">
      <alignment horizontal="center" vertical="center" wrapText="1"/>
    </xf>
    <xf numFmtId="0" fontId="7" fillId="2" borderId="65" xfId="2" applyFont="1" applyFill="1" applyBorder="1" applyAlignment="1">
      <alignment horizontal="center" vertical="center" wrapText="1"/>
    </xf>
    <xf numFmtId="0" fontId="6" fillId="2" borderId="57" xfId="1" applyFont="1" applyFill="1" applyBorder="1" applyAlignment="1">
      <alignment horizontal="center" vertical="center" wrapText="1"/>
    </xf>
    <xf numFmtId="0" fontId="6" fillId="2" borderId="58" xfId="1" applyFont="1" applyFill="1" applyBorder="1" applyAlignment="1">
      <alignment horizontal="center" vertical="center" wrapText="1"/>
    </xf>
    <xf numFmtId="14" fontId="7" fillId="2" borderId="58" xfId="2" applyNumberFormat="1" applyFont="1" applyFill="1" applyBorder="1" applyAlignment="1">
      <alignment horizontal="center" vertical="center"/>
    </xf>
    <xf numFmtId="0" fontId="7" fillId="2" borderId="58" xfId="2" applyFont="1" applyFill="1" applyBorder="1" applyAlignment="1">
      <alignment horizontal="center" vertical="center"/>
    </xf>
    <xf numFmtId="0" fontId="13" fillId="6" borderId="55" xfId="1" applyFont="1" applyFill="1" applyBorder="1" applyAlignment="1">
      <alignment horizontal="center" vertical="center"/>
    </xf>
    <xf numFmtId="0" fontId="13" fillId="6" borderId="39" xfId="1" applyFont="1" applyFill="1" applyBorder="1" applyAlignment="1">
      <alignment horizontal="center" vertical="center"/>
    </xf>
    <xf numFmtId="0" fontId="7" fillId="2" borderId="58" xfId="2" applyFont="1" applyFill="1" applyBorder="1" applyAlignment="1">
      <alignment horizontal="center" vertical="center" wrapText="1"/>
    </xf>
    <xf numFmtId="0" fontId="7" fillId="2" borderId="59" xfId="2" applyFont="1" applyFill="1" applyBorder="1" applyAlignment="1">
      <alignment horizontal="center" vertical="center" wrapText="1"/>
    </xf>
    <xf numFmtId="0" fontId="13" fillId="6" borderId="53" xfId="1" applyFont="1" applyFill="1" applyBorder="1" applyAlignment="1">
      <alignment horizontal="center" vertical="center"/>
    </xf>
    <xf numFmtId="0" fontId="7" fillId="0" borderId="60" xfId="4" applyFont="1" applyBorder="1" applyAlignment="1">
      <alignment horizontal="center" vertical="center" wrapText="1"/>
    </xf>
    <xf numFmtId="0" fontId="7" fillId="0" borderId="61" xfId="4" applyFont="1" applyBorder="1" applyAlignment="1">
      <alignment horizontal="center" vertical="center" wrapText="1"/>
    </xf>
    <xf numFmtId="0" fontId="7" fillId="0" borderId="61" xfId="4" applyFont="1" applyBorder="1" applyAlignment="1">
      <alignment horizontal="center" vertical="center"/>
    </xf>
    <xf numFmtId="0" fontId="7" fillId="0" borderId="66" xfId="4" applyFont="1" applyBorder="1" applyAlignment="1">
      <alignment horizontal="left" vertical="center" wrapText="1"/>
    </xf>
    <xf numFmtId="0" fontId="7" fillId="0" borderId="107" xfId="4" applyFont="1" applyBorder="1" applyAlignment="1">
      <alignment horizontal="left" vertical="center" wrapText="1"/>
    </xf>
    <xf numFmtId="0" fontId="7" fillId="0" borderId="105" xfId="4" applyFont="1" applyBorder="1" applyAlignment="1">
      <alignment horizontal="left" vertical="center" wrapText="1"/>
    </xf>
    <xf numFmtId="0" fontId="7" fillId="0" borderId="0" xfId="4" applyFont="1" applyAlignment="1">
      <alignment horizontal="left" vertical="center" wrapText="1"/>
    </xf>
    <xf numFmtId="0" fontId="7" fillId="0" borderId="86" xfId="4" applyFont="1" applyBorder="1" applyAlignment="1">
      <alignment horizontal="left" vertical="center" wrapText="1"/>
    </xf>
    <xf numFmtId="0" fontId="7" fillId="0" borderId="112" xfId="4" applyFont="1" applyBorder="1" applyAlignment="1">
      <alignment horizontal="left" vertical="center" wrapText="1"/>
    </xf>
    <xf numFmtId="0" fontId="7" fillId="0" borderId="67" xfId="4" applyFont="1" applyBorder="1" applyAlignment="1">
      <alignment horizontal="center" vertical="center" wrapText="1"/>
    </xf>
    <xf numFmtId="0" fontId="7" fillId="0" borderId="139" xfId="4" applyFont="1" applyBorder="1" applyAlignment="1">
      <alignment horizontal="center" vertical="center" wrapText="1"/>
    </xf>
    <xf numFmtId="0" fontId="7" fillId="0" borderId="63" xfId="4" applyFont="1" applyBorder="1" applyAlignment="1">
      <alignment horizontal="center" vertical="center" wrapText="1"/>
    </xf>
    <xf numFmtId="0" fontId="7" fillId="0" borderId="64" xfId="4" applyFont="1" applyBorder="1" applyAlignment="1">
      <alignment horizontal="center" vertical="center" wrapText="1"/>
    </xf>
    <xf numFmtId="0" fontId="7" fillId="0" borderId="139" xfId="4" applyFont="1" applyBorder="1" applyAlignment="1">
      <alignment horizontal="center" vertical="center"/>
    </xf>
    <xf numFmtId="0" fontId="7" fillId="0" borderId="64" xfId="4" applyFont="1" applyBorder="1" applyAlignment="1">
      <alignment horizontal="center" vertical="center"/>
    </xf>
    <xf numFmtId="0" fontId="7" fillId="0" borderId="108" xfId="4" applyFont="1" applyBorder="1" applyAlignment="1">
      <alignment horizontal="left" vertical="center" wrapText="1"/>
    </xf>
    <xf numFmtId="0" fontId="7" fillId="0" borderId="41" xfId="4" applyFont="1" applyBorder="1" applyAlignment="1">
      <alignment horizontal="left" vertical="center" wrapText="1"/>
    </xf>
    <xf numFmtId="0" fontId="7" fillId="0" borderId="84" xfId="4" applyFont="1" applyBorder="1" applyAlignment="1">
      <alignment horizontal="center" vertical="center" wrapText="1"/>
    </xf>
    <xf numFmtId="0" fontId="7" fillId="0" borderId="85" xfId="4" applyFont="1" applyBorder="1" applyAlignment="1">
      <alignment horizontal="center" vertical="center" wrapText="1"/>
    </xf>
    <xf numFmtId="0" fontId="7" fillId="0" borderId="134" xfId="4" applyFont="1" applyBorder="1" applyAlignment="1">
      <alignment horizontal="center" vertical="center"/>
    </xf>
    <xf numFmtId="0" fontId="7" fillId="0" borderId="40" xfId="4" applyFont="1" applyBorder="1" applyAlignment="1">
      <alignment horizontal="center" vertical="center"/>
    </xf>
    <xf numFmtId="0" fontId="7" fillId="0" borderId="111" xfId="4" applyFont="1" applyBorder="1" applyAlignment="1">
      <alignment horizontal="center" vertical="center"/>
    </xf>
    <xf numFmtId="0" fontId="7" fillId="0" borderId="105" xfId="4" applyFont="1" applyBorder="1" applyAlignment="1">
      <alignment horizontal="center" vertical="center"/>
    </xf>
    <xf numFmtId="0" fontId="7" fillId="0" borderId="0" xfId="4" applyFont="1" applyAlignment="1">
      <alignment horizontal="center" vertical="center"/>
    </xf>
    <xf numFmtId="0" fontId="7" fillId="0" borderId="106" xfId="4" applyFont="1" applyBorder="1" applyAlignment="1">
      <alignment horizontal="center" vertical="center"/>
    </xf>
    <xf numFmtId="0" fontId="7" fillId="0" borderId="86" xfId="4" applyFont="1" applyBorder="1" applyAlignment="1">
      <alignment horizontal="center" vertical="center"/>
    </xf>
    <xf numFmtId="0" fontId="7" fillId="0" borderId="112" xfId="4" applyFont="1" applyBorder="1" applyAlignment="1">
      <alignment horizontal="center" vertical="center"/>
    </xf>
    <xf numFmtId="0" fontId="7" fillId="0" borderId="84" xfId="4" applyFont="1" applyBorder="1" applyAlignment="1">
      <alignment horizontal="center" vertical="center"/>
    </xf>
    <xf numFmtId="0" fontId="7" fillId="0" borderId="134" xfId="4" applyFont="1" applyBorder="1" applyAlignment="1">
      <alignment horizontal="left" vertical="center" wrapText="1"/>
    </xf>
    <xf numFmtId="0" fontId="7" fillId="0" borderId="40" xfId="4" applyFont="1" applyBorder="1" applyAlignment="1">
      <alignment horizontal="left" vertical="center" wrapText="1"/>
    </xf>
    <xf numFmtId="0" fontId="7" fillId="0" borderId="107" xfId="4" applyFont="1" applyBorder="1" applyAlignment="1">
      <alignment horizontal="center" vertical="center" wrapText="1"/>
    </xf>
    <xf numFmtId="0" fontId="7" fillId="0" borderId="41" xfId="4" applyFont="1" applyBorder="1" applyAlignment="1">
      <alignment horizontal="center" vertical="center" wrapText="1"/>
    </xf>
    <xf numFmtId="0" fontId="7" fillId="0" borderId="109" xfId="4" applyFont="1" applyBorder="1" applyAlignment="1">
      <alignment horizontal="center" vertical="center" wrapText="1"/>
    </xf>
    <xf numFmtId="0" fontId="7" fillId="0" borderId="66" xfId="4" applyFont="1" applyBorder="1" applyAlignment="1">
      <alignment horizontal="center" vertical="center"/>
    </xf>
    <xf numFmtId="0" fontId="7" fillId="0" borderId="67" xfId="4" applyFont="1" applyBorder="1" applyAlignment="1">
      <alignment horizontal="center" vertical="center"/>
    </xf>
    <xf numFmtId="0" fontId="7" fillId="0" borderId="108" xfId="4" applyFont="1" applyBorder="1" applyAlignment="1">
      <alignment horizontal="center" vertical="center"/>
    </xf>
    <xf numFmtId="0" fontId="7" fillId="0" borderId="109" xfId="4" applyFont="1" applyBorder="1" applyAlignment="1">
      <alignment horizontal="center" vertical="center"/>
    </xf>
    <xf numFmtId="0" fontId="7" fillId="0" borderId="107" xfId="4" applyFont="1" applyBorder="1" applyAlignment="1">
      <alignment horizontal="center" vertical="center"/>
    </xf>
    <xf numFmtId="0" fontId="7" fillId="0" borderId="41" xfId="4" applyFont="1" applyBorder="1" applyAlignment="1">
      <alignment horizontal="center" vertical="center"/>
    </xf>
    <xf numFmtId="0" fontId="53" fillId="6" borderId="40" xfId="4" applyFont="1" applyFill="1" applyBorder="1" applyAlignment="1">
      <alignment horizontal="center" vertical="center"/>
    </xf>
    <xf numFmtId="0" fontId="53" fillId="6" borderId="0" xfId="4" applyFont="1" applyFill="1" applyAlignment="1">
      <alignment horizontal="center" vertical="center"/>
    </xf>
    <xf numFmtId="0" fontId="53" fillId="6" borderId="41" xfId="4" applyFont="1" applyFill="1" applyBorder="1" applyAlignment="1">
      <alignment horizontal="center" vertical="center"/>
    </xf>
    <xf numFmtId="0" fontId="9" fillId="2" borderId="40" xfId="4" applyFont="1" applyFill="1" applyBorder="1" applyAlignment="1">
      <alignment vertical="center" wrapText="1"/>
    </xf>
    <xf numFmtId="0" fontId="9" fillId="2" borderId="0" xfId="4" applyFont="1" applyFill="1" applyAlignment="1">
      <alignment vertical="center" wrapText="1"/>
    </xf>
    <xf numFmtId="0" fontId="9" fillId="2" borderId="41" xfId="4" applyFont="1" applyFill="1" applyBorder="1" applyAlignment="1">
      <alignment vertical="center" wrapText="1"/>
    </xf>
    <xf numFmtId="0" fontId="10" fillId="6" borderId="42" xfId="3" applyFont="1" applyFill="1" applyBorder="1" applyAlignment="1">
      <alignment horizontal="center" vertical="center"/>
    </xf>
    <xf numFmtId="0" fontId="10" fillId="6" borderId="43" xfId="3" applyFont="1" applyFill="1" applyBorder="1" applyAlignment="1">
      <alignment horizontal="center" vertical="center"/>
    </xf>
    <xf numFmtId="0" fontId="10" fillId="6" borderId="45" xfId="3" applyFont="1" applyFill="1" applyBorder="1" applyAlignment="1">
      <alignment horizontal="center" vertical="center"/>
    </xf>
    <xf numFmtId="0" fontId="10" fillId="6" borderId="46" xfId="3" applyFont="1" applyFill="1" applyBorder="1" applyAlignment="1">
      <alignment horizontal="center" vertical="center"/>
    </xf>
    <xf numFmtId="0" fontId="10" fillId="6" borderId="56" xfId="3" applyFont="1" applyFill="1" applyBorder="1" applyAlignment="1">
      <alignment horizontal="center" vertical="center"/>
    </xf>
    <xf numFmtId="0" fontId="10" fillId="6" borderId="40" xfId="3" applyFont="1" applyFill="1" applyBorder="1" applyAlignment="1">
      <alignment horizontal="center" vertical="center"/>
    </xf>
    <xf numFmtId="0" fontId="10" fillId="6" borderId="83" xfId="3" applyFont="1" applyFill="1" applyBorder="1" applyAlignment="1">
      <alignment horizontal="center" vertical="center"/>
    </xf>
    <xf numFmtId="0" fontId="10" fillId="6" borderId="41" xfId="3" applyFont="1" applyFill="1" applyBorder="1" applyAlignment="1">
      <alignment horizontal="center" vertical="center"/>
    </xf>
    <xf numFmtId="0" fontId="7" fillId="0" borderId="40" xfId="4" applyFont="1" applyBorder="1" applyAlignment="1">
      <alignment horizontal="center" vertical="center" wrapText="1"/>
    </xf>
    <xf numFmtId="0" fontId="7" fillId="0" borderId="111" xfId="4" applyFont="1" applyBorder="1" applyAlignment="1">
      <alignment horizontal="center" vertical="center" wrapText="1"/>
    </xf>
    <xf numFmtId="0" fontId="7" fillId="0" borderId="112" xfId="4" applyFont="1" applyBorder="1" applyAlignment="1">
      <alignment horizontal="center" vertical="center" wrapText="1"/>
    </xf>
    <xf numFmtId="0" fontId="7" fillId="0" borderId="58" xfId="4" applyFont="1" applyBorder="1" applyAlignment="1">
      <alignment horizontal="center" vertical="center"/>
    </xf>
    <xf numFmtId="0" fontId="7" fillId="0" borderId="59" xfId="4" applyFont="1" applyBorder="1" applyAlignment="1">
      <alignment horizontal="center" vertical="center"/>
    </xf>
    <xf numFmtId="0" fontId="7" fillId="0" borderId="62" xfId="4" applyFont="1" applyBorder="1" applyAlignment="1">
      <alignment horizontal="center" vertical="center"/>
    </xf>
    <xf numFmtId="0" fontId="9" fillId="2" borderId="102" xfId="2" applyFont="1" applyFill="1" applyBorder="1" applyAlignment="1">
      <alignment vertical="center" wrapText="1"/>
    </xf>
    <xf numFmtId="0" fontId="9" fillId="2" borderId="0" xfId="2" applyFont="1" applyFill="1" applyAlignment="1">
      <alignment vertical="center" wrapText="1"/>
    </xf>
    <xf numFmtId="0" fontId="10" fillId="6" borderId="49" xfId="3" applyFont="1" applyFill="1" applyBorder="1" applyAlignment="1">
      <alignment horizontal="center" vertical="center"/>
    </xf>
    <xf numFmtId="0" fontId="10" fillId="6" borderId="50" xfId="3" applyFont="1" applyFill="1" applyBorder="1" applyAlignment="1">
      <alignment horizontal="center" vertical="center"/>
    </xf>
    <xf numFmtId="0" fontId="10" fillId="6" borderId="44" xfId="3" applyFont="1" applyFill="1" applyBorder="1" applyAlignment="1">
      <alignment horizontal="center" vertical="center"/>
    </xf>
    <xf numFmtId="0" fontId="10" fillId="6" borderId="48" xfId="3" applyFont="1" applyFill="1" applyBorder="1" applyAlignment="1">
      <alignment horizontal="center" vertical="center"/>
    </xf>
    <xf numFmtId="0" fontId="10" fillId="6" borderId="47" xfId="3" applyFont="1" applyFill="1" applyBorder="1" applyAlignment="1">
      <alignment horizontal="center" vertical="center"/>
    </xf>
    <xf numFmtId="0" fontId="42" fillId="2" borderId="0" xfId="1" applyFont="1" applyFill="1" applyAlignment="1">
      <alignment horizontal="left" vertical="center"/>
    </xf>
    <xf numFmtId="0" fontId="13" fillId="6" borderId="51" xfId="1" applyFont="1" applyFill="1" applyBorder="1" applyAlignment="1">
      <alignment horizontal="center" vertical="center"/>
    </xf>
    <xf numFmtId="0" fontId="13" fillId="6" borderId="52" xfId="1" applyFont="1" applyFill="1" applyBorder="1" applyAlignment="1">
      <alignment horizontal="center" vertical="center"/>
    </xf>
    <xf numFmtId="0" fontId="13" fillId="6" borderId="47" xfId="1" applyFont="1" applyFill="1" applyBorder="1" applyAlignment="1">
      <alignment horizontal="center" vertical="center"/>
    </xf>
    <xf numFmtId="0" fontId="13" fillId="6" borderId="48" xfId="1" applyFont="1" applyFill="1" applyBorder="1" applyAlignment="1">
      <alignment horizontal="center" vertical="center"/>
    </xf>
    <xf numFmtId="0" fontId="24" fillId="2" borderId="0" xfId="1" applyFont="1" applyFill="1" applyAlignment="1">
      <alignment horizontal="left" vertical="center"/>
    </xf>
    <xf numFmtId="0" fontId="6" fillId="2" borderId="0" xfId="1" applyFont="1" applyFill="1" applyAlignment="1">
      <alignment horizontal="center" vertical="center"/>
    </xf>
    <xf numFmtId="0" fontId="10" fillId="6" borderId="53" xfId="3" applyFont="1" applyFill="1" applyBorder="1" applyAlignment="1">
      <alignment horizontal="center" vertical="center" wrapText="1"/>
    </xf>
    <xf numFmtId="0" fontId="10" fillId="6" borderId="54" xfId="3" applyFont="1" applyFill="1" applyBorder="1" applyAlignment="1">
      <alignment horizontal="center" vertical="center" wrapText="1"/>
    </xf>
    <xf numFmtId="0" fontId="10" fillId="4" borderId="103" xfId="3" applyFont="1" applyFill="1" applyBorder="1" applyAlignment="1">
      <alignment horizontal="center" vertical="center" wrapText="1"/>
    </xf>
    <xf numFmtId="0" fontId="10" fillId="4" borderId="110" xfId="3" applyFont="1" applyFill="1" applyBorder="1" applyAlignment="1">
      <alignment horizontal="center" vertical="center" wrapText="1"/>
    </xf>
    <xf numFmtId="0" fontId="10" fillId="7" borderId="90" xfId="3" applyFont="1" applyFill="1" applyBorder="1" applyAlignment="1">
      <alignment horizontal="center" vertical="center" wrapText="1"/>
    </xf>
    <xf numFmtId="0" fontId="10" fillId="7" borderId="91" xfId="3" applyFont="1" applyFill="1" applyBorder="1" applyAlignment="1">
      <alignment horizontal="center" vertical="center" wrapText="1"/>
    </xf>
    <xf numFmtId="0" fontId="8" fillId="0" borderId="0" xfId="1" applyFont="1" applyAlignment="1">
      <alignment horizontal="left" vertical="center"/>
    </xf>
    <xf numFmtId="0" fontId="23" fillId="2" borderId="0" xfId="1" applyFont="1" applyFill="1" applyAlignment="1">
      <alignment horizontal="left" vertical="center"/>
    </xf>
    <xf numFmtId="0" fontId="10" fillId="6" borderId="42" xfId="3" applyFont="1" applyFill="1" applyBorder="1" applyAlignment="1">
      <alignment horizontal="center" vertical="center" wrapText="1"/>
    </xf>
    <xf numFmtId="0" fontId="10" fillId="6" borderId="43" xfId="3" applyFont="1" applyFill="1" applyBorder="1" applyAlignment="1">
      <alignment horizontal="center" vertical="center" wrapText="1"/>
    </xf>
    <xf numFmtId="0" fontId="10" fillId="6" borderId="45" xfId="3" applyFont="1" applyFill="1" applyBorder="1" applyAlignment="1">
      <alignment horizontal="center" vertical="center" wrapText="1"/>
    </xf>
    <xf numFmtId="0" fontId="10" fillId="6" borderId="46" xfId="3" applyFont="1" applyFill="1" applyBorder="1" applyAlignment="1">
      <alignment horizontal="center" vertical="center" wrapText="1"/>
    </xf>
    <xf numFmtId="0" fontId="10" fillId="6" borderId="44" xfId="3" applyFont="1" applyFill="1" applyBorder="1" applyAlignment="1">
      <alignment horizontal="center" vertical="center" wrapText="1"/>
    </xf>
    <xf numFmtId="0" fontId="27" fillId="4" borderId="99" xfId="1" applyFont="1" applyFill="1" applyBorder="1" applyAlignment="1">
      <alignment horizontal="center" vertical="center"/>
    </xf>
    <xf numFmtId="0" fontId="27" fillId="4" borderId="57" xfId="1" applyFont="1" applyFill="1" applyBorder="1" applyAlignment="1">
      <alignment horizontal="center" vertical="center"/>
    </xf>
    <xf numFmtId="0" fontId="27" fillId="4" borderId="100" xfId="1" applyFont="1" applyFill="1" applyBorder="1" applyAlignment="1">
      <alignment horizontal="center" vertical="center"/>
    </xf>
    <xf numFmtId="0" fontId="27" fillId="4" borderId="60" xfId="1" applyFont="1" applyFill="1" applyBorder="1" applyAlignment="1">
      <alignment horizontal="center" vertical="center"/>
    </xf>
    <xf numFmtId="0" fontId="27" fillId="4" borderId="124" xfId="1" applyFont="1" applyFill="1" applyBorder="1" applyAlignment="1">
      <alignment horizontal="center" vertical="center"/>
    </xf>
    <xf numFmtId="0" fontId="27" fillId="4" borderId="125" xfId="1" applyFont="1" applyFill="1" applyBorder="1" applyAlignment="1">
      <alignment horizontal="center" vertical="center"/>
    </xf>
    <xf numFmtId="0" fontId="10" fillId="4" borderId="60" xfId="3" applyFont="1" applyFill="1" applyBorder="1" applyAlignment="1">
      <alignment horizontal="center" vertical="center" wrapText="1"/>
    </xf>
    <xf numFmtId="0" fontId="10" fillId="4" borderId="61" xfId="3" applyFont="1" applyFill="1" applyBorder="1" applyAlignment="1">
      <alignment horizontal="center" vertical="center" wrapText="1"/>
    </xf>
    <xf numFmtId="0" fontId="10" fillId="4" borderId="57" xfId="3" applyFont="1" applyFill="1" applyBorder="1" applyAlignment="1">
      <alignment horizontal="center" vertical="center" wrapText="1"/>
    </xf>
    <xf numFmtId="0" fontId="10" fillId="4" borderId="58" xfId="3" applyFont="1" applyFill="1" applyBorder="1" applyAlignment="1">
      <alignment horizontal="center" vertical="center" wrapText="1"/>
    </xf>
    <xf numFmtId="0" fontId="10" fillId="4" borderId="17" xfId="2" applyFont="1" applyFill="1" applyBorder="1" applyAlignment="1">
      <alignment horizontal="center" vertical="center"/>
    </xf>
    <xf numFmtId="0" fontId="10" fillId="4" borderId="18" xfId="2" applyFont="1" applyFill="1" applyBorder="1" applyAlignment="1">
      <alignment horizontal="center" vertical="center"/>
    </xf>
    <xf numFmtId="0" fontId="10" fillId="4" borderId="19" xfId="2" applyFont="1" applyFill="1" applyBorder="1" applyAlignment="1">
      <alignment horizontal="center" vertical="center"/>
    </xf>
    <xf numFmtId="0" fontId="10" fillId="4" borderId="20" xfId="2" applyFont="1" applyFill="1" applyBorder="1" applyAlignment="1">
      <alignment horizontal="center" vertical="center"/>
    </xf>
    <xf numFmtId="0" fontId="21" fillId="4" borderId="22" xfId="2" applyFont="1" applyFill="1" applyBorder="1" applyAlignment="1">
      <alignment horizontal="center" vertical="center"/>
    </xf>
    <xf numFmtId="0" fontId="21" fillId="4" borderId="2" xfId="2" applyFont="1" applyFill="1" applyBorder="1" applyAlignment="1">
      <alignment horizontal="center" vertical="center"/>
    </xf>
    <xf numFmtId="0" fontId="21" fillId="4" borderId="3" xfId="2" applyFont="1" applyFill="1" applyBorder="1" applyAlignment="1">
      <alignment horizontal="center" vertical="center"/>
    </xf>
    <xf numFmtId="0" fontId="10" fillId="4" borderId="24" xfId="2" applyFont="1" applyFill="1" applyBorder="1" applyAlignment="1">
      <alignment horizontal="center" vertical="center"/>
    </xf>
    <xf numFmtId="0" fontId="10" fillId="4" borderId="25" xfId="2" applyFont="1" applyFill="1" applyBorder="1" applyAlignment="1">
      <alignment horizontal="center" vertical="center"/>
    </xf>
    <xf numFmtId="0" fontId="10" fillId="4" borderId="26" xfId="2" applyFont="1" applyFill="1" applyBorder="1" applyAlignment="1">
      <alignment horizontal="center" vertical="center"/>
    </xf>
    <xf numFmtId="0" fontId="10" fillId="4" borderId="128" xfId="2" applyFont="1" applyFill="1" applyBorder="1" applyAlignment="1">
      <alignment horizontal="center" vertical="center"/>
    </xf>
    <xf numFmtId="0" fontId="10" fillId="4" borderId="129" xfId="2" applyFont="1" applyFill="1" applyBorder="1" applyAlignment="1">
      <alignment horizontal="center" vertical="center"/>
    </xf>
    <xf numFmtId="0" fontId="10" fillId="4" borderId="130" xfId="2" applyFont="1" applyFill="1" applyBorder="1" applyAlignment="1">
      <alignment horizontal="center" vertical="center"/>
    </xf>
    <xf numFmtId="0" fontId="7" fillId="7" borderId="90" xfId="2" applyFont="1" applyFill="1" applyBorder="1" applyAlignment="1">
      <alignment horizontal="center" vertical="center"/>
    </xf>
    <xf numFmtId="0" fontId="7" fillId="7" borderId="91" xfId="2" applyFont="1" applyFill="1" applyBorder="1" applyAlignment="1">
      <alignment horizontal="center" vertical="center"/>
    </xf>
    <xf numFmtId="0" fontId="16" fillId="2" borderId="0" xfId="1" applyFont="1" applyFill="1" applyAlignment="1">
      <alignment horizontal="center" vertical="center"/>
    </xf>
    <xf numFmtId="0" fontId="10" fillId="6" borderId="44" xfId="10" applyFont="1" applyFill="1" applyBorder="1">
      <alignment horizontal="center" vertical="center" wrapText="1"/>
    </xf>
    <xf numFmtId="0" fontId="10" fillId="6" borderId="47" xfId="10" applyFont="1" applyFill="1" applyBorder="1">
      <alignment horizontal="center" vertical="center" wrapText="1"/>
    </xf>
    <xf numFmtId="0" fontId="10" fillId="6" borderId="43" xfId="10" applyFont="1" applyFill="1" applyBorder="1">
      <alignment horizontal="center" vertical="center" wrapText="1"/>
    </xf>
    <xf numFmtId="0" fontId="10" fillId="6" borderId="46" xfId="10" applyFont="1" applyFill="1" applyBorder="1">
      <alignment horizontal="center" vertical="center" wrapText="1"/>
    </xf>
    <xf numFmtId="0" fontId="13" fillId="6" borderId="46" xfId="1" applyFont="1" applyFill="1" applyBorder="1" applyAlignment="1">
      <alignment horizontal="center" vertical="center"/>
    </xf>
    <xf numFmtId="0" fontId="13" fillId="6" borderId="44" xfId="1" applyFont="1" applyFill="1" applyBorder="1" applyAlignment="1">
      <alignment horizontal="center" vertical="center" wrapText="1"/>
    </xf>
    <xf numFmtId="0" fontId="13" fillId="6" borderId="47" xfId="1" applyFont="1" applyFill="1" applyBorder="1" applyAlignment="1">
      <alignment horizontal="center" vertical="center" wrapText="1"/>
    </xf>
    <xf numFmtId="0" fontId="13" fillId="6" borderId="43" xfId="1" applyFont="1" applyFill="1" applyBorder="1" applyAlignment="1">
      <alignment horizontal="center" vertical="center" wrapText="1"/>
    </xf>
    <xf numFmtId="0" fontId="13" fillId="6" borderId="46" xfId="1" applyFont="1" applyFill="1" applyBorder="1" applyAlignment="1">
      <alignment horizontal="center" vertical="center" wrapText="1"/>
    </xf>
    <xf numFmtId="0" fontId="7" fillId="7" borderId="147" xfId="2" applyFont="1" applyFill="1" applyBorder="1" applyAlignment="1">
      <alignment horizontal="center" vertical="center"/>
    </xf>
    <xf numFmtId="0" fontId="10" fillId="4" borderId="15" xfId="2" applyFont="1" applyFill="1" applyBorder="1" applyAlignment="1">
      <alignment horizontal="center" vertical="center"/>
    </xf>
    <xf numFmtId="0" fontId="10" fillId="4" borderId="28" xfId="2" applyFont="1" applyFill="1" applyBorder="1" applyAlignment="1">
      <alignment horizontal="center" vertical="center"/>
    </xf>
    <xf numFmtId="0" fontId="10" fillId="4" borderId="16" xfId="2" applyFont="1" applyFill="1" applyBorder="1" applyAlignment="1">
      <alignment horizontal="center" vertical="center"/>
    </xf>
    <xf numFmtId="0" fontId="13" fillId="6" borderId="42" xfId="3" applyFont="1" applyFill="1" applyBorder="1" applyAlignment="1" applyProtection="1">
      <alignment horizontal="center" vertical="center" wrapText="1"/>
      <protection locked="0"/>
    </xf>
    <xf numFmtId="0" fontId="13" fillId="6" borderId="45" xfId="3" applyFont="1" applyFill="1" applyBorder="1" applyAlignment="1" applyProtection="1">
      <alignment horizontal="center" vertical="center" wrapText="1"/>
      <protection locked="0"/>
    </xf>
    <xf numFmtId="0" fontId="46" fillId="0" borderId="36" xfId="11" applyFont="1" applyBorder="1">
      <alignment vertical="center"/>
    </xf>
    <xf numFmtId="0" fontId="46" fillId="0" borderId="37" xfId="11" applyFont="1" applyBorder="1">
      <alignment vertical="center"/>
    </xf>
    <xf numFmtId="0" fontId="46" fillId="0" borderId="38" xfId="11" applyFont="1" applyBorder="1">
      <alignment vertical="center"/>
    </xf>
    <xf numFmtId="0" fontId="46" fillId="0" borderId="34" xfId="11" applyFont="1" applyBorder="1">
      <alignment vertical="center"/>
    </xf>
    <xf numFmtId="0" fontId="46" fillId="0" borderId="0" xfId="11" applyFont="1">
      <alignment vertical="center"/>
    </xf>
    <xf numFmtId="0" fontId="46" fillId="0" borderId="35" xfId="11" applyFont="1" applyBorder="1">
      <alignment vertical="center"/>
    </xf>
    <xf numFmtId="0" fontId="13" fillId="6" borderId="43" xfId="3" applyFont="1" applyFill="1" applyBorder="1" applyAlignment="1" applyProtection="1">
      <alignment horizontal="center" vertical="center" wrapText="1"/>
      <protection locked="0"/>
    </xf>
    <xf numFmtId="0" fontId="13" fillId="6" borderId="44" xfId="3" applyFont="1" applyFill="1" applyBorder="1" applyAlignment="1" applyProtection="1">
      <alignment horizontal="center" vertical="center" wrapText="1"/>
      <protection locked="0"/>
    </xf>
    <xf numFmtId="0" fontId="13" fillId="6" borderId="56" xfId="3" applyFont="1" applyFill="1" applyBorder="1" applyAlignment="1" applyProtection="1">
      <alignment horizontal="center" vertical="center" wrapText="1"/>
      <protection locked="0"/>
    </xf>
    <xf numFmtId="0" fontId="13" fillId="6" borderId="83" xfId="3" applyFont="1" applyFill="1" applyBorder="1" applyAlignment="1" applyProtection="1">
      <alignment horizontal="center" vertical="center" wrapText="1"/>
      <protection locked="0"/>
    </xf>
    <xf numFmtId="0" fontId="13" fillId="6" borderId="49" xfId="3" applyFont="1" applyFill="1" applyBorder="1" applyAlignment="1" applyProtection="1">
      <alignment horizontal="center" vertical="center" wrapText="1"/>
      <protection locked="0"/>
    </xf>
    <xf numFmtId="0" fontId="13" fillId="6" borderId="50" xfId="3" applyFont="1" applyFill="1" applyBorder="1" applyAlignment="1" applyProtection="1">
      <alignment horizontal="center" vertical="center" wrapText="1"/>
      <protection locked="0"/>
    </xf>
    <xf numFmtId="0" fontId="13" fillId="6" borderId="40" xfId="3" applyFont="1" applyFill="1" applyBorder="1" applyAlignment="1" applyProtection="1">
      <alignment horizontal="center" vertical="center" wrapText="1"/>
      <protection locked="0"/>
    </xf>
    <xf numFmtId="0" fontId="13" fillId="6" borderId="48" xfId="3" applyFont="1" applyFill="1" applyBorder="1" applyAlignment="1" applyProtection="1">
      <alignment horizontal="center" vertical="center" wrapText="1"/>
      <protection locked="0"/>
    </xf>
    <xf numFmtId="0" fontId="7" fillId="4" borderId="100" xfId="2" applyFont="1" applyFill="1" applyBorder="1" applyAlignment="1">
      <alignment horizontal="center" vertical="center" wrapText="1"/>
    </xf>
    <xf numFmtId="0" fontId="7" fillId="4" borderId="122" xfId="2" applyFont="1" applyFill="1" applyBorder="1" applyAlignment="1">
      <alignment horizontal="center" vertical="center" wrapText="1"/>
    </xf>
    <xf numFmtId="0" fontId="7" fillId="4" borderId="101" xfId="2" applyFont="1" applyFill="1" applyBorder="1" applyAlignment="1">
      <alignment horizontal="center" vertical="center" wrapText="1"/>
    </xf>
    <xf numFmtId="0" fontId="7" fillId="4" borderId="136" xfId="2" applyFont="1" applyFill="1" applyBorder="1" applyAlignment="1">
      <alignment horizontal="center" vertical="center" wrapText="1"/>
    </xf>
    <xf numFmtId="0" fontId="7" fillId="2" borderId="32" xfId="7" applyFont="1" applyFill="1" applyBorder="1" applyAlignment="1">
      <alignment horizontal="left" vertical="center" wrapText="1"/>
    </xf>
    <xf numFmtId="0" fontId="13" fillId="6" borderId="54" xfId="3" applyFont="1" applyFill="1" applyBorder="1" applyAlignment="1" applyProtection="1">
      <alignment horizontal="center" vertical="center" wrapText="1"/>
      <protection locked="0"/>
    </xf>
    <xf numFmtId="0" fontId="13" fillId="6" borderId="42" xfId="2" applyFont="1" applyFill="1" applyBorder="1" applyAlignment="1">
      <alignment horizontal="center" vertical="center"/>
    </xf>
    <xf numFmtId="0" fontId="13" fillId="6" borderId="43" xfId="2" applyFont="1" applyFill="1" applyBorder="1" applyAlignment="1">
      <alignment horizontal="center" vertical="center"/>
    </xf>
    <xf numFmtId="0" fontId="13" fillId="6" borderId="45" xfId="2" applyFont="1" applyFill="1" applyBorder="1" applyAlignment="1">
      <alignment horizontal="center" vertical="center"/>
    </xf>
    <xf numFmtId="0" fontId="13" fillId="6" borderId="46" xfId="2" applyFont="1" applyFill="1" applyBorder="1" applyAlignment="1">
      <alignment horizontal="center" vertical="center"/>
    </xf>
    <xf numFmtId="0" fontId="7" fillId="4" borderId="99" xfId="2" applyFont="1" applyFill="1" applyBorder="1" applyAlignment="1">
      <alignment horizontal="center" vertical="center" wrapText="1"/>
    </xf>
    <xf numFmtId="0" fontId="7" fillId="4" borderId="121" xfId="2" applyFont="1" applyFill="1" applyBorder="1" applyAlignment="1">
      <alignment horizontal="center" vertical="center" wrapText="1"/>
    </xf>
    <xf numFmtId="0" fontId="7" fillId="2" borderId="72" xfId="7" applyFont="1" applyFill="1" applyBorder="1" applyAlignment="1">
      <alignment horizontal="left" vertical="center" wrapText="1"/>
    </xf>
    <xf numFmtId="0" fontId="14" fillId="2" borderId="82" xfId="8" applyFont="1" applyFill="1" applyBorder="1" applyAlignment="1">
      <alignment horizontal="center" vertical="center"/>
    </xf>
    <xf numFmtId="0" fontId="14" fillId="2" borderId="33" xfId="8" applyFont="1" applyFill="1" applyBorder="1" applyAlignment="1">
      <alignment horizontal="center" vertical="center"/>
    </xf>
    <xf numFmtId="0" fontId="14" fillId="2" borderId="77" xfId="8" applyFont="1" applyFill="1" applyBorder="1" applyAlignment="1">
      <alignment horizontal="center" vertical="center"/>
    </xf>
    <xf numFmtId="0" fontId="14" fillId="2" borderId="32" xfId="8" applyFont="1" applyFill="1" applyBorder="1" applyAlignment="1">
      <alignment horizontal="center" vertical="center"/>
    </xf>
    <xf numFmtId="0" fontId="7" fillId="2" borderId="138" xfId="7" applyFont="1" applyFill="1" applyBorder="1" applyAlignment="1">
      <alignment horizontal="left" vertical="center" wrapText="1"/>
    </xf>
    <xf numFmtId="0" fontId="13" fillId="4" borderId="87" xfId="8" applyFont="1" applyFill="1" applyBorder="1" applyAlignment="1">
      <alignment horizontal="center" vertical="center"/>
    </xf>
    <xf numFmtId="0" fontId="13" fillId="4" borderId="88" xfId="8" applyFont="1" applyFill="1" applyBorder="1" applyAlignment="1">
      <alignment horizontal="center" vertical="center"/>
    </xf>
    <xf numFmtId="0" fontId="10" fillId="7" borderId="74" xfId="2" applyFont="1" applyFill="1" applyBorder="1" applyAlignment="1">
      <alignment horizontal="center" vertical="center"/>
    </xf>
    <xf numFmtId="0" fontId="10" fillId="7" borderId="73" xfId="2" applyFont="1" applyFill="1" applyBorder="1" applyAlignment="1">
      <alignment horizontal="center" vertical="center"/>
    </xf>
    <xf numFmtId="0" fontId="13" fillId="6" borderId="53" xfId="3" applyFont="1" applyFill="1" applyBorder="1" applyAlignment="1" applyProtection="1">
      <alignment horizontal="center" vertical="center" wrapText="1"/>
      <protection locked="0"/>
    </xf>
    <xf numFmtId="0" fontId="13" fillId="6" borderId="55" xfId="2" applyFont="1" applyFill="1" applyBorder="1" applyAlignment="1">
      <alignment horizontal="center" vertical="center"/>
    </xf>
    <xf numFmtId="0" fontId="13" fillId="6" borderId="39" xfId="2" applyFont="1" applyFill="1" applyBorder="1" applyAlignment="1">
      <alignment horizontal="center" vertical="center"/>
    </xf>
    <xf numFmtId="0" fontId="13" fillId="6" borderId="53" xfId="2" applyFont="1" applyFill="1" applyBorder="1" applyAlignment="1">
      <alignment horizontal="center" vertical="center"/>
    </xf>
    <xf numFmtId="9" fontId="7" fillId="2" borderId="104" xfId="2" applyNumberFormat="1" applyFont="1" applyFill="1" applyBorder="1" applyAlignment="1">
      <alignment horizontal="center" vertical="center"/>
    </xf>
    <xf numFmtId="9" fontId="7" fillId="2" borderId="39" xfId="2" applyNumberFormat="1" applyFont="1" applyFill="1" applyBorder="1" applyAlignment="1">
      <alignment horizontal="center" vertical="center"/>
    </xf>
    <xf numFmtId="9" fontId="7" fillId="2" borderId="103" xfId="2" applyNumberFormat="1" applyFont="1" applyFill="1" applyBorder="1" applyAlignment="1">
      <alignment horizontal="center" vertical="center"/>
    </xf>
    <xf numFmtId="0" fontId="10" fillId="7" borderId="137" xfId="2" applyFont="1" applyFill="1" applyBorder="1" applyAlignment="1">
      <alignment horizontal="center" vertical="center"/>
    </xf>
    <xf numFmtId="0" fontId="13" fillId="6" borderId="44" xfId="2" applyFont="1" applyFill="1" applyBorder="1" applyAlignment="1">
      <alignment horizontal="center" vertical="center"/>
    </xf>
    <xf numFmtId="0" fontId="13" fillId="6" borderId="54" xfId="2" applyFont="1" applyFill="1" applyBorder="1" applyAlignment="1">
      <alignment horizontal="center" vertical="center"/>
    </xf>
    <xf numFmtId="0" fontId="7" fillId="2" borderId="110" xfId="2" applyFont="1" applyFill="1" applyBorder="1" applyAlignment="1">
      <alignment horizontal="center" vertical="center"/>
    </xf>
    <xf numFmtId="0" fontId="7" fillId="2" borderId="103" xfId="2" applyFont="1" applyFill="1" applyBorder="1" applyAlignment="1">
      <alignment horizontal="center" vertical="center"/>
    </xf>
    <xf numFmtId="0" fontId="13" fillId="6" borderId="55" xfId="3" applyFont="1" applyFill="1" applyBorder="1" applyAlignment="1" applyProtection="1">
      <alignment horizontal="center" vertical="center" wrapText="1"/>
      <protection locked="0"/>
    </xf>
    <xf numFmtId="0" fontId="13" fillId="6" borderId="39" xfId="3" applyFont="1" applyFill="1" applyBorder="1" applyAlignment="1" applyProtection="1">
      <alignment horizontal="center" vertical="center" wrapText="1"/>
      <protection locked="0"/>
    </xf>
    <xf numFmtId="176" fontId="10" fillId="2" borderId="104" xfId="2" applyNumberFormat="1" applyFont="1" applyFill="1" applyBorder="1" applyAlignment="1">
      <alignment horizontal="center" vertical="center"/>
    </xf>
    <xf numFmtId="176" fontId="10" fillId="2" borderId="103" xfId="2" applyNumberFormat="1" applyFont="1" applyFill="1" applyBorder="1" applyAlignment="1">
      <alignment horizontal="center" vertical="center"/>
    </xf>
    <xf numFmtId="0" fontId="7" fillId="2" borderId="104" xfId="2" applyFont="1" applyFill="1" applyBorder="1" applyAlignment="1">
      <alignment horizontal="center" vertical="center"/>
    </xf>
    <xf numFmtId="0" fontId="7" fillId="2" borderId="79" xfId="2" applyFont="1" applyFill="1" applyBorder="1" applyAlignment="1">
      <alignment vertical="center" wrapText="1"/>
    </xf>
    <xf numFmtId="0" fontId="7" fillId="2" borderId="126" xfId="2" applyFont="1" applyFill="1" applyBorder="1" applyAlignment="1">
      <alignment vertical="center" wrapText="1"/>
    </xf>
    <xf numFmtId="0" fontId="7" fillId="2" borderId="78" xfId="2" applyFont="1" applyFill="1" applyBorder="1" applyAlignment="1">
      <alignment vertical="center" wrapText="1"/>
    </xf>
    <xf numFmtId="0" fontId="7" fillId="2" borderId="76" xfId="2" applyFont="1" applyFill="1" applyBorder="1" applyAlignment="1">
      <alignment vertical="center" wrapText="1"/>
    </xf>
    <xf numFmtId="0" fontId="7" fillId="2" borderId="135" xfId="2" applyFont="1" applyFill="1" applyBorder="1" applyAlignment="1">
      <alignment vertical="center" wrapText="1"/>
    </xf>
    <xf numFmtId="0" fontId="7" fillId="2" borderId="77" xfId="2" applyFont="1" applyFill="1" applyBorder="1" applyAlignment="1">
      <alignment vertical="center" wrapText="1"/>
    </xf>
    <xf numFmtId="0" fontId="7" fillId="2" borderId="81" xfId="2" applyFont="1" applyFill="1" applyBorder="1" applyAlignment="1">
      <alignment vertical="center" wrapText="1"/>
    </xf>
    <xf numFmtId="0" fontId="7" fillId="2" borderId="127" xfId="2" applyFont="1" applyFill="1" applyBorder="1" applyAlignment="1">
      <alignment vertical="center" wrapText="1"/>
    </xf>
    <xf numFmtId="0" fontId="7" fillId="2" borderId="80" xfId="2" applyFont="1" applyFill="1" applyBorder="1" applyAlignment="1">
      <alignment vertical="center" wrapText="1"/>
    </xf>
    <xf numFmtId="0" fontId="37" fillId="0" borderId="0" xfId="9" applyFont="1" applyAlignment="1">
      <alignment horizontal="center" vertical="center"/>
    </xf>
  </cellXfs>
  <cellStyles count="16">
    <cellStyle name="스타일 1" xfId="10" xr:uid="{00000000-0005-0000-0000-000000000000}"/>
    <cellStyle name="표준" xfId="0" builtinId="0"/>
    <cellStyle name="표준 13" xfId="1" xr:uid="{00000000-0005-0000-0000-000002000000}"/>
    <cellStyle name="표준 14" xfId="9" xr:uid="{00000000-0005-0000-0000-000003000000}"/>
    <cellStyle name="표준 2" xfId="2" xr:uid="{00000000-0005-0000-0000-000004000000}"/>
    <cellStyle name="표준 2 10" xfId="3" xr:uid="{00000000-0005-0000-0000-000005000000}"/>
    <cellStyle name="표준 2 2" xfId="11" xr:uid="{00000000-0005-0000-0000-000006000000}"/>
    <cellStyle name="표준 2 2 2" xfId="14" xr:uid="{00000000-0005-0000-0000-000007000000}"/>
    <cellStyle name="표준 2 3" xfId="15" xr:uid="{00000000-0005-0000-0000-000008000000}"/>
    <cellStyle name="표준 3" xfId="12" xr:uid="{00000000-0005-0000-0000-000009000000}"/>
    <cellStyle name="표준 3 4" xfId="13" xr:uid="{00000000-0005-0000-0000-00000A000000}"/>
    <cellStyle name="표준 40" xfId="7" xr:uid="{00000000-0005-0000-0000-00000B000000}"/>
    <cellStyle name="표준 9" xfId="8" xr:uid="{00000000-0005-0000-0000-00000C000000}"/>
    <cellStyle name="표준_서버 취약점 진단 요약보고서_기간계업무_계정계서버_1" xfId="4" xr:uid="{00000000-0005-0000-0000-00000D000000}"/>
    <cellStyle name="표준_정보통신부_취약점진단결과_우체국금융_서버_0708_v0.7" xfId="6" xr:uid="{00000000-0005-0000-0000-00000E000000}"/>
    <cellStyle name="하이퍼링크" xfId="5" builtinId="8"/>
  </cellStyles>
  <dxfs count="39"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auto="1"/>
      </font>
      <fill>
        <patternFill>
          <bgColor rgb="FF00B0F0"/>
        </patternFill>
      </fill>
    </dxf>
    <dxf>
      <font>
        <b/>
        <i val="0"/>
        <color auto="1"/>
        <name val="맑은 고딕"/>
        <scheme val="none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8"/>
        </patternFill>
      </fill>
    </dxf>
  </dxfs>
  <tableStyles count="0" defaultTableStyle="TableStyleMedium2" defaultPivotStyle="PivotStyleLight16"/>
  <colors>
    <mruColors>
      <color rgb="FF54BCC5"/>
      <color rgb="FFB5ECF1"/>
      <color rgb="FF7FD5DD"/>
      <color rgb="FFFFFFFF"/>
      <color rgb="FF188B95"/>
      <color rgb="FF188A9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904944610060288"/>
          <c:y val="0.15434071050291692"/>
          <c:w val="0.56377795196893055"/>
          <c:h val="0.76545252451780721"/>
        </c:manualLayout>
      </c:layout>
      <c:radarChart>
        <c:radarStyle val="marker"/>
        <c:varyColors val="0"/>
        <c:ser>
          <c:idx val="0"/>
          <c:order val="0"/>
          <c:dLbls>
            <c:dLbl>
              <c:idx val="0"/>
              <c:layout>
                <c:manualLayout>
                  <c:x val="2.6452937871738282E-3"/>
                  <c:y val="-0.11152032075383829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E9-44C7-BF0D-E45A5B02DC3D}"/>
                </c:ext>
              </c:extLst>
            </c:dLbl>
            <c:dLbl>
              <c:idx val="1"/>
              <c:layout>
                <c:manualLayout>
                  <c:x val="0.13264736831870147"/>
                  <c:y val="-0.11077960839434565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0E9-44C7-BF0D-E45A5B02DC3D}"/>
                </c:ext>
              </c:extLst>
            </c:dLbl>
            <c:dLbl>
              <c:idx val="2"/>
              <c:layout>
                <c:manualLayout>
                  <c:x val="3.0183720746631417E-2"/>
                  <c:y val="-9.6000000000000002E-2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E9-44C7-BF0D-E45A5B02DC3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'보안수준 통계'!$A$11:$A$13</c:f>
              <c:strCache>
                <c:ptCount val="3"/>
                <c:pt idx="0">
                  <c:v>보안 관리</c:v>
                </c:pt>
                <c:pt idx="1">
                  <c:v>사용자 인증</c:v>
                </c:pt>
                <c:pt idx="2">
                  <c:v>패치 관리</c:v>
                </c:pt>
              </c:strCache>
            </c:strRef>
          </c:cat>
          <c:val>
            <c:numRef>
              <c:f>'보안수준 통계'!$B$11:$B$13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5-C0E9-44C7-BF0D-E45A5B02DC3D}"/>
            </c:ext>
          </c:extLst>
        </c:ser>
        <c:ser>
          <c:idx val="1"/>
          <c:order val="1"/>
          <c:spPr>
            <a:ln>
              <a:solidFill>
                <a:srgbClr val="54BCC5"/>
              </a:solidFill>
            </a:ln>
          </c:spPr>
          <c:marker>
            <c:symbol val="circle"/>
            <c:size val="7"/>
            <c:spPr>
              <a:solidFill>
                <a:srgbClr val="188B95"/>
              </a:solidFill>
              <a:ln>
                <a:solidFill>
                  <a:srgbClr val="54BCC5"/>
                </a:solidFill>
              </a:ln>
            </c:spPr>
          </c:marker>
          <c:dLbls>
            <c:dLbl>
              <c:idx val="0"/>
              <c:layout>
                <c:manualLayout>
                  <c:x val="6.8824203738718781E-2"/>
                  <c:y val="1.3270752992248419E-2"/>
                </c:manualLayout>
              </c:layout>
              <c:spPr/>
              <c:txPr>
                <a:bodyPr/>
                <a:lstStyle/>
                <a:p>
                  <a:pPr>
                    <a:defRPr sz="1100" b="0"/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E9-44C7-BF0D-E45A5B02DC3D}"/>
                </c:ext>
              </c:extLst>
            </c:dLbl>
            <c:dLbl>
              <c:idx val="1"/>
              <c:layout>
                <c:manualLayout>
                  <c:x val="-1.6679170164458187E-2"/>
                  <c:y val="7.5133439164765614E-2"/>
                </c:manualLayout>
              </c:layout>
              <c:spPr/>
              <c:txPr>
                <a:bodyPr/>
                <a:lstStyle/>
                <a:p>
                  <a:pPr>
                    <a:defRPr sz="1100" b="0"/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0E9-44C7-BF0D-E45A5B02DC3D}"/>
                </c:ext>
              </c:extLst>
            </c:dLbl>
            <c:dLbl>
              <c:idx val="2"/>
              <c:layout>
                <c:manualLayout>
                  <c:x val="1.5796770342978383E-2"/>
                  <c:y val="-0.10149449285379916"/>
                </c:manualLayout>
              </c:layout>
              <c:spPr/>
              <c:txPr>
                <a:bodyPr/>
                <a:lstStyle/>
                <a:p>
                  <a:pPr>
                    <a:defRPr sz="1100" b="0"/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E9-44C7-BF0D-E45A5B02DC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100" b="0"/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'보안수준 통계'!$A$11:$A$13</c:f>
              <c:strCache>
                <c:ptCount val="3"/>
                <c:pt idx="0">
                  <c:v>보안 관리</c:v>
                </c:pt>
                <c:pt idx="1">
                  <c:v>사용자 인증</c:v>
                </c:pt>
                <c:pt idx="2">
                  <c:v>패치 관리</c:v>
                </c:pt>
              </c:strCache>
            </c:strRef>
          </c:cat>
          <c:val>
            <c:numRef>
              <c:f>'보안수준 통계'!$J$11:$J$13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0E9-44C7-BF0D-E45A5B02D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583296"/>
        <c:axId val="186589184"/>
      </c:radarChart>
      <c:catAx>
        <c:axId val="186583296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00" b="0"/>
            </a:pPr>
            <a:endParaRPr lang="ko-KR"/>
          </a:p>
        </c:txPr>
        <c:crossAx val="186589184"/>
        <c:crosses val="autoZero"/>
        <c:auto val="0"/>
        <c:lblAlgn val="ctr"/>
        <c:lblOffset val="100"/>
        <c:noMultiLvlLbl val="0"/>
      </c:catAx>
      <c:valAx>
        <c:axId val="186589184"/>
        <c:scaling>
          <c:orientation val="minMax"/>
          <c:max val="1"/>
          <c:min val="0"/>
        </c:scaling>
        <c:delete val="0"/>
        <c:axPos val="l"/>
        <c:majorGridlines/>
        <c:minorGridlines/>
        <c:numFmt formatCode="0%" sourceLinked="0"/>
        <c:majorTickMark val="none"/>
        <c:minorTickMark val="none"/>
        <c:tickLblPos val="nextTo"/>
        <c:crossAx val="186583296"/>
        <c:crosses val="autoZero"/>
        <c:crossBetween val="between"/>
        <c:majorUnit val="0.2"/>
        <c:minorUnit val="0.2"/>
      </c:valAx>
    </c:plotArea>
    <c:plotVisOnly val="1"/>
    <c:dispBlanksAs val="gap"/>
    <c:showDLblsOverMax val="0"/>
  </c:chart>
  <c:spPr>
    <a:ln w="19050">
      <a:solidFill>
        <a:srgbClr val="54BCC5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5666196684556E-2"/>
          <c:y val="0.10988790280813561"/>
          <c:w val="0.87586895767583706"/>
          <c:h val="0.77648066212133127"/>
        </c:manualLayout>
      </c:layout>
      <c:barChart>
        <c:barDir val="col"/>
        <c:grouping val="stacked"/>
        <c:varyColors val="0"/>
        <c:ser>
          <c:idx val="0"/>
          <c:order val="0"/>
          <c:invertIfNegative val="0"/>
          <c:cat>
            <c:strRef>
              <c:f>'보안수준 통계'!$A$11:$A$13</c:f>
              <c:strCache>
                <c:ptCount val="3"/>
                <c:pt idx="0">
                  <c:v>보안 관리</c:v>
                </c:pt>
                <c:pt idx="1">
                  <c:v>사용자 인증</c:v>
                </c:pt>
                <c:pt idx="2">
                  <c:v>패치 관리</c:v>
                </c:pt>
              </c:strCache>
            </c:strRef>
          </c:cat>
          <c:val>
            <c:numRef>
              <c:f>'보안수준 통계'!$B$11:$B$13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522E-492F-8C6E-B068E5054EB5}"/>
            </c:ext>
          </c:extLst>
        </c:ser>
        <c:ser>
          <c:idx val="1"/>
          <c:order val="1"/>
          <c:spPr>
            <a:solidFill>
              <a:srgbClr val="7FD5DD"/>
            </a:solidFill>
            <a:ln>
              <a:solidFill>
                <a:srgbClr val="188B95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100" b="1"/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'보안수준 통계'!$A$11:$A$13</c:f>
              <c:strCache>
                <c:ptCount val="3"/>
                <c:pt idx="0">
                  <c:v>보안 관리</c:v>
                </c:pt>
                <c:pt idx="1">
                  <c:v>사용자 인증</c:v>
                </c:pt>
                <c:pt idx="2">
                  <c:v>패치 관리</c:v>
                </c:pt>
              </c:strCache>
            </c:strRef>
          </c:cat>
          <c:val>
            <c:numRef>
              <c:f>'보안수준 통계'!$J$11:$J$13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2E-492F-8C6E-B068E5054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186618240"/>
        <c:axId val="186619776"/>
      </c:barChart>
      <c:catAx>
        <c:axId val="1866182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b="0"/>
            </a:pPr>
            <a:endParaRPr lang="ko-KR"/>
          </a:p>
        </c:txPr>
        <c:crossAx val="186619776"/>
        <c:crosses val="autoZero"/>
        <c:auto val="0"/>
        <c:lblAlgn val="ctr"/>
        <c:lblOffset val="100"/>
        <c:noMultiLvlLbl val="0"/>
      </c:catAx>
      <c:valAx>
        <c:axId val="186619776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none"/>
        <c:minorTickMark val="none"/>
        <c:tickLblPos val="nextTo"/>
        <c:txPr>
          <a:bodyPr/>
          <a:lstStyle/>
          <a:p>
            <a:pPr>
              <a:defRPr b="0"/>
            </a:pPr>
            <a:endParaRPr lang="ko-KR"/>
          </a:p>
        </c:txPr>
        <c:crossAx val="186618240"/>
        <c:crosses val="autoZero"/>
        <c:crossBetween val="between"/>
        <c:majorUnit val="0.2"/>
        <c:minorUnit val="0.1"/>
      </c:valAx>
    </c:plotArea>
    <c:plotVisOnly val="1"/>
    <c:dispBlanksAs val="gap"/>
    <c:showDLblsOverMax val="0"/>
  </c:chart>
  <c:spPr>
    <a:ln w="19050">
      <a:solidFill>
        <a:srgbClr val="54BCC5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266700</xdr:colOff>
      <xdr:row>18</xdr:row>
      <xdr:rowOff>66675</xdr:rowOff>
    </xdr:from>
    <xdr:to>
      <xdr:col>5</xdr:col>
      <xdr:colOff>625531</xdr:colOff>
      <xdr:row>24</xdr:row>
      <xdr:rowOff>91618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7225" y="3086100"/>
          <a:ext cx="4953691" cy="1276528"/>
        </a:xfrm>
        <a:prstGeom prst="rect">
          <a:avLst/>
        </a:prstGeom>
        <a:ln>
          <a:solidFill>
            <a:schemeClr val="bg1">
              <a:lumMod val="75000"/>
            </a:schemeClr>
          </a:solidFill>
        </a:ln>
      </xdr:spPr>
    </xdr:pic>
    <xdr:clientData/>
  </xdr:twoCellAnchor>
  <xdr:twoCellAnchor editAs="oneCell">
    <xdr:from>
      <xdr:col>1</xdr:col>
      <xdr:colOff>266700</xdr:colOff>
      <xdr:row>18</xdr:row>
      <xdr:rowOff>66675</xdr:rowOff>
    </xdr:from>
    <xdr:to>
      <xdr:col>5</xdr:col>
      <xdr:colOff>631022</xdr:colOff>
      <xdr:row>24</xdr:row>
      <xdr:rowOff>95428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7225" y="3227070"/>
          <a:ext cx="4951562" cy="1345108"/>
        </a:xfrm>
        <a:prstGeom prst="rect">
          <a:avLst/>
        </a:prstGeom>
        <a:ln>
          <a:solidFill>
            <a:schemeClr val="bg1">
              <a:lumMod val="75000"/>
            </a:schemeClr>
          </a:solidFill>
        </a:ln>
      </xdr:spPr>
    </xdr:pic>
    <xdr:clientData/>
  </xdr:twoCellAnchor>
  <xdr:twoCellAnchor editAs="oneCell">
    <xdr:from>
      <xdr:col>1</xdr:col>
      <xdr:colOff>266700</xdr:colOff>
      <xdr:row>18</xdr:row>
      <xdr:rowOff>66675</xdr:rowOff>
    </xdr:from>
    <xdr:to>
      <xdr:col>5</xdr:col>
      <xdr:colOff>631022</xdr:colOff>
      <xdr:row>24</xdr:row>
      <xdr:rowOff>91618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7225" y="3227070"/>
          <a:ext cx="4945847" cy="1341298"/>
        </a:xfrm>
        <a:prstGeom prst="rect">
          <a:avLst/>
        </a:prstGeom>
        <a:ln>
          <a:solidFill>
            <a:schemeClr val="bg1">
              <a:lumMod val="75000"/>
            </a:schemeClr>
          </a:solidFill>
        </a:ln>
      </xdr:spPr>
    </xdr:pic>
    <xdr:clientData/>
  </xdr:twoCellAnchor>
  <xdr:twoCellAnchor editAs="oneCell">
    <xdr:from>
      <xdr:col>1</xdr:col>
      <xdr:colOff>266700</xdr:colOff>
      <xdr:row>18</xdr:row>
      <xdr:rowOff>66675</xdr:rowOff>
    </xdr:from>
    <xdr:to>
      <xdr:col>5</xdr:col>
      <xdr:colOff>589112</xdr:colOff>
      <xdr:row>24</xdr:row>
      <xdr:rowOff>91618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7225" y="3227070"/>
          <a:ext cx="4911557" cy="1341298"/>
        </a:xfrm>
        <a:prstGeom prst="rect">
          <a:avLst/>
        </a:prstGeom>
        <a:ln>
          <a:solidFill>
            <a:schemeClr val="bg1">
              <a:lumMod val="75000"/>
            </a:schemeClr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206749</xdr:colOff>
      <xdr:row>39</xdr:row>
      <xdr:rowOff>72838</xdr:rowOff>
    </xdr:from>
    <xdr:to>
      <xdr:col>10</xdr:col>
      <xdr:colOff>57707</xdr:colOff>
      <xdr:row>41</xdr:row>
      <xdr:rowOff>19406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30849" y="7273738"/>
          <a:ext cx="1392738" cy="289468"/>
        </a:xfrm>
        <a:prstGeom prst="rect">
          <a:avLst/>
        </a:prstGeom>
      </xdr:spPr>
    </xdr:pic>
    <xdr:clientData/>
  </xdr:twoCellAnchor>
  <xdr:twoCellAnchor>
    <xdr:from>
      <xdr:col>1</xdr:col>
      <xdr:colOff>6350</xdr:colOff>
      <xdr:row>3</xdr:row>
      <xdr:rowOff>6350</xdr:rowOff>
    </xdr:from>
    <xdr:to>
      <xdr:col>5</xdr:col>
      <xdr:colOff>181610</xdr:colOff>
      <xdr:row>5</xdr:row>
      <xdr:rowOff>163830</xdr:rowOff>
    </xdr:to>
    <xdr:sp macro="" textlink="">
      <xdr:nvSpPr>
        <xdr:cNvPr id="8" name="모서리가 둥근 직사각형 5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393700" y="615950"/>
          <a:ext cx="1724660" cy="563880"/>
        </a:xfrm>
        <a:prstGeom prst="roundRect">
          <a:avLst/>
        </a:prstGeom>
        <a:noFill/>
        <a:ln w="25400">
          <a:solidFill>
            <a:srgbClr val="FF0000"/>
          </a:solidFill>
          <a:headEnd type="none" w="med" len="med"/>
          <a:tailEnd type="none" w="med" len="me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ko-KR" altLang="en-US" sz="1800" b="1">
              <a:solidFill>
                <a:srgbClr val="FF0000"/>
              </a:solidFill>
              <a:latin typeface="+mj-ea"/>
              <a:ea typeface="+mj-ea"/>
            </a:rPr>
            <a:t>기관 </a:t>
          </a:r>
          <a:r>
            <a:rPr lang="en-US" altLang="ko-KR" sz="1800" b="1">
              <a:solidFill>
                <a:srgbClr val="FF0000"/>
              </a:solidFill>
              <a:latin typeface="+mj-ea"/>
              <a:ea typeface="+mj-ea"/>
            </a:rPr>
            <a:t>CI</a:t>
          </a:r>
          <a:endParaRPr lang="ko-KR" altLang="en-US" sz="1800" b="1">
            <a:solidFill>
              <a:srgbClr val="FF0000"/>
            </a:solidFill>
            <a:latin typeface="+mj-ea"/>
            <a:ea typeface="+mj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21</xdr:col>
      <xdr:colOff>629771</xdr:colOff>
      <xdr:row>34</xdr:row>
      <xdr:rowOff>80682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0011896" y="61385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ko-KR" altLang="en-US" sz="1100"/>
        </a:p>
      </xdr:txBody>
    </xdr:sp>
    <xdr:clientData/>
  </xdr:oneCellAnchor>
  <xdr:oneCellAnchor>
    <xdr:from>
      <xdr:col>8</xdr:col>
      <xdr:colOff>327210</xdr:colOff>
      <xdr:row>33</xdr:row>
      <xdr:rowOff>114300</xdr:rowOff>
    </xdr:from>
    <xdr:ext cx="266700" cy="3450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SpPr txBox="1"/>
          </xdr:nvSpPr>
          <xdr:spPr>
            <a:xfrm>
              <a:off x="3451410" y="5962650"/>
              <a:ext cx="266700" cy="3450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altLang="ko-KR" sz="1200" b="1" i="1">
                            <a:latin typeface="Cambria Math" panose="02040503050406030204" pitchFamily="18" charset="0"/>
                            <a:ea typeface="+mj-ea"/>
                          </a:rPr>
                        </m:ctrlPr>
                      </m:fPr>
                      <m:num>
                        <m:r>
                          <a:rPr lang="en-US" altLang="ko-KR" sz="1200" b="1" i="1">
                            <a:latin typeface="Cambria Math" panose="02040503050406030204" pitchFamily="18" charset="0"/>
                            <a:ea typeface="+mj-ea"/>
                          </a:rPr>
                          <m:t>𝑨</m:t>
                        </m:r>
                      </m:num>
                      <m:den>
                        <m:r>
                          <a:rPr lang="en-US" altLang="ko-KR" sz="1200" b="1" i="1">
                            <a:latin typeface="Cambria Math" panose="02040503050406030204" pitchFamily="18" charset="0"/>
                            <a:ea typeface="+mj-ea"/>
                          </a:rPr>
                          <m:t>𝑩</m:t>
                        </m:r>
                      </m:den>
                    </m:f>
                  </m:oMath>
                </m:oMathPara>
              </a14:m>
              <a:endParaRPr lang="ko-KR" altLang="en-US" sz="1200" b="1">
                <a:latin typeface="+mj-ea"/>
                <a:ea typeface="+mj-ea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E1BD764-E41C-4CAA-87BB-AFAE0AB85A54}"/>
                </a:ext>
              </a:extLst>
            </xdr:cNvPr>
            <xdr:cNvSpPr txBox="1"/>
          </xdr:nvSpPr>
          <xdr:spPr>
            <a:xfrm>
              <a:off x="3451410" y="5962650"/>
              <a:ext cx="266700" cy="3450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200" b="1" i="0">
                  <a:latin typeface="Cambria Math" panose="02040503050406030204" pitchFamily="18" charset="0"/>
                  <a:ea typeface="+mj-ea"/>
                </a:rPr>
                <a:t>𝑨/𝑩</a:t>
              </a:r>
              <a:endParaRPr lang="ko-KR" altLang="en-US" sz="1200" b="1">
                <a:latin typeface="+mj-ea"/>
                <a:ea typeface="+mj-ea"/>
              </a:endParaRPr>
            </a:p>
          </xdr:txBody>
        </xdr:sp>
      </mc:Fallback>
    </mc:AlternateContent>
    <xdr:clientData/>
  </xdr:oneCellAnchor>
  <xdr:oneCellAnchor>
    <xdr:from>
      <xdr:col>21</xdr:col>
      <xdr:colOff>629771</xdr:colOff>
      <xdr:row>14</xdr:row>
      <xdr:rowOff>80682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10011896" y="23285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ko-KR" altLang="en-US" sz="1100"/>
        </a:p>
      </xdr:txBody>
    </xdr:sp>
    <xdr:clientData/>
  </xdr:oneCellAnchor>
  <xdr:oneCellAnchor>
    <xdr:from>
      <xdr:col>21</xdr:col>
      <xdr:colOff>629771</xdr:colOff>
      <xdr:row>14</xdr:row>
      <xdr:rowOff>80682</xdr:rowOff>
    </xdr:from>
    <xdr:ext cx="65" cy="17222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10011896" y="23285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ko-KR" altLang="en-US" sz="1100"/>
        </a:p>
      </xdr:txBody>
    </xdr:sp>
    <xdr:clientData/>
  </xdr:oneCellAnchor>
  <xdr:oneCellAnchor>
    <xdr:from>
      <xdr:col>21</xdr:col>
      <xdr:colOff>629771</xdr:colOff>
      <xdr:row>34</xdr:row>
      <xdr:rowOff>80682</xdr:rowOff>
    </xdr:from>
    <xdr:ext cx="65" cy="172227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0008086" y="61690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ko-KR" altLang="en-US" sz="1100"/>
        </a:p>
      </xdr:txBody>
    </xdr:sp>
    <xdr:clientData/>
  </xdr:oneCellAnchor>
  <xdr:oneCellAnchor>
    <xdr:from>
      <xdr:col>8</xdr:col>
      <xdr:colOff>327210</xdr:colOff>
      <xdr:row>33</xdr:row>
      <xdr:rowOff>114300</xdr:rowOff>
    </xdr:from>
    <xdr:ext cx="266700" cy="3450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SpPr txBox="1"/>
          </xdr:nvSpPr>
          <xdr:spPr>
            <a:xfrm>
              <a:off x="3447600" y="5991225"/>
              <a:ext cx="266700" cy="3450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altLang="ko-KR" sz="1200" b="1" i="1">
                            <a:latin typeface="Cambria Math" panose="02040503050406030204" pitchFamily="18" charset="0"/>
                            <a:ea typeface="+mj-ea"/>
                          </a:rPr>
                        </m:ctrlPr>
                      </m:fPr>
                      <m:num>
                        <m:r>
                          <a:rPr lang="en-US" altLang="ko-KR" sz="1200" b="1" i="1">
                            <a:latin typeface="Cambria Math" panose="02040503050406030204" pitchFamily="18" charset="0"/>
                            <a:ea typeface="+mj-ea"/>
                          </a:rPr>
                          <m:t>𝑨</m:t>
                        </m:r>
                      </m:num>
                      <m:den>
                        <m:r>
                          <a:rPr lang="en-US" altLang="ko-KR" sz="1200" b="1" i="1">
                            <a:latin typeface="Cambria Math" panose="02040503050406030204" pitchFamily="18" charset="0"/>
                            <a:ea typeface="+mj-ea"/>
                          </a:rPr>
                          <m:t>𝑩</m:t>
                        </m:r>
                      </m:den>
                    </m:f>
                  </m:oMath>
                </m:oMathPara>
              </a14:m>
              <a:endParaRPr lang="ko-KR" altLang="en-US" sz="1200" b="1">
                <a:latin typeface="+mj-ea"/>
                <a:ea typeface="+mj-ea"/>
              </a:endParaRP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1CC331DB-2E8F-49FA-998A-568D29B72495}"/>
                </a:ext>
              </a:extLst>
            </xdr:cNvPr>
            <xdr:cNvSpPr txBox="1"/>
          </xdr:nvSpPr>
          <xdr:spPr>
            <a:xfrm>
              <a:off x="3447600" y="5991225"/>
              <a:ext cx="266700" cy="3450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200" b="1" i="0">
                  <a:latin typeface="Cambria Math" panose="02040503050406030204" pitchFamily="18" charset="0"/>
                  <a:ea typeface="+mj-ea"/>
                </a:rPr>
                <a:t>𝑨/𝑩</a:t>
              </a:r>
              <a:endParaRPr lang="ko-KR" altLang="en-US" sz="1200" b="1">
                <a:latin typeface="+mj-ea"/>
                <a:ea typeface="+mj-ea"/>
              </a:endParaRPr>
            </a:p>
          </xdr:txBody>
        </xdr:sp>
      </mc:Fallback>
    </mc:AlternateContent>
    <xdr:clientData/>
  </xdr:oneCellAnchor>
  <xdr:oneCellAnchor>
    <xdr:from>
      <xdr:col>21</xdr:col>
      <xdr:colOff>629771</xdr:colOff>
      <xdr:row>14</xdr:row>
      <xdr:rowOff>80682</xdr:rowOff>
    </xdr:from>
    <xdr:ext cx="65" cy="172227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10008086" y="23590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ko-KR" altLang="en-US" sz="1100"/>
        </a:p>
      </xdr:txBody>
    </xdr:sp>
    <xdr:clientData/>
  </xdr:oneCellAnchor>
  <xdr:oneCellAnchor>
    <xdr:from>
      <xdr:col>21</xdr:col>
      <xdr:colOff>629771</xdr:colOff>
      <xdr:row>14</xdr:row>
      <xdr:rowOff>80682</xdr:rowOff>
    </xdr:from>
    <xdr:ext cx="65" cy="172227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10008086" y="23590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ko-KR" altLang="en-US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0</xdr:row>
          <xdr:rowOff>0</xdr:rowOff>
        </xdr:from>
        <xdr:to>
          <xdr:col>11</xdr:col>
          <xdr:colOff>942975</xdr:colOff>
          <xdr:row>1</xdr:row>
          <xdr:rowOff>190500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시트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17</xdr:row>
      <xdr:rowOff>0</xdr:rowOff>
    </xdr:from>
    <xdr:to>
      <xdr:col>4</xdr:col>
      <xdr:colOff>31937</xdr:colOff>
      <xdr:row>33</xdr:row>
      <xdr:rowOff>33617</xdr:rowOff>
    </xdr:to>
    <xdr:graphicFrame macro="">
      <xdr:nvGraphicFramePr>
        <xdr:cNvPr id="2" name="차트 5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22413</xdr:colOff>
      <xdr:row>17</xdr:row>
      <xdr:rowOff>0</xdr:rowOff>
    </xdr:from>
    <xdr:to>
      <xdr:col>9</xdr:col>
      <xdr:colOff>717176</xdr:colOff>
      <xdr:row>33</xdr:row>
      <xdr:rowOff>33617</xdr:rowOff>
    </xdr:to>
    <xdr:graphicFrame macro="">
      <xdr:nvGraphicFramePr>
        <xdr:cNvPr id="3" name="차트 5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4</xdr:row>
      <xdr:rowOff>197223</xdr:rowOff>
    </xdr:from>
    <xdr:to>
      <xdr:col>14</xdr:col>
      <xdr:colOff>0</xdr:colOff>
      <xdr:row>47</xdr:row>
      <xdr:rowOff>8965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7960659" y="923364"/>
          <a:ext cx="2097741" cy="870473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800" b="1"/>
            <a:t>해당 시트는 작년 결과를 수동으로 입력하여 사용하여야 합니다</a:t>
          </a:r>
          <a:r>
            <a:rPr lang="en-US" altLang="ko-KR" sz="1800" b="1"/>
            <a:t>.</a:t>
          </a:r>
        </a:p>
        <a:p>
          <a:pPr algn="ctr"/>
          <a:endParaRPr lang="en-US" altLang="ko-KR" sz="1800" b="1"/>
        </a:p>
        <a:p>
          <a:pPr algn="ctr"/>
          <a:r>
            <a:rPr lang="ko-KR" altLang="en-US" sz="1800" b="1"/>
            <a:t>입력 결과값은 </a:t>
          </a:r>
          <a:r>
            <a:rPr lang="en-US" altLang="ko-KR" sz="1800" b="1"/>
            <a:t>'</a:t>
          </a:r>
          <a:r>
            <a:rPr lang="ko-KR" altLang="en-US" sz="1800" b="1"/>
            <a:t>결과 비교</a:t>
          </a:r>
          <a:r>
            <a:rPr lang="en-US" altLang="ko-KR" sz="1800" b="1"/>
            <a:t>'</a:t>
          </a:r>
          <a:r>
            <a:rPr lang="ko-KR" altLang="en-US" sz="1800" b="1"/>
            <a:t> 시트에서</a:t>
          </a:r>
          <a:r>
            <a:rPr lang="ko-KR" altLang="en-US" sz="1800" b="1" baseline="0"/>
            <a:t> 사용됩니다</a:t>
          </a:r>
          <a:r>
            <a:rPr lang="en-US" altLang="ko-KR" sz="1800" b="1" baseline="0"/>
            <a:t>.</a:t>
          </a:r>
          <a:endParaRPr lang="en-US" altLang="ko-KR" sz="18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1</xdr:row>
          <xdr:rowOff>19050</xdr:rowOff>
        </xdr:from>
        <xdr:to>
          <xdr:col>3</xdr:col>
          <xdr:colOff>257175</xdr:colOff>
          <xdr:row>2</xdr:row>
          <xdr:rowOff>171450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0C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결과 가져오기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1.&#54028;&#51060;&#50724;&#47553;&#53356;/01.&#51088;&#47308;/2019_&#51204;&#51088;&#44552;&#50997;&#44592;&#48152;&#49884;&#49444;_&#44288;&#47532;&#51201;_&#50641;&#49472;&#48372;&#44256;&#49436;/&#48324;&#52392;01.%202019%20&#51204;&#51088;&#44552;&#50997;%20&#50948;&#54744;&#48516;&#49437;%20&#48143;%20&#54217;&#44032;&#54364;_&#51221;&#48372;&#48372;&#54840;&#44288;&#47532;&#52404;&#44228;(&#44552;&#50997;)_V1.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표지"/>
      <sheetName val="개정이력"/>
      <sheetName val="개요"/>
      <sheetName val="위험분석 통계"/>
      <sheetName val="정보보호관리체계 위험분석"/>
      <sheetName val="#위협항목"/>
      <sheetName val="#정보보호점검항목"/>
      <sheetName val="END"/>
    </sheetNames>
    <sheetDataSet>
      <sheetData sheetId="0"/>
      <sheetData sheetId="1"/>
      <sheetData sheetId="2"/>
      <sheetData sheetId="3">
        <row r="12">
          <cell r="E12">
            <v>10</v>
          </cell>
        </row>
      </sheetData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테마">
  <a:themeElements>
    <a:clrScheme name="사용자 지정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00000"/>
      </a:hlink>
      <a:folHlink>
        <a:srgbClr val="00000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5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7030A0"/>
  </sheetPr>
  <dimension ref="B2:O102"/>
  <sheetViews>
    <sheetView showGridLines="0" tabSelected="1" view="pageBreakPreview" zoomScale="85" zoomScaleNormal="100" zoomScaleSheetLayoutView="85" workbookViewId="0"/>
  </sheetViews>
  <sheetFormatPr defaultRowHeight="16.5"/>
  <cols>
    <col min="1" max="2" width="5.125" customWidth="1"/>
    <col min="3" max="3" width="20.5" customWidth="1"/>
    <col min="4" max="4" width="20.75" customWidth="1"/>
    <col min="5" max="5" width="13.75" bestFit="1" customWidth="1"/>
    <col min="6" max="6" width="13.25" bestFit="1" customWidth="1"/>
    <col min="8" max="8" width="4" bestFit="1" customWidth="1"/>
    <col min="9" max="9" width="20.75" customWidth="1"/>
    <col min="10" max="10" width="4" bestFit="1" customWidth="1"/>
    <col min="11" max="11" width="20.75" customWidth="1"/>
    <col min="12" max="12" width="4" bestFit="1" customWidth="1"/>
    <col min="13" max="13" width="20.75" customWidth="1"/>
    <col min="14" max="14" width="4" bestFit="1" customWidth="1"/>
    <col min="15" max="15" width="20.75" customWidth="1"/>
    <col min="16" max="16" width="5.125" customWidth="1"/>
  </cols>
  <sheetData>
    <row r="2" spans="2:15" ht="17.25">
      <c r="B2" s="113" t="s">
        <v>154</v>
      </c>
      <c r="C2" s="113"/>
      <c r="D2" s="113"/>
      <c r="E2" s="113"/>
    </row>
    <row r="3" spans="2:15" ht="4.5" customHeight="1" thickBot="1">
      <c r="B3" s="113"/>
      <c r="C3" s="113"/>
      <c r="D3" s="113"/>
      <c r="E3" s="113"/>
    </row>
    <row r="4" spans="2:15">
      <c r="B4" s="150" t="s">
        <v>181</v>
      </c>
      <c r="C4" s="150"/>
      <c r="D4" s="151"/>
      <c r="E4" s="151"/>
      <c r="F4" s="151"/>
      <c r="G4" s="151"/>
      <c r="H4" s="151"/>
      <c r="I4" s="151"/>
      <c r="J4" s="151"/>
      <c r="K4" s="151"/>
      <c r="L4" s="151"/>
      <c r="M4" s="151"/>
      <c r="N4" s="151"/>
      <c r="O4" s="151"/>
    </row>
    <row r="5" spans="2:15">
      <c r="B5" s="140" t="s">
        <v>210</v>
      </c>
      <c r="C5" s="140"/>
    </row>
    <row r="6" spans="2:15" ht="4.5" customHeight="1">
      <c r="B6" s="140"/>
      <c r="C6" s="140"/>
    </row>
    <row r="7" spans="2:15" ht="4.5" customHeight="1">
      <c r="B7" s="140"/>
      <c r="C7" s="140"/>
    </row>
    <row r="8" spans="2:15">
      <c r="B8" s="140" t="s">
        <v>195</v>
      </c>
      <c r="C8" s="140"/>
    </row>
    <row r="9" spans="2:15" ht="4.5" customHeight="1" thickBot="1">
      <c r="B9" s="140"/>
      <c r="C9" s="140"/>
    </row>
    <row r="10" spans="2:15">
      <c r="B10" s="152" t="s">
        <v>186</v>
      </c>
      <c r="C10" s="160"/>
      <c r="D10" s="153"/>
      <c r="E10" s="153"/>
      <c r="F10" s="153"/>
      <c r="G10" s="153"/>
      <c r="H10" s="153"/>
      <c r="I10" s="153"/>
      <c r="J10" s="153"/>
      <c r="K10" s="153"/>
      <c r="L10" s="153"/>
      <c r="M10" s="153"/>
      <c r="N10" s="153"/>
      <c r="O10" s="154"/>
    </row>
    <row r="11" spans="2:15">
      <c r="B11" s="155" t="s">
        <v>184</v>
      </c>
      <c r="C11" s="140"/>
      <c r="O11" s="156"/>
    </row>
    <row r="12" spans="2:15" ht="4.5" customHeight="1">
      <c r="B12" s="155"/>
      <c r="C12" s="140"/>
      <c r="O12" s="156"/>
    </row>
    <row r="13" spans="2:15">
      <c r="B13" s="155" t="s">
        <v>199</v>
      </c>
      <c r="C13" s="140"/>
      <c r="O13" s="156"/>
    </row>
    <row r="14" spans="2:15">
      <c r="B14" s="155" t="s">
        <v>201</v>
      </c>
      <c r="C14" s="140"/>
      <c r="O14" s="156"/>
    </row>
    <row r="15" spans="2:15">
      <c r="B15" s="155" t="s">
        <v>185</v>
      </c>
      <c r="C15" s="140"/>
      <c r="O15" s="156"/>
    </row>
    <row r="16" spans="2:15">
      <c r="B16" s="155" t="s">
        <v>231</v>
      </c>
      <c r="C16" s="140"/>
      <c r="O16" s="156"/>
    </row>
    <row r="17" spans="2:15">
      <c r="B17" s="155" t="s">
        <v>232</v>
      </c>
      <c r="C17" s="140"/>
      <c r="O17" s="156"/>
    </row>
    <row r="18" spans="2:15">
      <c r="B18" s="155" t="s">
        <v>481</v>
      </c>
      <c r="C18" s="140"/>
      <c r="O18" s="156"/>
    </row>
    <row r="19" spans="2:15">
      <c r="B19" s="155"/>
      <c r="C19" s="140"/>
      <c r="O19" s="156"/>
    </row>
    <row r="20" spans="2:15">
      <c r="B20" s="155"/>
      <c r="C20" s="140"/>
      <c r="O20" s="156"/>
    </row>
    <row r="21" spans="2:15">
      <c r="B21" s="155"/>
      <c r="C21" s="140"/>
      <c r="O21" s="156"/>
    </row>
    <row r="22" spans="2:15">
      <c r="B22" s="155"/>
      <c r="C22" s="140"/>
      <c r="O22" s="156"/>
    </row>
    <row r="23" spans="2:15">
      <c r="B23" s="155"/>
      <c r="C23" s="140"/>
      <c r="O23" s="156"/>
    </row>
    <row r="24" spans="2:15">
      <c r="B24" s="155"/>
      <c r="C24" s="140"/>
      <c r="O24" s="156"/>
    </row>
    <row r="25" spans="2:15" ht="17.25" thickBot="1">
      <c r="B25" s="157"/>
      <c r="C25" s="161"/>
      <c r="D25" s="158"/>
      <c r="E25" s="158"/>
      <c r="F25" s="158"/>
      <c r="G25" s="158"/>
      <c r="H25" s="158"/>
      <c r="I25" s="158"/>
      <c r="J25" s="158"/>
      <c r="K25" s="158"/>
      <c r="L25" s="158"/>
      <c r="M25" s="158"/>
      <c r="N25" s="158"/>
      <c r="O25" s="159"/>
    </row>
    <row r="26" spans="2:15" ht="4.5" customHeight="1"/>
    <row r="27" spans="2:15" ht="4.5" customHeight="1"/>
    <row r="28" spans="2:15">
      <c r="B28" s="140" t="s">
        <v>194</v>
      </c>
      <c r="C28" s="140"/>
    </row>
    <row r="29" spans="2:15" ht="4.5" customHeight="1" thickBot="1">
      <c r="B29" s="140"/>
      <c r="C29" s="140"/>
    </row>
    <row r="30" spans="2:15">
      <c r="B30" s="152" t="s">
        <v>200</v>
      </c>
      <c r="C30" s="160"/>
      <c r="D30" s="153"/>
      <c r="E30" s="153"/>
      <c r="F30" s="153"/>
      <c r="G30" s="153"/>
      <c r="H30" s="153"/>
      <c r="I30" s="153"/>
      <c r="J30" s="153"/>
      <c r="K30" s="153"/>
      <c r="L30" s="153"/>
      <c r="M30" s="153"/>
      <c r="N30" s="153"/>
      <c r="O30" s="154"/>
    </row>
    <row r="31" spans="2:15">
      <c r="B31" s="165" t="s">
        <v>204</v>
      </c>
      <c r="C31" s="163"/>
      <c r="O31" s="156"/>
    </row>
    <row r="32" spans="2:15">
      <c r="B32" s="155" t="s">
        <v>202</v>
      </c>
      <c r="C32" s="140"/>
      <c r="O32" s="156"/>
    </row>
    <row r="33" spans="2:15" ht="4.5" customHeight="1">
      <c r="B33" s="166"/>
      <c r="O33" s="156"/>
    </row>
    <row r="34" spans="2:15" ht="17.25" thickBot="1">
      <c r="B34" s="155"/>
      <c r="C34" s="140"/>
      <c r="D34" s="164" t="s">
        <v>207</v>
      </c>
      <c r="G34" s="158"/>
      <c r="H34" s="158"/>
      <c r="O34" s="156"/>
    </row>
    <row r="35" spans="2:15">
      <c r="B35" s="166"/>
      <c r="C35" s="152" t="s">
        <v>205</v>
      </c>
      <c r="I35" s="154"/>
      <c r="O35" s="156"/>
    </row>
    <row r="36" spans="2:15" ht="17.25" thickBot="1">
      <c r="B36" s="166"/>
      <c r="C36" s="162" t="s">
        <v>206</v>
      </c>
      <c r="D36" s="158"/>
      <c r="E36" s="158"/>
      <c r="F36" s="158"/>
      <c r="G36" s="158"/>
      <c r="H36" s="158"/>
      <c r="I36" s="159"/>
      <c r="O36" s="156"/>
    </row>
    <row r="37" spans="2:15" ht="4.5" customHeight="1">
      <c r="B37" s="166"/>
      <c r="O37" s="156"/>
    </row>
    <row r="38" spans="2:15">
      <c r="B38" s="155" t="s">
        <v>208</v>
      </c>
      <c r="C38" s="140"/>
      <c r="O38" s="156"/>
    </row>
    <row r="39" spans="2:15">
      <c r="B39" s="165" t="s">
        <v>209</v>
      </c>
      <c r="C39" s="163"/>
      <c r="O39" s="156"/>
    </row>
    <row r="40" spans="2:15">
      <c r="B40" s="155" t="s">
        <v>212</v>
      </c>
      <c r="C40" s="140"/>
      <c r="O40" s="156"/>
    </row>
    <row r="41" spans="2:15" ht="17.25" thickBot="1">
      <c r="B41" s="157" t="s">
        <v>213</v>
      </c>
      <c r="C41" s="161"/>
      <c r="D41" s="158"/>
      <c r="E41" s="158"/>
      <c r="F41" s="158"/>
      <c r="G41" s="158"/>
      <c r="H41" s="158"/>
      <c r="I41" s="158"/>
      <c r="J41" s="158"/>
      <c r="K41" s="158"/>
      <c r="L41" s="158"/>
      <c r="M41" s="158"/>
      <c r="N41" s="158"/>
      <c r="O41" s="159"/>
    </row>
    <row r="42" spans="2:15" ht="4.5" customHeight="1"/>
    <row r="43" spans="2:15" ht="4.5" customHeight="1"/>
    <row r="44" spans="2:15">
      <c r="B44" s="140" t="s">
        <v>196</v>
      </c>
      <c r="C44" s="140"/>
    </row>
    <row r="45" spans="2:15" ht="4.5" customHeight="1" thickBot="1">
      <c r="B45" s="140"/>
      <c r="C45" s="140"/>
    </row>
    <row r="46" spans="2:15">
      <c r="B46" s="167" t="s">
        <v>215</v>
      </c>
      <c r="C46" s="160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4"/>
    </row>
    <row r="47" spans="2:15">
      <c r="B47" s="155" t="s">
        <v>211</v>
      </c>
      <c r="C47" s="140"/>
      <c r="O47" s="156"/>
    </row>
    <row r="48" spans="2:15">
      <c r="B48" s="155" t="s">
        <v>216</v>
      </c>
      <c r="C48" s="140"/>
      <c r="O48" s="156"/>
    </row>
    <row r="49" spans="2:15">
      <c r="B49" s="155" t="s">
        <v>217</v>
      </c>
      <c r="C49" s="140"/>
      <c r="O49" s="156"/>
    </row>
    <row r="50" spans="2:15" ht="17.25" thickBot="1">
      <c r="B50" s="157" t="s">
        <v>222</v>
      </c>
      <c r="C50" s="161"/>
      <c r="D50" s="158"/>
      <c r="E50" s="158"/>
      <c r="F50" s="158"/>
      <c r="G50" s="158"/>
      <c r="H50" s="158"/>
      <c r="I50" s="158"/>
      <c r="J50" s="158"/>
      <c r="K50" s="158"/>
      <c r="L50" s="158"/>
      <c r="M50" s="158"/>
      <c r="N50" s="158"/>
      <c r="O50" s="159"/>
    </row>
    <row r="51" spans="2:15" ht="4.5" customHeight="1"/>
    <row r="52" spans="2:15" ht="4.5" customHeight="1"/>
    <row r="53" spans="2:15">
      <c r="B53" s="140" t="s">
        <v>197</v>
      </c>
      <c r="C53" s="140"/>
    </row>
    <row r="54" spans="2:15" ht="4.5" customHeight="1" thickBot="1">
      <c r="B54" s="140"/>
      <c r="C54" s="140"/>
    </row>
    <row r="55" spans="2:15">
      <c r="B55" s="167" t="s">
        <v>214</v>
      </c>
      <c r="C55" s="160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4"/>
    </row>
    <row r="56" spans="2:15">
      <c r="B56" s="155" t="s">
        <v>218</v>
      </c>
      <c r="C56" s="140"/>
      <c r="O56" s="156"/>
    </row>
    <row r="57" spans="2:15">
      <c r="B57" s="155" t="s">
        <v>219</v>
      </c>
      <c r="C57" s="140"/>
      <c r="O57" s="156"/>
    </row>
    <row r="58" spans="2:15">
      <c r="B58" s="155" t="s">
        <v>220</v>
      </c>
      <c r="C58" s="140"/>
      <c r="O58" s="156"/>
    </row>
    <row r="59" spans="2:15" ht="17.25" thickBot="1">
      <c r="B59" s="157" t="s">
        <v>222</v>
      </c>
      <c r="C59" s="161"/>
      <c r="D59" s="158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9"/>
    </row>
    <row r="60" spans="2:15" ht="4.5" customHeight="1"/>
    <row r="61" spans="2:15" ht="4.5" customHeight="1"/>
    <row r="62" spans="2:15">
      <c r="B62" s="140" t="s">
        <v>198</v>
      </c>
      <c r="C62" s="140"/>
    </row>
    <row r="63" spans="2:15" ht="4.5" customHeight="1" thickBot="1"/>
    <row r="64" spans="2:15">
      <c r="B64" s="152" t="s">
        <v>211</v>
      </c>
      <c r="C64" s="160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4"/>
    </row>
    <row r="65" spans="2:15">
      <c r="B65" s="155" t="s">
        <v>216</v>
      </c>
      <c r="C65" s="140"/>
      <c r="O65" s="156"/>
    </row>
    <row r="66" spans="2:15" ht="4.5" customHeight="1">
      <c r="B66" s="166"/>
      <c r="O66" s="156"/>
    </row>
    <row r="67" spans="2:15" ht="17.25" thickBot="1">
      <c r="B67" s="155"/>
      <c r="C67" s="140"/>
      <c r="D67" s="164" t="s">
        <v>207</v>
      </c>
      <c r="G67" s="158"/>
      <c r="H67" s="158"/>
      <c r="O67" s="156"/>
    </row>
    <row r="68" spans="2:15">
      <c r="B68" s="166"/>
      <c r="C68" s="152" t="s">
        <v>205</v>
      </c>
      <c r="I68" s="154"/>
      <c r="O68" s="156"/>
    </row>
    <row r="69" spans="2:15" ht="17.25" thickBot="1">
      <c r="B69" s="166"/>
      <c r="C69" s="162" t="s">
        <v>206</v>
      </c>
      <c r="D69" s="158"/>
      <c r="E69" s="158"/>
      <c r="F69" s="158"/>
      <c r="G69" s="158"/>
      <c r="H69" s="158"/>
      <c r="I69" s="159"/>
      <c r="O69" s="156"/>
    </row>
    <row r="70" spans="2:15" ht="4.5" customHeight="1">
      <c r="B70" s="166"/>
      <c r="O70" s="156"/>
    </row>
    <row r="71" spans="2:15">
      <c r="B71" s="155" t="s">
        <v>221</v>
      </c>
      <c r="C71" s="140"/>
      <c r="O71" s="156"/>
    </row>
    <row r="72" spans="2:15">
      <c r="B72" s="165" t="s">
        <v>209</v>
      </c>
      <c r="C72" s="163"/>
      <c r="O72" s="156"/>
    </row>
    <row r="73" spans="2:15">
      <c r="B73" s="155" t="s">
        <v>229</v>
      </c>
      <c r="C73" s="140"/>
      <c r="O73" s="156"/>
    </row>
    <row r="74" spans="2:15">
      <c r="B74" s="155" t="s">
        <v>212</v>
      </c>
      <c r="C74" s="140"/>
      <c r="O74" s="156"/>
    </row>
    <row r="75" spans="2:15" ht="17.25" thickBot="1">
      <c r="B75" s="157" t="s">
        <v>223</v>
      </c>
      <c r="C75" s="161"/>
      <c r="D75" s="158"/>
      <c r="E75" s="158"/>
      <c r="F75" s="158"/>
      <c r="G75" s="158"/>
      <c r="H75" s="158"/>
      <c r="I75" s="158"/>
      <c r="J75" s="158"/>
      <c r="K75" s="158"/>
      <c r="L75" s="158"/>
      <c r="M75" s="158"/>
      <c r="N75" s="158"/>
      <c r="O75" s="159"/>
    </row>
    <row r="76" spans="2:15" ht="4.5" customHeight="1">
      <c r="B76" s="140"/>
      <c r="C76" s="140"/>
    </row>
    <row r="77" spans="2:15" ht="4.5" customHeight="1" thickBot="1">
      <c r="B77" s="140"/>
      <c r="C77" s="140"/>
    </row>
    <row r="78" spans="2:15" ht="17.25" customHeight="1">
      <c r="B78" s="353" t="s">
        <v>178</v>
      </c>
      <c r="C78" s="353"/>
      <c r="D78" s="353"/>
      <c r="E78" s="354"/>
      <c r="F78" s="351" t="s">
        <v>168</v>
      </c>
      <c r="G78" s="351"/>
      <c r="H78" s="351" t="s">
        <v>175</v>
      </c>
      <c r="I78" s="351"/>
      <c r="J78" s="351"/>
      <c r="K78" s="351"/>
      <c r="L78" s="351"/>
      <c r="M78" s="351"/>
      <c r="N78" s="351"/>
      <c r="O78" s="352"/>
    </row>
    <row r="79" spans="2:15">
      <c r="B79" s="355"/>
      <c r="C79" s="355"/>
      <c r="D79" s="355"/>
      <c r="E79" s="356"/>
      <c r="F79" s="349"/>
      <c r="G79" s="349"/>
      <c r="H79" s="349" t="s">
        <v>138</v>
      </c>
      <c r="I79" s="349"/>
      <c r="J79" s="349" t="s">
        <v>128</v>
      </c>
      <c r="K79" s="349"/>
      <c r="L79" s="349" t="s">
        <v>129</v>
      </c>
      <c r="M79" s="349"/>
      <c r="N79" s="349" t="s">
        <v>176</v>
      </c>
      <c r="O79" s="350"/>
    </row>
    <row r="80" spans="2:15" ht="17.25" thickBot="1">
      <c r="B80" s="357" t="s">
        <v>155</v>
      </c>
      <c r="C80" s="358"/>
      <c r="D80" s="139" t="s">
        <v>187</v>
      </c>
      <c r="E80" s="139" t="s">
        <v>188</v>
      </c>
      <c r="F80" s="141" t="s">
        <v>169</v>
      </c>
      <c r="G80" s="141" t="s">
        <v>170</v>
      </c>
      <c r="H80" s="141" t="s">
        <v>174</v>
      </c>
      <c r="I80" s="141" t="s">
        <v>171</v>
      </c>
      <c r="J80" s="141" t="s">
        <v>174</v>
      </c>
      <c r="K80" s="141" t="s">
        <v>172</v>
      </c>
      <c r="L80" s="141" t="s">
        <v>174</v>
      </c>
      <c r="M80" s="141" t="s">
        <v>137</v>
      </c>
      <c r="N80" s="141" t="s">
        <v>174</v>
      </c>
      <c r="O80" s="142" t="s">
        <v>173</v>
      </c>
    </row>
    <row r="81" spans="2:15">
      <c r="B81" s="359" t="s">
        <v>156</v>
      </c>
      <c r="C81" s="360"/>
      <c r="D81" s="138" t="s">
        <v>226</v>
      </c>
      <c r="E81" s="143" t="s">
        <v>182</v>
      </c>
      <c r="F81" s="144" t="s">
        <v>98</v>
      </c>
      <c r="G81" s="144" t="s">
        <v>98</v>
      </c>
      <c r="H81" s="144">
        <v>1</v>
      </c>
      <c r="I81" s="138" t="s">
        <v>226</v>
      </c>
      <c r="J81" s="144">
        <v>1</v>
      </c>
      <c r="K81" s="138" t="s">
        <v>226</v>
      </c>
      <c r="L81" s="144">
        <v>1</v>
      </c>
      <c r="M81" s="138" t="s">
        <v>226</v>
      </c>
      <c r="N81" s="144">
        <v>1</v>
      </c>
      <c r="O81" s="185" t="s">
        <v>226</v>
      </c>
    </row>
    <row r="82" spans="2:15">
      <c r="B82" s="347" t="s">
        <v>225</v>
      </c>
      <c r="C82" s="348"/>
      <c r="D82" s="138" t="s">
        <v>98</v>
      </c>
      <c r="E82" s="145" t="s">
        <v>182</v>
      </c>
      <c r="F82" s="146" t="s">
        <v>98</v>
      </c>
      <c r="G82" s="146" t="s">
        <v>98</v>
      </c>
      <c r="H82" s="146">
        <v>2</v>
      </c>
      <c r="I82" s="168" t="s">
        <v>225</v>
      </c>
      <c r="J82" s="146">
        <v>2</v>
      </c>
      <c r="K82" s="168" t="s">
        <v>225</v>
      </c>
      <c r="L82" s="146">
        <v>2</v>
      </c>
      <c r="M82" s="168" t="s">
        <v>225</v>
      </c>
      <c r="N82" s="146">
        <v>2</v>
      </c>
      <c r="O82" s="169" t="s">
        <v>225</v>
      </c>
    </row>
    <row r="83" spans="2:15">
      <c r="B83" s="347" t="s">
        <v>157</v>
      </c>
      <c r="C83" s="348"/>
      <c r="D83" s="138" t="s">
        <v>98</v>
      </c>
      <c r="E83" s="145" t="s">
        <v>182</v>
      </c>
      <c r="F83" s="146" t="s">
        <v>98</v>
      </c>
      <c r="G83" s="146" t="s">
        <v>98</v>
      </c>
      <c r="H83" s="146">
        <v>3</v>
      </c>
      <c r="I83" s="168" t="s">
        <v>157</v>
      </c>
      <c r="J83" s="146">
        <v>3</v>
      </c>
      <c r="K83" s="168" t="s">
        <v>157</v>
      </c>
      <c r="L83" s="146">
        <v>3</v>
      </c>
      <c r="M83" s="168" t="s">
        <v>157</v>
      </c>
      <c r="N83" s="146">
        <v>3</v>
      </c>
      <c r="O83" s="169" t="s">
        <v>157</v>
      </c>
    </row>
    <row r="84" spans="2:15">
      <c r="B84" s="347" t="s">
        <v>158</v>
      </c>
      <c r="C84" s="348"/>
      <c r="D84" s="138" t="s">
        <v>98</v>
      </c>
      <c r="E84" s="138" t="s">
        <v>183</v>
      </c>
      <c r="F84" s="146" t="s">
        <v>98</v>
      </c>
      <c r="G84" s="146" t="s">
        <v>98</v>
      </c>
      <c r="H84" s="146">
        <v>4</v>
      </c>
      <c r="I84" s="168" t="s">
        <v>158</v>
      </c>
      <c r="J84" s="146" t="s">
        <v>98</v>
      </c>
      <c r="K84" s="147" t="s">
        <v>98</v>
      </c>
      <c r="L84" s="146" t="s">
        <v>98</v>
      </c>
      <c r="M84" s="147" t="s">
        <v>98</v>
      </c>
      <c r="N84" s="146">
        <v>4</v>
      </c>
      <c r="O84" s="169" t="s">
        <v>158</v>
      </c>
    </row>
    <row r="85" spans="2:15">
      <c r="B85" s="347" t="s">
        <v>159</v>
      </c>
      <c r="C85" s="348"/>
      <c r="D85" s="138" t="s">
        <v>98</v>
      </c>
      <c r="E85" s="138" t="s">
        <v>183</v>
      </c>
      <c r="F85" s="146" t="s">
        <v>98</v>
      </c>
      <c r="G85" s="146" t="s">
        <v>98</v>
      </c>
      <c r="H85" s="146" t="s">
        <v>98</v>
      </c>
      <c r="I85" s="147" t="s">
        <v>98</v>
      </c>
      <c r="J85" s="146">
        <v>4</v>
      </c>
      <c r="K85" s="168" t="s">
        <v>159</v>
      </c>
      <c r="L85" s="146">
        <v>4</v>
      </c>
      <c r="M85" s="168" t="s">
        <v>159</v>
      </c>
      <c r="N85" s="146" t="s">
        <v>98</v>
      </c>
      <c r="O85" s="147" t="s">
        <v>98</v>
      </c>
    </row>
    <row r="86" spans="2:15">
      <c r="B86" s="347" t="s">
        <v>536</v>
      </c>
      <c r="C86" s="348"/>
      <c r="D86" s="138" t="s">
        <v>98</v>
      </c>
      <c r="E86" s="138" t="s">
        <v>183</v>
      </c>
      <c r="F86" s="146" t="s">
        <v>98</v>
      </c>
      <c r="G86" s="146" t="s">
        <v>98</v>
      </c>
      <c r="H86" s="146" t="s">
        <v>98</v>
      </c>
      <c r="I86" s="147" t="s">
        <v>98</v>
      </c>
      <c r="J86" s="146" t="s">
        <v>98</v>
      </c>
      <c r="K86" s="147" t="s">
        <v>98</v>
      </c>
      <c r="L86" s="146">
        <v>5</v>
      </c>
      <c r="M86" s="168" t="s">
        <v>536</v>
      </c>
      <c r="N86" s="146" t="s">
        <v>98</v>
      </c>
      <c r="O86" s="147" t="s">
        <v>98</v>
      </c>
    </row>
    <row r="87" spans="2:15">
      <c r="B87" s="347" t="s">
        <v>160</v>
      </c>
      <c r="C87" s="348"/>
      <c r="D87" s="138" t="s">
        <v>98</v>
      </c>
      <c r="E87" s="145" t="s">
        <v>182</v>
      </c>
      <c r="F87" s="146" t="s">
        <v>189</v>
      </c>
      <c r="G87" s="146" t="s">
        <v>190</v>
      </c>
      <c r="H87" s="146">
        <v>5</v>
      </c>
      <c r="I87" s="168" t="s">
        <v>160</v>
      </c>
      <c r="J87" s="146">
        <v>5</v>
      </c>
      <c r="K87" s="168" t="s">
        <v>160</v>
      </c>
      <c r="L87" s="146">
        <v>6</v>
      </c>
      <c r="M87" s="168" t="s">
        <v>160</v>
      </c>
      <c r="N87" s="146">
        <v>5</v>
      </c>
      <c r="O87" s="169" t="s">
        <v>160</v>
      </c>
    </row>
    <row r="88" spans="2:15">
      <c r="B88" s="347" t="s">
        <v>230</v>
      </c>
      <c r="C88" s="348"/>
      <c r="D88" s="138" t="s">
        <v>98</v>
      </c>
      <c r="E88" s="138" t="s">
        <v>183</v>
      </c>
      <c r="F88" s="146" t="s">
        <v>98</v>
      </c>
      <c r="G88" s="146" t="s">
        <v>98</v>
      </c>
      <c r="H88" s="146" t="s">
        <v>98</v>
      </c>
      <c r="I88" s="147" t="s">
        <v>98</v>
      </c>
      <c r="J88" s="146">
        <v>6</v>
      </c>
      <c r="K88" s="168" t="s">
        <v>230</v>
      </c>
      <c r="L88" s="146">
        <v>7</v>
      </c>
      <c r="M88" s="168" t="s">
        <v>230</v>
      </c>
      <c r="N88" s="146" t="s">
        <v>98</v>
      </c>
      <c r="O88" s="147" t="s">
        <v>98</v>
      </c>
    </row>
    <row r="89" spans="2:15">
      <c r="B89" s="347" t="s">
        <v>161</v>
      </c>
      <c r="C89" s="348"/>
      <c r="D89" s="138" t="s">
        <v>98</v>
      </c>
      <c r="E89" s="138" t="s">
        <v>183</v>
      </c>
      <c r="F89" s="146" t="s">
        <v>98</v>
      </c>
      <c r="G89" s="146" t="s">
        <v>98</v>
      </c>
      <c r="H89" s="146">
        <v>6</v>
      </c>
      <c r="I89" s="168" t="s">
        <v>161</v>
      </c>
      <c r="J89" s="146" t="s">
        <v>98</v>
      </c>
      <c r="K89" s="147" t="s">
        <v>98</v>
      </c>
      <c r="L89" s="146" t="s">
        <v>98</v>
      </c>
      <c r="M89" s="147" t="s">
        <v>98</v>
      </c>
      <c r="N89" s="146" t="s">
        <v>98</v>
      </c>
      <c r="O89" s="147" t="s">
        <v>98</v>
      </c>
    </row>
    <row r="90" spans="2:15">
      <c r="B90" s="347" t="s">
        <v>245</v>
      </c>
      <c r="C90" s="348"/>
      <c r="D90" s="138" t="s">
        <v>98</v>
      </c>
      <c r="E90" s="138" t="s">
        <v>183</v>
      </c>
      <c r="F90" s="146" t="s">
        <v>98</v>
      </c>
      <c r="G90" s="146" t="s">
        <v>98</v>
      </c>
      <c r="H90" s="146">
        <v>7</v>
      </c>
      <c r="I90" s="169" t="s">
        <v>245</v>
      </c>
      <c r="J90" s="146" t="s">
        <v>98</v>
      </c>
      <c r="K90" s="147" t="s">
        <v>98</v>
      </c>
      <c r="L90" s="146" t="s">
        <v>98</v>
      </c>
      <c r="M90" s="147" t="s">
        <v>98</v>
      </c>
      <c r="N90" s="146" t="s">
        <v>98</v>
      </c>
      <c r="O90" s="147" t="s">
        <v>98</v>
      </c>
    </row>
    <row r="91" spans="2:15">
      <c r="B91" s="347" t="s">
        <v>162</v>
      </c>
      <c r="C91" s="348"/>
      <c r="D91" s="138" t="s">
        <v>98</v>
      </c>
      <c r="E91" s="138" t="s">
        <v>183</v>
      </c>
      <c r="F91" s="146" t="s">
        <v>98</v>
      </c>
      <c r="G91" s="146" t="s">
        <v>98</v>
      </c>
      <c r="H91" s="146" t="s">
        <v>98</v>
      </c>
      <c r="I91" s="147" t="s">
        <v>98</v>
      </c>
      <c r="J91" s="146" t="s">
        <v>98</v>
      </c>
      <c r="K91" s="147" t="s">
        <v>98</v>
      </c>
      <c r="L91" s="146" t="s">
        <v>98</v>
      </c>
      <c r="M91" s="147" t="s">
        <v>98</v>
      </c>
      <c r="N91" s="146">
        <v>6</v>
      </c>
      <c r="O91" s="169" t="s">
        <v>162</v>
      </c>
    </row>
    <row r="92" spans="2:15">
      <c r="B92" s="347" t="s">
        <v>473</v>
      </c>
      <c r="C92" s="348"/>
      <c r="D92" s="138" t="s">
        <v>98</v>
      </c>
      <c r="E92" s="138" t="s">
        <v>183</v>
      </c>
      <c r="F92" s="146" t="s">
        <v>98</v>
      </c>
      <c r="G92" s="146" t="s">
        <v>98</v>
      </c>
      <c r="H92" s="146" t="s">
        <v>98</v>
      </c>
      <c r="I92" s="147" t="s">
        <v>98</v>
      </c>
      <c r="J92" s="146" t="s">
        <v>98</v>
      </c>
      <c r="K92" s="147" t="s">
        <v>98</v>
      </c>
      <c r="L92" s="146" t="s">
        <v>98</v>
      </c>
      <c r="M92" s="147" t="s">
        <v>98</v>
      </c>
      <c r="N92" s="146">
        <v>7</v>
      </c>
      <c r="O92" s="169" t="s">
        <v>473</v>
      </c>
    </row>
    <row r="93" spans="2:15">
      <c r="B93" s="347" t="s">
        <v>163</v>
      </c>
      <c r="C93" s="348"/>
      <c r="D93" s="138" t="s">
        <v>180</v>
      </c>
      <c r="E93" s="138" t="s">
        <v>183</v>
      </c>
      <c r="F93" s="146" t="s">
        <v>191</v>
      </c>
      <c r="G93" s="146" t="s">
        <v>192</v>
      </c>
      <c r="H93" s="146">
        <v>8</v>
      </c>
      <c r="I93" s="138" t="s">
        <v>180</v>
      </c>
      <c r="J93" s="146" t="s">
        <v>98</v>
      </c>
      <c r="K93" s="147" t="s">
        <v>98</v>
      </c>
      <c r="L93" s="146" t="s">
        <v>98</v>
      </c>
      <c r="M93" s="147" t="s">
        <v>98</v>
      </c>
      <c r="N93" s="146">
        <v>8</v>
      </c>
      <c r="O93" s="147" t="s">
        <v>180</v>
      </c>
    </row>
    <row r="94" spans="2:15">
      <c r="B94" s="347" t="s">
        <v>474</v>
      </c>
      <c r="C94" s="348"/>
      <c r="D94" s="138" t="s">
        <v>179</v>
      </c>
      <c r="E94" s="138" t="s">
        <v>183</v>
      </c>
      <c r="F94" s="146" t="s">
        <v>98</v>
      </c>
      <c r="G94" s="146" t="s">
        <v>98</v>
      </c>
      <c r="H94" s="146">
        <v>9</v>
      </c>
      <c r="I94" s="138" t="s">
        <v>179</v>
      </c>
      <c r="J94" s="146" t="s">
        <v>98</v>
      </c>
      <c r="K94" s="147" t="s">
        <v>98</v>
      </c>
      <c r="L94" s="146" t="s">
        <v>98</v>
      </c>
      <c r="M94" s="147" t="s">
        <v>98</v>
      </c>
      <c r="N94" s="146" t="s">
        <v>98</v>
      </c>
      <c r="O94" s="147" t="s">
        <v>98</v>
      </c>
    </row>
    <row r="95" spans="2:15">
      <c r="B95" s="347" t="s">
        <v>227</v>
      </c>
      <c r="C95" s="348"/>
      <c r="D95" s="138" t="s">
        <v>98</v>
      </c>
      <c r="E95" s="138" t="s">
        <v>183</v>
      </c>
      <c r="F95" s="146" t="s">
        <v>193</v>
      </c>
      <c r="G95" s="146" t="s">
        <v>192</v>
      </c>
      <c r="H95" s="146">
        <v>10</v>
      </c>
      <c r="I95" s="168" t="s">
        <v>227</v>
      </c>
      <c r="J95" s="146" t="s">
        <v>98</v>
      </c>
      <c r="K95" s="147" t="s">
        <v>98</v>
      </c>
      <c r="L95" s="146" t="s">
        <v>98</v>
      </c>
      <c r="M95" s="147" t="s">
        <v>98</v>
      </c>
      <c r="N95" s="146" t="s">
        <v>98</v>
      </c>
      <c r="O95" s="147" t="s">
        <v>98</v>
      </c>
    </row>
    <row r="96" spans="2:15">
      <c r="B96" s="347" t="s">
        <v>164</v>
      </c>
      <c r="C96" s="348"/>
      <c r="D96" s="138" t="s">
        <v>180</v>
      </c>
      <c r="E96" s="138" t="s">
        <v>183</v>
      </c>
      <c r="F96" s="146" t="s">
        <v>203</v>
      </c>
      <c r="G96" s="146" t="s">
        <v>190</v>
      </c>
      <c r="H96" s="146">
        <v>11</v>
      </c>
      <c r="I96" s="138" t="s">
        <v>180</v>
      </c>
      <c r="J96" s="146" t="s">
        <v>98</v>
      </c>
      <c r="K96" s="147" t="s">
        <v>98</v>
      </c>
      <c r="L96" s="146" t="s">
        <v>98</v>
      </c>
      <c r="M96" s="147" t="s">
        <v>98</v>
      </c>
      <c r="N96" s="146">
        <v>9</v>
      </c>
      <c r="O96" s="147" t="s">
        <v>180</v>
      </c>
    </row>
    <row r="97" spans="2:15">
      <c r="B97" s="347" t="s">
        <v>165</v>
      </c>
      <c r="C97" s="348"/>
      <c r="D97" s="138" t="s">
        <v>98</v>
      </c>
      <c r="E97" s="145" t="s">
        <v>182</v>
      </c>
      <c r="F97" s="146" t="s">
        <v>98</v>
      </c>
      <c r="G97" s="146" t="s">
        <v>98</v>
      </c>
      <c r="H97" s="146">
        <v>12</v>
      </c>
      <c r="I97" s="168" t="s">
        <v>165</v>
      </c>
      <c r="J97" s="146">
        <v>7</v>
      </c>
      <c r="K97" s="168" t="s">
        <v>136</v>
      </c>
      <c r="L97" s="146">
        <v>8</v>
      </c>
      <c r="M97" s="168" t="s">
        <v>129</v>
      </c>
      <c r="N97" s="146">
        <v>10</v>
      </c>
      <c r="O97" s="169" t="s">
        <v>228</v>
      </c>
    </row>
    <row r="98" spans="2:15">
      <c r="B98" s="347" t="s">
        <v>166</v>
      </c>
      <c r="C98" s="348"/>
      <c r="D98" s="138" t="s">
        <v>224</v>
      </c>
      <c r="E98" s="138" t="s">
        <v>183</v>
      </c>
      <c r="F98" s="146" t="s">
        <v>98</v>
      </c>
      <c r="G98" s="146" t="s">
        <v>98</v>
      </c>
      <c r="H98" s="146">
        <v>13</v>
      </c>
      <c r="I98" s="168" t="s">
        <v>166</v>
      </c>
      <c r="J98" s="146" t="s">
        <v>98</v>
      </c>
      <c r="K98" s="147" t="s">
        <v>98</v>
      </c>
      <c r="L98" s="146" t="s">
        <v>98</v>
      </c>
      <c r="M98" s="147" t="s">
        <v>98</v>
      </c>
      <c r="N98" s="146" t="s">
        <v>98</v>
      </c>
      <c r="O98" s="147" t="s">
        <v>98</v>
      </c>
    </row>
    <row r="99" spans="2:15">
      <c r="B99" s="347" t="s">
        <v>167</v>
      </c>
      <c r="C99" s="348"/>
      <c r="D99" s="138" t="s">
        <v>224</v>
      </c>
      <c r="E99" s="138" t="s">
        <v>183</v>
      </c>
      <c r="F99" s="146" t="s">
        <v>98</v>
      </c>
      <c r="G99" s="146" t="s">
        <v>98</v>
      </c>
      <c r="H99" s="146" t="s">
        <v>98</v>
      </c>
      <c r="I99" s="147" t="s">
        <v>98</v>
      </c>
      <c r="J99" s="146" t="s">
        <v>98</v>
      </c>
      <c r="K99" s="147" t="s">
        <v>98</v>
      </c>
      <c r="L99" s="146" t="s">
        <v>98</v>
      </c>
      <c r="M99" s="147" t="s">
        <v>98</v>
      </c>
      <c r="N99" s="146">
        <v>12</v>
      </c>
      <c r="O99" s="169" t="s">
        <v>167</v>
      </c>
    </row>
    <row r="100" spans="2:15" ht="17.25" thickBot="1">
      <c r="B100" s="345" t="s">
        <v>177</v>
      </c>
      <c r="C100" s="346"/>
      <c r="D100" s="148" t="s">
        <v>179</v>
      </c>
      <c r="E100" s="170" t="s">
        <v>183</v>
      </c>
      <c r="F100" s="148" t="s">
        <v>98</v>
      </c>
      <c r="G100" s="148" t="s">
        <v>98</v>
      </c>
      <c r="H100" s="148">
        <v>14</v>
      </c>
      <c r="I100" s="149" t="s">
        <v>177</v>
      </c>
      <c r="J100" s="148">
        <v>8</v>
      </c>
      <c r="K100" s="149" t="s">
        <v>177</v>
      </c>
      <c r="L100" s="148">
        <v>9</v>
      </c>
      <c r="M100" s="149" t="s">
        <v>177</v>
      </c>
      <c r="N100" s="148">
        <v>13</v>
      </c>
      <c r="O100" s="186" t="s">
        <v>177</v>
      </c>
    </row>
    <row r="101" spans="2:15" ht="4.5" customHeight="1">
      <c r="H101" s="173"/>
    </row>
    <row r="102" spans="2:15">
      <c r="B102" s="140"/>
      <c r="C102" s="140"/>
    </row>
  </sheetData>
  <mergeCells count="28">
    <mergeCell ref="B85:C85"/>
    <mergeCell ref="B87:C87"/>
    <mergeCell ref="L79:M79"/>
    <mergeCell ref="N79:O79"/>
    <mergeCell ref="H78:O78"/>
    <mergeCell ref="F78:G79"/>
    <mergeCell ref="B78:E79"/>
    <mergeCell ref="H79:I79"/>
    <mergeCell ref="J79:K79"/>
    <mergeCell ref="B80:C80"/>
    <mergeCell ref="B81:C81"/>
    <mergeCell ref="B82:C82"/>
    <mergeCell ref="B83:C83"/>
    <mergeCell ref="B84:C84"/>
    <mergeCell ref="B86:C86"/>
    <mergeCell ref="B100:C100"/>
    <mergeCell ref="B88:C88"/>
    <mergeCell ref="B89:C89"/>
    <mergeCell ref="B91:C91"/>
    <mergeCell ref="B92:C92"/>
    <mergeCell ref="B93:C93"/>
    <mergeCell ref="B94:C94"/>
    <mergeCell ref="B95:C95"/>
    <mergeCell ref="B96:C96"/>
    <mergeCell ref="B97:C97"/>
    <mergeCell ref="B98:C98"/>
    <mergeCell ref="B99:C99"/>
    <mergeCell ref="B90:C90"/>
  </mergeCells>
  <phoneticPr fontId="1" type="noConversion"/>
  <pageMargins left="0.7" right="0.7" top="0.75" bottom="0.75" header="0.3" footer="0.3"/>
  <pageSetup paperSize="9" scale="4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theme="1"/>
    <pageSetUpPr fitToPage="1"/>
  </sheetPr>
  <dimension ref="A1:V47"/>
  <sheetViews>
    <sheetView showGridLines="0" view="pageBreakPreview" zoomScale="85" zoomScaleNormal="85" zoomScaleSheetLayoutView="85" workbookViewId="0">
      <pane ySplit="5" topLeftCell="A6" activePane="bottomLeft" state="frozen"/>
      <selection pane="bottomLeft"/>
    </sheetView>
  </sheetViews>
  <sheetFormatPr defaultRowHeight="13.5"/>
  <cols>
    <col min="1" max="1" width="4.75" style="7" customWidth="1"/>
    <col min="2" max="22" width="9.625" style="7" customWidth="1"/>
    <col min="23" max="259" width="9" style="7"/>
    <col min="260" max="260" width="2.625" style="7" customWidth="1"/>
    <col min="261" max="262" width="15.625" style="7" customWidth="1"/>
    <col min="263" max="263" width="36" style="7" customWidth="1"/>
    <col min="264" max="264" width="8.5" style="7" customWidth="1"/>
    <col min="265" max="265" width="0" style="7" hidden="1" customWidth="1"/>
    <col min="266" max="269" width="61.125" style="7" customWidth="1"/>
    <col min="270" max="270" width="2.625" style="7" customWidth="1"/>
    <col min="271" max="515" width="9" style="7"/>
    <col min="516" max="516" width="2.625" style="7" customWidth="1"/>
    <col min="517" max="518" width="15.625" style="7" customWidth="1"/>
    <col min="519" max="519" width="36" style="7" customWidth="1"/>
    <col min="520" max="520" width="8.5" style="7" customWidth="1"/>
    <col min="521" max="521" width="0" style="7" hidden="1" customWidth="1"/>
    <col min="522" max="525" width="61.125" style="7" customWidth="1"/>
    <col min="526" max="526" width="2.625" style="7" customWidth="1"/>
    <col min="527" max="771" width="9" style="7"/>
    <col min="772" max="772" width="2.625" style="7" customWidth="1"/>
    <col min="773" max="774" width="15.625" style="7" customWidth="1"/>
    <col min="775" max="775" width="36" style="7" customWidth="1"/>
    <col min="776" max="776" width="8.5" style="7" customWidth="1"/>
    <col min="777" max="777" width="0" style="7" hidden="1" customWidth="1"/>
    <col min="778" max="781" width="61.125" style="7" customWidth="1"/>
    <col min="782" max="782" width="2.625" style="7" customWidth="1"/>
    <col min="783" max="1027" width="9" style="7"/>
    <col min="1028" max="1028" width="2.625" style="7" customWidth="1"/>
    <col min="1029" max="1030" width="15.625" style="7" customWidth="1"/>
    <col min="1031" max="1031" width="36" style="7" customWidth="1"/>
    <col min="1032" max="1032" width="8.5" style="7" customWidth="1"/>
    <col min="1033" max="1033" width="0" style="7" hidden="1" customWidth="1"/>
    <col min="1034" max="1037" width="61.125" style="7" customWidth="1"/>
    <col min="1038" max="1038" width="2.625" style="7" customWidth="1"/>
    <col min="1039" max="1283" width="9" style="7"/>
    <col min="1284" max="1284" width="2.625" style="7" customWidth="1"/>
    <col min="1285" max="1286" width="15.625" style="7" customWidth="1"/>
    <col min="1287" max="1287" width="36" style="7" customWidth="1"/>
    <col min="1288" max="1288" width="8.5" style="7" customWidth="1"/>
    <col min="1289" max="1289" width="0" style="7" hidden="1" customWidth="1"/>
    <col min="1290" max="1293" width="61.125" style="7" customWidth="1"/>
    <col min="1294" max="1294" width="2.625" style="7" customWidth="1"/>
    <col min="1295" max="1539" width="9" style="7"/>
    <col min="1540" max="1540" width="2.625" style="7" customWidth="1"/>
    <col min="1541" max="1542" width="15.625" style="7" customWidth="1"/>
    <col min="1543" max="1543" width="36" style="7" customWidth="1"/>
    <col min="1544" max="1544" width="8.5" style="7" customWidth="1"/>
    <col min="1545" max="1545" width="0" style="7" hidden="1" customWidth="1"/>
    <col min="1546" max="1549" width="61.125" style="7" customWidth="1"/>
    <col min="1550" max="1550" width="2.625" style="7" customWidth="1"/>
    <col min="1551" max="1795" width="9" style="7"/>
    <col min="1796" max="1796" width="2.625" style="7" customWidth="1"/>
    <col min="1797" max="1798" width="15.625" style="7" customWidth="1"/>
    <col min="1799" max="1799" width="36" style="7" customWidth="1"/>
    <col min="1800" max="1800" width="8.5" style="7" customWidth="1"/>
    <col min="1801" max="1801" width="0" style="7" hidden="1" customWidth="1"/>
    <col min="1802" max="1805" width="61.125" style="7" customWidth="1"/>
    <col min="1806" max="1806" width="2.625" style="7" customWidth="1"/>
    <col min="1807" max="2051" width="9" style="7"/>
    <col min="2052" max="2052" width="2.625" style="7" customWidth="1"/>
    <col min="2053" max="2054" width="15.625" style="7" customWidth="1"/>
    <col min="2055" max="2055" width="36" style="7" customWidth="1"/>
    <col min="2056" max="2056" width="8.5" style="7" customWidth="1"/>
    <col min="2057" max="2057" width="0" style="7" hidden="1" customWidth="1"/>
    <col min="2058" max="2061" width="61.125" style="7" customWidth="1"/>
    <col min="2062" max="2062" width="2.625" style="7" customWidth="1"/>
    <col min="2063" max="2307" width="9" style="7"/>
    <col min="2308" max="2308" width="2.625" style="7" customWidth="1"/>
    <col min="2309" max="2310" width="15.625" style="7" customWidth="1"/>
    <col min="2311" max="2311" width="36" style="7" customWidth="1"/>
    <col min="2312" max="2312" width="8.5" style="7" customWidth="1"/>
    <col min="2313" max="2313" width="0" style="7" hidden="1" customWidth="1"/>
    <col min="2314" max="2317" width="61.125" style="7" customWidth="1"/>
    <col min="2318" max="2318" width="2.625" style="7" customWidth="1"/>
    <col min="2319" max="2563" width="9" style="7"/>
    <col min="2564" max="2564" width="2.625" style="7" customWidth="1"/>
    <col min="2565" max="2566" width="15.625" style="7" customWidth="1"/>
    <col min="2567" max="2567" width="36" style="7" customWidth="1"/>
    <col min="2568" max="2568" width="8.5" style="7" customWidth="1"/>
    <col min="2569" max="2569" width="0" style="7" hidden="1" customWidth="1"/>
    <col min="2570" max="2573" width="61.125" style="7" customWidth="1"/>
    <col min="2574" max="2574" width="2.625" style="7" customWidth="1"/>
    <col min="2575" max="2819" width="9" style="7"/>
    <col min="2820" max="2820" width="2.625" style="7" customWidth="1"/>
    <col min="2821" max="2822" width="15.625" style="7" customWidth="1"/>
    <col min="2823" max="2823" width="36" style="7" customWidth="1"/>
    <col min="2824" max="2824" width="8.5" style="7" customWidth="1"/>
    <col min="2825" max="2825" width="0" style="7" hidden="1" customWidth="1"/>
    <col min="2826" max="2829" width="61.125" style="7" customWidth="1"/>
    <col min="2830" max="2830" width="2.625" style="7" customWidth="1"/>
    <col min="2831" max="3075" width="9" style="7"/>
    <col min="3076" max="3076" width="2.625" style="7" customWidth="1"/>
    <col min="3077" max="3078" width="15.625" style="7" customWidth="1"/>
    <col min="3079" max="3079" width="36" style="7" customWidth="1"/>
    <col min="3080" max="3080" width="8.5" style="7" customWidth="1"/>
    <col min="3081" max="3081" width="0" style="7" hidden="1" customWidth="1"/>
    <col min="3082" max="3085" width="61.125" style="7" customWidth="1"/>
    <col min="3086" max="3086" width="2.625" style="7" customWidth="1"/>
    <col min="3087" max="3331" width="9" style="7"/>
    <col min="3332" max="3332" width="2.625" style="7" customWidth="1"/>
    <col min="3333" max="3334" width="15.625" style="7" customWidth="1"/>
    <col min="3335" max="3335" width="36" style="7" customWidth="1"/>
    <col min="3336" max="3336" width="8.5" style="7" customWidth="1"/>
    <col min="3337" max="3337" width="0" style="7" hidden="1" customWidth="1"/>
    <col min="3338" max="3341" width="61.125" style="7" customWidth="1"/>
    <col min="3342" max="3342" width="2.625" style="7" customWidth="1"/>
    <col min="3343" max="3587" width="9" style="7"/>
    <col min="3588" max="3588" width="2.625" style="7" customWidth="1"/>
    <col min="3589" max="3590" width="15.625" style="7" customWidth="1"/>
    <col min="3591" max="3591" width="36" style="7" customWidth="1"/>
    <col min="3592" max="3592" width="8.5" style="7" customWidth="1"/>
    <col min="3593" max="3593" width="0" style="7" hidden="1" customWidth="1"/>
    <col min="3594" max="3597" width="61.125" style="7" customWidth="1"/>
    <col min="3598" max="3598" width="2.625" style="7" customWidth="1"/>
    <col min="3599" max="3843" width="9" style="7"/>
    <col min="3844" max="3844" width="2.625" style="7" customWidth="1"/>
    <col min="3845" max="3846" width="15.625" style="7" customWidth="1"/>
    <col min="3847" max="3847" width="36" style="7" customWidth="1"/>
    <col min="3848" max="3848" width="8.5" style="7" customWidth="1"/>
    <col min="3849" max="3849" width="0" style="7" hidden="1" customWidth="1"/>
    <col min="3850" max="3853" width="61.125" style="7" customWidth="1"/>
    <col min="3854" max="3854" width="2.625" style="7" customWidth="1"/>
    <col min="3855" max="4099" width="9" style="7"/>
    <col min="4100" max="4100" width="2.625" style="7" customWidth="1"/>
    <col min="4101" max="4102" width="15.625" style="7" customWidth="1"/>
    <col min="4103" max="4103" width="36" style="7" customWidth="1"/>
    <col min="4104" max="4104" width="8.5" style="7" customWidth="1"/>
    <col min="4105" max="4105" width="0" style="7" hidden="1" customWidth="1"/>
    <col min="4106" max="4109" width="61.125" style="7" customWidth="1"/>
    <col min="4110" max="4110" width="2.625" style="7" customWidth="1"/>
    <col min="4111" max="4355" width="9" style="7"/>
    <col min="4356" max="4356" width="2.625" style="7" customWidth="1"/>
    <col min="4357" max="4358" width="15.625" style="7" customWidth="1"/>
    <col min="4359" max="4359" width="36" style="7" customWidth="1"/>
    <col min="4360" max="4360" width="8.5" style="7" customWidth="1"/>
    <col min="4361" max="4361" width="0" style="7" hidden="1" customWidth="1"/>
    <col min="4362" max="4365" width="61.125" style="7" customWidth="1"/>
    <col min="4366" max="4366" width="2.625" style="7" customWidth="1"/>
    <col min="4367" max="4611" width="9" style="7"/>
    <col min="4612" max="4612" width="2.625" style="7" customWidth="1"/>
    <col min="4613" max="4614" width="15.625" style="7" customWidth="1"/>
    <col min="4615" max="4615" width="36" style="7" customWidth="1"/>
    <col min="4616" max="4616" width="8.5" style="7" customWidth="1"/>
    <col min="4617" max="4617" width="0" style="7" hidden="1" customWidth="1"/>
    <col min="4618" max="4621" width="61.125" style="7" customWidth="1"/>
    <col min="4622" max="4622" width="2.625" style="7" customWidth="1"/>
    <col min="4623" max="4867" width="9" style="7"/>
    <col min="4868" max="4868" width="2.625" style="7" customWidth="1"/>
    <col min="4869" max="4870" width="15.625" style="7" customWidth="1"/>
    <col min="4871" max="4871" width="36" style="7" customWidth="1"/>
    <col min="4872" max="4872" width="8.5" style="7" customWidth="1"/>
    <col min="4873" max="4873" width="0" style="7" hidden="1" customWidth="1"/>
    <col min="4874" max="4877" width="61.125" style="7" customWidth="1"/>
    <col min="4878" max="4878" width="2.625" style="7" customWidth="1"/>
    <col min="4879" max="5123" width="9" style="7"/>
    <col min="5124" max="5124" width="2.625" style="7" customWidth="1"/>
    <col min="5125" max="5126" width="15.625" style="7" customWidth="1"/>
    <col min="5127" max="5127" width="36" style="7" customWidth="1"/>
    <col min="5128" max="5128" width="8.5" style="7" customWidth="1"/>
    <col min="5129" max="5129" width="0" style="7" hidden="1" customWidth="1"/>
    <col min="5130" max="5133" width="61.125" style="7" customWidth="1"/>
    <col min="5134" max="5134" width="2.625" style="7" customWidth="1"/>
    <col min="5135" max="5379" width="9" style="7"/>
    <col min="5380" max="5380" width="2.625" style="7" customWidth="1"/>
    <col min="5381" max="5382" width="15.625" style="7" customWidth="1"/>
    <col min="5383" max="5383" width="36" style="7" customWidth="1"/>
    <col min="5384" max="5384" width="8.5" style="7" customWidth="1"/>
    <col min="5385" max="5385" width="0" style="7" hidden="1" customWidth="1"/>
    <col min="5386" max="5389" width="61.125" style="7" customWidth="1"/>
    <col min="5390" max="5390" width="2.625" style="7" customWidth="1"/>
    <col min="5391" max="5635" width="9" style="7"/>
    <col min="5636" max="5636" width="2.625" style="7" customWidth="1"/>
    <col min="5637" max="5638" width="15.625" style="7" customWidth="1"/>
    <col min="5639" max="5639" width="36" style="7" customWidth="1"/>
    <col min="5640" max="5640" width="8.5" style="7" customWidth="1"/>
    <col min="5641" max="5641" width="0" style="7" hidden="1" customWidth="1"/>
    <col min="5642" max="5645" width="61.125" style="7" customWidth="1"/>
    <col min="5646" max="5646" width="2.625" style="7" customWidth="1"/>
    <col min="5647" max="5891" width="9" style="7"/>
    <col min="5892" max="5892" width="2.625" style="7" customWidth="1"/>
    <col min="5893" max="5894" width="15.625" style="7" customWidth="1"/>
    <col min="5895" max="5895" width="36" style="7" customWidth="1"/>
    <col min="5896" max="5896" width="8.5" style="7" customWidth="1"/>
    <col min="5897" max="5897" width="0" style="7" hidden="1" customWidth="1"/>
    <col min="5898" max="5901" width="61.125" style="7" customWidth="1"/>
    <col min="5902" max="5902" width="2.625" style="7" customWidth="1"/>
    <col min="5903" max="6147" width="9" style="7"/>
    <col min="6148" max="6148" width="2.625" style="7" customWidth="1"/>
    <col min="6149" max="6150" width="15.625" style="7" customWidth="1"/>
    <col min="6151" max="6151" width="36" style="7" customWidth="1"/>
    <col min="6152" max="6152" width="8.5" style="7" customWidth="1"/>
    <col min="6153" max="6153" width="0" style="7" hidden="1" customWidth="1"/>
    <col min="6154" max="6157" width="61.125" style="7" customWidth="1"/>
    <col min="6158" max="6158" width="2.625" style="7" customWidth="1"/>
    <col min="6159" max="6403" width="9" style="7"/>
    <col min="6404" max="6404" width="2.625" style="7" customWidth="1"/>
    <col min="6405" max="6406" width="15.625" style="7" customWidth="1"/>
    <col min="6407" max="6407" width="36" style="7" customWidth="1"/>
    <col min="6408" max="6408" width="8.5" style="7" customWidth="1"/>
    <col min="6409" max="6409" width="0" style="7" hidden="1" customWidth="1"/>
    <col min="6410" max="6413" width="61.125" style="7" customWidth="1"/>
    <col min="6414" max="6414" width="2.625" style="7" customWidth="1"/>
    <col min="6415" max="6659" width="9" style="7"/>
    <col min="6660" max="6660" width="2.625" style="7" customWidth="1"/>
    <col min="6661" max="6662" width="15.625" style="7" customWidth="1"/>
    <col min="6663" max="6663" width="36" style="7" customWidth="1"/>
    <col min="6664" max="6664" width="8.5" style="7" customWidth="1"/>
    <col min="6665" max="6665" width="0" style="7" hidden="1" customWidth="1"/>
    <col min="6666" max="6669" width="61.125" style="7" customWidth="1"/>
    <col min="6670" max="6670" width="2.625" style="7" customWidth="1"/>
    <col min="6671" max="6915" width="9" style="7"/>
    <col min="6916" max="6916" width="2.625" style="7" customWidth="1"/>
    <col min="6917" max="6918" width="15.625" style="7" customWidth="1"/>
    <col min="6919" max="6919" width="36" style="7" customWidth="1"/>
    <col min="6920" max="6920" width="8.5" style="7" customWidth="1"/>
    <col min="6921" max="6921" width="0" style="7" hidden="1" customWidth="1"/>
    <col min="6922" max="6925" width="61.125" style="7" customWidth="1"/>
    <col min="6926" max="6926" width="2.625" style="7" customWidth="1"/>
    <col min="6927" max="7171" width="9" style="7"/>
    <col min="7172" max="7172" width="2.625" style="7" customWidth="1"/>
    <col min="7173" max="7174" width="15.625" style="7" customWidth="1"/>
    <col min="7175" max="7175" width="36" style="7" customWidth="1"/>
    <col min="7176" max="7176" width="8.5" style="7" customWidth="1"/>
    <col min="7177" max="7177" width="0" style="7" hidden="1" customWidth="1"/>
    <col min="7178" max="7181" width="61.125" style="7" customWidth="1"/>
    <col min="7182" max="7182" width="2.625" style="7" customWidth="1"/>
    <col min="7183" max="7427" width="9" style="7"/>
    <col min="7428" max="7428" width="2.625" style="7" customWidth="1"/>
    <col min="7429" max="7430" width="15.625" style="7" customWidth="1"/>
    <col min="7431" max="7431" width="36" style="7" customWidth="1"/>
    <col min="7432" max="7432" width="8.5" style="7" customWidth="1"/>
    <col min="7433" max="7433" width="0" style="7" hidden="1" customWidth="1"/>
    <col min="7434" max="7437" width="61.125" style="7" customWidth="1"/>
    <col min="7438" max="7438" width="2.625" style="7" customWidth="1"/>
    <col min="7439" max="7683" width="9" style="7"/>
    <col min="7684" max="7684" width="2.625" style="7" customWidth="1"/>
    <col min="7685" max="7686" width="15.625" style="7" customWidth="1"/>
    <col min="7687" max="7687" width="36" style="7" customWidth="1"/>
    <col min="7688" max="7688" width="8.5" style="7" customWidth="1"/>
    <col min="7689" max="7689" width="0" style="7" hidden="1" customWidth="1"/>
    <col min="7690" max="7693" width="61.125" style="7" customWidth="1"/>
    <col min="7694" max="7694" width="2.625" style="7" customWidth="1"/>
    <col min="7695" max="7939" width="9" style="7"/>
    <col min="7940" max="7940" width="2.625" style="7" customWidth="1"/>
    <col min="7941" max="7942" width="15.625" style="7" customWidth="1"/>
    <col min="7943" max="7943" width="36" style="7" customWidth="1"/>
    <col min="7944" max="7944" width="8.5" style="7" customWidth="1"/>
    <col min="7945" max="7945" width="0" style="7" hidden="1" customWidth="1"/>
    <col min="7946" max="7949" width="61.125" style="7" customWidth="1"/>
    <col min="7950" max="7950" width="2.625" style="7" customWidth="1"/>
    <col min="7951" max="8195" width="9" style="7"/>
    <col min="8196" max="8196" width="2.625" style="7" customWidth="1"/>
    <col min="8197" max="8198" width="15.625" style="7" customWidth="1"/>
    <col min="8199" max="8199" width="36" style="7" customWidth="1"/>
    <col min="8200" max="8200" width="8.5" style="7" customWidth="1"/>
    <col min="8201" max="8201" width="0" style="7" hidden="1" customWidth="1"/>
    <col min="8202" max="8205" width="61.125" style="7" customWidth="1"/>
    <col min="8206" max="8206" width="2.625" style="7" customWidth="1"/>
    <col min="8207" max="8451" width="9" style="7"/>
    <col min="8452" max="8452" width="2.625" style="7" customWidth="1"/>
    <col min="8453" max="8454" width="15.625" style="7" customWidth="1"/>
    <col min="8455" max="8455" width="36" style="7" customWidth="1"/>
    <col min="8456" max="8456" width="8.5" style="7" customWidth="1"/>
    <col min="8457" max="8457" width="0" style="7" hidden="1" customWidth="1"/>
    <col min="8458" max="8461" width="61.125" style="7" customWidth="1"/>
    <col min="8462" max="8462" width="2.625" style="7" customWidth="1"/>
    <col min="8463" max="8707" width="9" style="7"/>
    <col min="8708" max="8708" width="2.625" style="7" customWidth="1"/>
    <col min="8709" max="8710" width="15.625" style="7" customWidth="1"/>
    <col min="8711" max="8711" width="36" style="7" customWidth="1"/>
    <col min="8712" max="8712" width="8.5" style="7" customWidth="1"/>
    <col min="8713" max="8713" width="0" style="7" hidden="1" customWidth="1"/>
    <col min="8714" max="8717" width="61.125" style="7" customWidth="1"/>
    <col min="8718" max="8718" width="2.625" style="7" customWidth="1"/>
    <col min="8719" max="8963" width="9" style="7"/>
    <col min="8964" max="8964" width="2.625" style="7" customWidth="1"/>
    <col min="8965" max="8966" width="15.625" style="7" customWidth="1"/>
    <col min="8967" max="8967" width="36" style="7" customWidth="1"/>
    <col min="8968" max="8968" width="8.5" style="7" customWidth="1"/>
    <col min="8969" max="8969" width="0" style="7" hidden="1" customWidth="1"/>
    <col min="8970" max="8973" width="61.125" style="7" customWidth="1"/>
    <col min="8974" max="8974" width="2.625" style="7" customWidth="1"/>
    <col min="8975" max="9219" width="9" style="7"/>
    <col min="9220" max="9220" width="2.625" style="7" customWidth="1"/>
    <col min="9221" max="9222" width="15.625" style="7" customWidth="1"/>
    <col min="9223" max="9223" width="36" style="7" customWidth="1"/>
    <col min="9224" max="9224" width="8.5" style="7" customWidth="1"/>
    <col min="9225" max="9225" width="0" style="7" hidden="1" customWidth="1"/>
    <col min="9226" max="9229" width="61.125" style="7" customWidth="1"/>
    <col min="9230" max="9230" width="2.625" style="7" customWidth="1"/>
    <col min="9231" max="9475" width="9" style="7"/>
    <col min="9476" max="9476" width="2.625" style="7" customWidth="1"/>
    <col min="9477" max="9478" width="15.625" style="7" customWidth="1"/>
    <col min="9479" max="9479" width="36" style="7" customWidth="1"/>
    <col min="9480" max="9480" width="8.5" style="7" customWidth="1"/>
    <col min="9481" max="9481" width="0" style="7" hidden="1" customWidth="1"/>
    <col min="9482" max="9485" width="61.125" style="7" customWidth="1"/>
    <col min="9486" max="9486" width="2.625" style="7" customWidth="1"/>
    <col min="9487" max="9731" width="9" style="7"/>
    <col min="9732" max="9732" width="2.625" style="7" customWidth="1"/>
    <col min="9733" max="9734" width="15.625" style="7" customWidth="1"/>
    <col min="9735" max="9735" width="36" style="7" customWidth="1"/>
    <col min="9736" max="9736" width="8.5" style="7" customWidth="1"/>
    <col min="9737" max="9737" width="0" style="7" hidden="1" customWidth="1"/>
    <col min="9738" max="9741" width="61.125" style="7" customWidth="1"/>
    <col min="9742" max="9742" width="2.625" style="7" customWidth="1"/>
    <col min="9743" max="9987" width="9" style="7"/>
    <col min="9988" max="9988" width="2.625" style="7" customWidth="1"/>
    <col min="9989" max="9990" width="15.625" style="7" customWidth="1"/>
    <col min="9991" max="9991" width="36" style="7" customWidth="1"/>
    <col min="9992" max="9992" width="8.5" style="7" customWidth="1"/>
    <col min="9993" max="9993" width="0" style="7" hidden="1" customWidth="1"/>
    <col min="9994" max="9997" width="61.125" style="7" customWidth="1"/>
    <col min="9998" max="9998" width="2.625" style="7" customWidth="1"/>
    <col min="9999" max="10243" width="9" style="7"/>
    <col min="10244" max="10244" width="2.625" style="7" customWidth="1"/>
    <col min="10245" max="10246" width="15.625" style="7" customWidth="1"/>
    <col min="10247" max="10247" width="36" style="7" customWidth="1"/>
    <col min="10248" max="10248" width="8.5" style="7" customWidth="1"/>
    <col min="10249" max="10249" width="0" style="7" hidden="1" customWidth="1"/>
    <col min="10250" max="10253" width="61.125" style="7" customWidth="1"/>
    <col min="10254" max="10254" width="2.625" style="7" customWidth="1"/>
    <col min="10255" max="10499" width="9" style="7"/>
    <col min="10500" max="10500" width="2.625" style="7" customWidth="1"/>
    <col min="10501" max="10502" width="15.625" style="7" customWidth="1"/>
    <col min="10503" max="10503" width="36" style="7" customWidth="1"/>
    <col min="10504" max="10504" width="8.5" style="7" customWidth="1"/>
    <col min="10505" max="10505" width="0" style="7" hidden="1" customWidth="1"/>
    <col min="10506" max="10509" width="61.125" style="7" customWidth="1"/>
    <col min="10510" max="10510" width="2.625" style="7" customWidth="1"/>
    <col min="10511" max="10755" width="9" style="7"/>
    <col min="10756" max="10756" width="2.625" style="7" customWidth="1"/>
    <col min="10757" max="10758" width="15.625" style="7" customWidth="1"/>
    <col min="10759" max="10759" width="36" style="7" customWidth="1"/>
    <col min="10760" max="10760" width="8.5" style="7" customWidth="1"/>
    <col min="10761" max="10761" width="0" style="7" hidden="1" customWidth="1"/>
    <col min="10762" max="10765" width="61.125" style="7" customWidth="1"/>
    <col min="10766" max="10766" width="2.625" style="7" customWidth="1"/>
    <col min="10767" max="11011" width="9" style="7"/>
    <col min="11012" max="11012" width="2.625" style="7" customWidth="1"/>
    <col min="11013" max="11014" width="15.625" style="7" customWidth="1"/>
    <col min="11015" max="11015" width="36" style="7" customWidth="1"/>
    <col min="11016" max="11016" width="8.5" style="7" customWidth="1"/>
    <col min="11017" max="11017" width="0" style="7" hidden="1" customWidth="1"/>
    <col min="11018" max="11021" width="61.125" style="7" customWidth="1"/>
    <col min="11022" max="11022" width="2.625" style="7" customWidth="1"/>
    <col min="11023" max="11267" width="9" style="7"/>
    <col min="11268" max="11268" width="2.625" style="7" customWidth="1"/>
    <col min="11269" max="11270" width="15.625" style="7" customWidth="1"/>
    <col min="11271" max="11271" width="36" style="7" customWidth="1"/>
    <col min="11272" max="11272" width="8.5" style="7" customWidth="1"/>
    <col min="11273" max="11273" width="0" style="7" hidden="1" customWidth="1"/>
    <col min="11274" max="11277" width="61.125" style="7" customWidth="1"/>
    <col min="11278" max="11278" width="2.625" style="7" customWidth="1"/>
    <col min="11279" max="11523" width="9" style="7"/>
    <col min="11524" max="11524" width="2.625" style="7" customWidth="1"/>
    <col min="11525" max="11526" width="15.625" style="7" customWidth="1"/>
    <col min="11527" max="11527" width="36" style="7" customWidth="1"/>
    <col min="11528" max="11528" width="8.5" style="7" customWidth="1"/>
    <col min="11529" max="11529" width="0" style="7" hidden="1" customWidth="1"/>
    <col min="11530" max="11533" width="61.125" style="7" customWidth="1"/>
    <col min="11534" max="11534" width="2.625" style="7" customWidth="1"/>
    <col min="11535" max="11779" width="9" style="7"/>
    <col min="11780" max="11780" width="2.625" style="7" customWidth="1"/>
    <col min="11781" max="11782" width="15.625" style="7" customWidth="1"/>
    <col min="11783" max="11783" width="36" style="7" customWidth="1"/>
    <col min="11784" max="11784" width="8.5" style="7" customWidth="1"/>
    <col min="11785" max="11785" width="0" style="7" hidden="1" customWidth="1"/>
    <col min="11786" max="11789" width="61.125" style="7" customWidth="1"/>
    <col min="11790" max="11790" width="2.625" style="7" customWidth="1"/>
    <col min="11791" max="12035" width="9" style="7"/>
    <col min="12036" max="12036" width="2.625" style="7" customWidth="1"/>
    <col min="12037" max="12038" width="15.625" style="7" customWidth="1"/>
    <col min="12039" max="12039" width="36" style="7" customWidth="1"/>
    <col min="12040" max="12040" width="8.5" style="7" customWidth="1"/>
    <col min="12041" max="12041" width="0" style="7" hidden="1" customWidth="1"/>
    <col min="12042" max="12045" width="61.125" style="7" customWidth="1"/>
    <col min="12046" max="12046" width="2.625" style="7" customWidth="1"/>
    <col min="12047" max="12291" width="9" style="7"/>
    <col min="12292" max="12292" width="2.625" style="7" customWidth="1"/>
    <col min="12293" max="12294" width="15.625" style="7" customWidth="1"/>
    <col min="12295" max="12295" width="36" style="7" customWidth="1"/>
    <col min="12296" max="12296" width="8.5" style="7" customWidth="1"/>
    <col min="12297" max="12297" width="0" style="7" hidden="1" customWidth="1"/>
    <col min="12298" max="12301" width="61.125" style="7" customWidth="1"/>
    <col min="12302" max="12302" width="2.625" style="7" customWidth="1"/>
    <col min="12303" max="12547" width="9" style="7"/>
    <col min="12548" max="12548" width="2.625" style="7" customWidth="1"/>
    <col min="12549" max="12550" width="15.625" style="7" customWidth="1"/>
    <col min="12551" max="12551" width="36" style="7" customWidth="1"/>
    <col min="12552" max="12552" width="8.5" style="7" customWidth="1"/>
    <col min="12553" max="12553" width="0" style="7" hidden="1" customWidth="1"/>
    <col min="12554" max="12557" width="61.125" style="7" customWidth="1"/>
    <col min="12558" max="12558" width="2.625" style="7" customWidth="1"/>
    <col min="12559" max="12803" width="9" style="7"/>
    <col min="12804" max="12804" width="2.625" style="7" customWidth="1"/>
    <col min="12805" max="12806" width="15.625" style="7" customWidth="1"/>
    <col min="12807" max="12807" width="36" style="7" customWidth="1"/>
    <col min="12808" max="12808" width="8.5" style="7" customWidth="1"/>
    <col min="12809" max="12809" width="0" style="7" hidden="1" customWidth="1"/>
    <col min="12810" max="12813" width="61.125" style="7" customWidth="1"/>
    <col min="12814" max="12814" width="2.625" style="7" customWidth="1"/>
    <col min="12815" max="13059" width="9" style="7"/>
    <col min="13060" max="13060" width="2.625" style="7" customWidth="1"/>
    <col min="13061" max="13062" width="15.625" style="7" customWidth="1"/>
    <col min="13063" max="13063" width="36" style="7" customWidth="1"/>
    <col min="13064" max="13064" width="8.5" style="7" customWidth="1"/>
    <col min="13065" max="13065" width="0" style="7" hidden="1" customWidth="1"/>
    <col min="13066" max="13069" width="61.125" style="7" customWidth="1"/>
    <col min="13070" max="13070" width="2.625" style="7" customWidth="1"/>
    <col min="13071" max="13315" width="9" style="7"/>
    <col min="13316" max="13316" width="2.625" style="7" customWidth="1"/>
    <col min="13317" max="13318" width="15.625" style="7" customWidth="1"/>
    <col min="13319" max="13319" width="36" style="7" customWidth="1"/>
    <col min="13320" max="13320" width="8.5" style="7" customWidth="1"/>
    <col min="13321" max="13321" width="0" style="7" hidden="1" customWidth="1"/>
    <col min="13322" max="13325" width="61.125" style="7" customWidth="1"/>
    <col min="13326" max="13326" width="2.625" style="7" customWidth="1"/>
    <col min="13327" max="13571" width="9" style="7"/>
    <col min="13572" max="13572" width="2.625" style="7" customWidth="1"/>
    <col min="13573" max="13574" width="15.625" style="7" customWidth="1"/>
    <col min="13575" max="13575" width="36" style="7" customWidth="1"/>
    <col min="13576" max="13576" width="8.5" style="7" customWidth="1"/>
    <col min="13577" max="13577" width="0" style="7" hidden="1" customWidth="1"/>
    <col min="13578" max="13581" width="61.125" style="7" customWidth="1"/>
    <col min="13582" max="13582" width="2.625" style="7" customWidth="1"/>
    <col min="13583" max="13827" width="9" style="7"/>
    <col min="13828" max="13828" width="2.625" style="7" customWidth="1"/>
    <col min="13829" max="13830" width="15.625" style="7" customWidth="1"/>
    <col min="13831" max="13831" width="36" style="7" customWidth="1"/>
    <col min="13832" max="13832" width="8.5" style="7" customWidth="1"/>
    <col min="13833" max="13833" width="0" style="7" hidden="1" customWidth="1"/>
    <col min="13834" max="13837" width="61.125" style="7" customWidth="1"/>
    <col min="13838" max="13838" width="2.625" style="7" customWidth="1"/>
    <col min="13839" max="14083" width="9" style="7"/>
    <col min="14084" max="14084" width="2.625" style="7" customWidth="1"/>
    <col min="14085" max="14086" width="15.625" style="7" customWidth="1"/>
    <col min="14087" max="14087" width="36" style="7" customWidth="1"/>
    <col min="14088" max="14088" width="8.5" style="7" customWidth="1"/>
    <col min="14089" max="14089" width="0" style="7" hidden="1" customWidth="1"/>
    <col min="14090" max="14093" width="61.125" style="7" customWidth="1"/>
    <col min="14094" max="14094" width="2.625" style="7" customWidth="1"/>
    <col min="14095" max="14339" width="9" style="7"/>
    <col min="14340" max="14340" width="2.625" style="7" customWidth="1"/>
    <col min="14341" max="14342" width="15.625" style="7" customWidth="1"/>
    <col min="14343" max="14343" width="36" style="7" customWidth="1"/>
    <col min="14344" max="14344" width="8.5" style="7" customWidth="1"/>
    <col min="14345" max="14345" width="0" style="7" hidden="1" customWidth="1"/>
    <col min="14346" max="14349" width="61.125" style="7" customWidth="1"/>
    <col min="14350" max="14350" width="2.625" style="7" customWidth="1"/>
    <col min="14351" max="14595" width="9" style="7"/>
    <col min="14596" max="14596" width="2.625" style="7" customWidth="1"/>
    <col min="14597" max="14598" width="15.625" style="7" customWidth="1"/>
    <col min="14599" max="14599" width="36" style="7" customWidth="1"/>
    <col min="14600" max="14600" width="8.5" style="7" customWidth="1"/>
    <col min="14601" max="14601" width="0" style="7" hidden="1" customWidth="1"/>
    <col min="14602" max="14605" width="61.125" style="7" customWidth="1"/>
    <col min="14606" max="14606" width="2.625" style="7" customWidth="1"/>
    <col min="14607" max="14851" width="9" style="7"/>
    <col min="14852" max="14852" width="2.625" style="7" customWidth="1"/>
    <col min="14853" max="14854" width="15.625" style="7" customWidth="1"/>
    <col min="14855" max="14855" width="36" style="7" customWidth="1"/>
    <col min="14856" max="14856" width="8.5" style="7" customWidth="1"/>
    <col min="14857" max="14857" width="0" style="7" hidden="1" customWidth="1"/>
    <col min="14858" max="14861" width="61.125" style="7" customWidth="1"/>
    <col min="14862" max="14862" width="2.625" style="7" customWidth="1"/>
    <col min="14863" max="15107" width="9" style="7"/>
    <col min="15108" max="15108" width="2.625" style="7" customWidth="1"/>
    <col min="15109" max="15110" width="15.625" style="7" customWidth="1"/>
    <col min="15111" max="15111" width="36" style="7" customWidth="1"/>
    <col min="15112" max="15112" width="8.5" style="7" customWidth="1"/>
    <col min="15113" max="15113" width="0" style="7" hidden="1" customWidth="1"/>
    <col min="15114" max="15117" width="61.125" style="7" customWidth="1"/>
    <col min="15118" max="15118" width="2.625" style="7" customWidth="1"/>
    <col min="15119" max="15363" width="9" style="7"/>
    <col min="15364" max="15364" width="2.625" style="7" customWidth="1"/>
    <col min="15365" max="15366" width="15.625" style="7" customWidth="1"/>
    <col min="15367" max="15367" width="36" style="7" customWidth="1"/>
    <col min="15368" max="15368" width="8.5" style="7" customWidth="1"/>
    <col min="15369" max="15369" width="0" style="7" hidden="1" customWidth="1"/>
    <col min="15370" max="15373" width="61.125" style="7" customWidth="1"/>
    <col min="15374" max="15374" width="2.625" style="7" customWidth="1"/>
    <col min="15375" max="15619" width="9" style="7"/>
    <col min="15620" max="15620" width="2.625" style="7" customWidth="1"/>
    <col min="15621" max="15622" width="15.625" style="7" customWidth="1"/>
    <col min="15623" max="15623" width="36" style="7" customWidth="1"/>
    <col min="15624" max="15624" width="8.5" style="7" customWidth="1"/>
    <col min="15625" max="15625" width="0" style="7" hidden="1" customWidth="1"/>
    <col min="15626" max="15629" width="61.125" style="7" customWidth="1"/>
    <col min="15630" max="15630" width="2.625" style="7" customWidth="1"/>
    <col min="15631" max="15875" width="9" style="7"/>
    <col min="15876" max="15876" width="2.625" style="7" customWidth="1"/>
    <col min="15877" max="15878" width="15.625" style="7" customWidth="1"/>
    <col min="15879" max="15879" width="36" style="7" customWidth="1"/>
    <col min="15880" max="15880" width="8.5" style="7" customWidth="1"/>
    <col min="15881" max="15881" width="0" style="7" hidden="1" customWidth="1"/>
    <col min="15882" max="15885" width="61.125" style="7" customWidth="1"/>
    <col min="15886" max="15886" width="2.625" style="7" customWidth="1"/>
    <col min="15887" max="16131" width="9" style="7"/>
    <col min="16132" max="16132" width="2.625" style="7" customWidth="1"/>
    <col min="16133" max="16134" width="15.625" style="7" customWidth="1"/>
    <col min="16135" max="16135" width="36" style="7" customWidth="1"/>
    <col min="16136" max="16136" width="8.5" style="7" customWidth="1"/>
    <col min="16137" max="16137" width="0" style="7" hidden="1" customWidth="1"/>
    <col min="16138" max="16141" width="61.125" style="7" customWidth="1"/>
    <col min="16142" max="16142" width="2.625" style="7" customWidth="1"/>
    <col min="16143" max="16377" width="9" style="7"/>
    <col min="16378" max="16384" width="9" style="7" customWidth="1"/>
  </cols>
  <sheetData>
    <row r="1" spans="1:22" ht="16.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1"/>
      <c r="P1" s="1"/>
    </row>
    <row r="2" spans="1:22" ht="18" customHeight="1">
      <c r="A2" s="113" t="s">
        <v>252</v>
      </c>
      <c r="B2" s="113"/>
      <c r="C2" s="136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</row>
    <row r="3" spans="1:22" ht="6" customHeight="1" thickBot="1">
      <c r="A3" s="35"/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</row>
    <row r="4" spans="1:22" ht="16.5" customHeight="1">
      <c r="A4" s="361" t="s">
        <v>174</v>
      </c>
      <c r="B4" s="363" t="s">
        <v>482</v>
      </c>
      <c r="C4" s="363"/>
      <c r="D4" s="363"/>
      <c r="E4" s="363"/>
      <c r="F4" s="363"/>
      <c r="G4" s="363"/>
      <c r="H4" s="363" t="s">
        <v>911</v>
      </c>
      <c r="I4" s="363"/>
      <c r="J4" s="363"/>
      <c r="K4" s="363"/>
      <c r="L4" s="363"/>
      <c r="M4" s="363"/>
      <c r="N4" s="363" t="s">
        <v>483</v>
      </c>
      <c r="O4" s="363"/>
      <c r="P4" s="363"/>
      <c r="Q4" s="363"/>
      <c r="R4" s="363"/>
      <c r="S4" s="363"/>
      <c r="T4" s="363"/>
      <c r="U4" s="363"/>
      <c r="V4" s="364"/>
    </row>
    <row r="5" spans="1:22" ht="16.5" customHeight="1" thickBot="1">
      <c r="A5" s="362"/>
      <c r="B5" s="75" t="s">
        <v>147</v>
      </c>
      <c r="C5" s="75" t="s">
        <v>234</v>
      </c>
      <c r="D5" s="75" t="s">
        <v>31</v>
      </c>
      <c r="E5" s="75" t="s">
        <v>32</v>
      </c>
      <c r="F5" s="75" t="s">
        <v>134</v>
      </c>
      <c r="G5" s="75" t="s">
        <v>109</v>
      </c>
      <c r="H5" s="75" t="s">
        <v>246</v>
      </c>
      <c r="I5" s="75" t="s">
        <v>247</v>
      </c>
      <c r="J5" s="75" t="s">
        <v>248</v>
      </c>
      <c r="K5" s="75" t="s">
        <v>532</v>
      </c>
      <c r="L5" s="75" t="s">
        <v>533</v>
      </c>
      <c r="M5" s="75" t="s">
        <v>249</v>
      </c>
      <c r="N5" s="75" t="s">
        <v>239</v>
      </c>
      <c r="O5" s="75" t="s">
        <v>240</v>
      </c>
      <c r="P5" s="75" t="s">
        <v>250</v>
      </c>
      <c r="Q5" s="75" t="s">
        <v>463</v>
      </c>
      <c r="R5" s="75" t="s">
        <v>464</v>
      </c>
      <c r="S5" s="75" t="s">
        <v>465</v>
      </c>
      <c r="T5" s="75" t="s">
        <v>466</v>
      </c>
      <c r="U5" s="75" t="s">
        <v>467</v>
      </c>
      <c r="V5" s="181" t="s">
        <v>468</v>
      </c>
    </row>
    <row r="6" spans="1:22" ht="16.5" customHeight="1">
      <c r="A6" s="214">
        <v>1</v>
      </c>
      <c r="B6" s="214" t="s">
        <v>241</v>
      </c>
      <c r="C6" s="214" t="s">
        <v>253</v>
      </c>
      <c r="D6" s="110" t="s">
        <v>294</v>
      </c>
      <c r="E6" s="215" t="s">
        <v>334</v>
      </c>
      <c r="F6" s="216" t="s">
        <v>236</v>
      </c>
      <c r="G6" s="216">
        <v>4</v>
      </c>
      <c r="H6" s="217" t="s">
        <v>759</v>
      </c>
      <c r="I6" s="217" t="s">
        <v>912</v>
      </c>
      <c r="J6" s="217" t="s">
        <v>913</v>
      </c>
      <c r="K6" s="217" t="s">
        <v>534</v>
      </c>
      <c r="L6" s="217" t="s">
        <v>534</v>
      </c>
      <c r="M6" s="217" t="s">
        <v>534</v>
      </c>
      <c r="N6" s="218" t="s">
        <v>373</v>
      </c>
      <c r="O6" s="218" t="s">
        <v>374</v>
      </c>
      <c r="P6" s="218" t="s">
        <v>485</v>
      </c>
      <c r="Q6" s="219" t="s">
        <v>462</v>
      </c>
      <c r="R6" s="219" t="s">
        <v>462</v>
      </c>
      <c r="S6" s="219" t="s">
        <v>462</v>
      </c>
      <c r="T6" s="219" t="s">
        <v>462</v>
      </c>
      <c r="U6" s="219" t="s">
        <v>462</v>
      </c>
      <c r="V6" s="219" t="s">
        <v>462</v>
      </c>
    </row>
    <row r="7" spans="1:22" ht="16.5" customHeight="1">
      <c r="A7" s="123">
        <v>2</v>
      </c>
      <c r="B7" s="123" t="s">
        <v>241</v>
      </c>
      <c r="C7" s="123" t="s">
        <v>254</v>
      </c>
      <c r="D7" s="111" t="s">
        <v>295</v>
      </c>
      <c r="E7" s="54" t="s">
        <v>335</v>
      </c>
      <c r="F7" s="108" t="s">
        <v>237</v>
      </c>
      <c r="G7" s="108">
        <v>3</v>
      </c>
      <c r="H7" s="193" t="s">
        <v>792</v>
      </c>
      <c r="I7" s="193" t="s">
        <v>914</v>
      </c>
      <c r="J7" s="193" t="s">
        <v>915</v>
      </c>
      <c r="K7" s="193" t="s">
        <v>534</v>
      </c>
      <c r="L7" s="193" t="s">
        <v>534</v>
      </c>
      <c r="M7" s="193" t="s">
        <v>534</v>
      </c>
      <c r="N7" s="109" t="s">
        <v>375</v>
      </c>
      <c r="O7" s="109" t="s">
        <v>376</v>
      </c>
      <c r="P7" s="56" t="s">
        <v>486</v>
      </c>
      <c r="Q7" s="178" t="s">
        <v>462</v>
      </c>
      <c r="R7" s="178" t="s">
        <v>462</v>
      </c>
      <c r="S7" s="178" t="s">
        <v>462</v>
      </c>
      <c r="T7" s="178" t="s">
        <v>462</v>
      </c>
      <c r="U7" s="178" t="s">
        <v>462</v>
      </c>
      <c r="V7" s="178" t="s">
        <v>462</v>
      </c>
    </row>
    <row r="8" spans="1:22" ht="16.5" customHeight="1">
      <c r="A8" s="123">
        <v>3</v>
      </c>
      <c r="B8" s="123" t="s">
        <v>241</v>
      </c>
      <c r="C8" s="123" t="s">
        <v>255</v>
      </c>
      <c r="D8" s="111" t="s">
        <v>296</v>
      </c>
      <c r="E8" s="54" t="s">
        <v>336</v>
      </c>
      <c r="F8" s="108" t="s">
        <v>236</v>
      </c>
      <c r="G8" s="108">
        <v>4</v>
      </c>
      <c r="H8" s="193" t="s">
        <v>789</v>
      </c>
      <c r="I8" s="193" t="s">
        <v>916</v>
      </c>
      <c r="J8" s="193" t="s">
        <v>917</v>
      </c>
      <c r="K8" s="193" t="s">
        <v>535</v>
      </c>
      <c r="L8" s="193" t="s">
        <v>535</v>
      </c>
      <c r="M8" s="193" t="s">
        <v>535</v>
      </c>
      <c r="N8" s="109" t="s">
        <v>377</v>
      </c>
      <c r="O8" s="109" t="s">
        <v>378</v>
      </c>
      <c r="P8" s="56" t="s">
        <v>487</v>
      </c>
      <c r="Q8" s="178" t="s">
        <v>462</v>
      </c>
      <c r="R8" s="178" t="s">
        <v>462</v>
      </c>
      <c r="S8" s="178"/>
      <c r="T8" s="178"/>
      <c r="U8" s="178"/>
      <c r="V8" s="178"/>
    </row>
    <row r="9" spans="1:22" ht="16.5" customHeight="1">
      <c r="A9" s="123">
        <v>4</v>
      </c>
      <c r="B9" s="123" t="s">
        <v>241</v>
      </c>
      <c r="C9" s="123" t="s">
        <v>256</v>
      </c>
      <c r="D9" s="111" t="s">
        <v>297</v>
      </c>
      <c r="E9" s="54" t="s">
        <v>337</v>
      </c>
      <c r="F9" s="108" t="s">
        <v>236</v>
      </c>
      <c r="G9" s="108">
        <v>4</v>
      </c>
      <c r="H9" s="193" t="s">
        <v>849</v>
      </c>
      <c r="I9" s="193" t="s">
        <v>850</v>
      </c>
      <c r="J9" s="193" t="s">
        <v>918</v>
      </c>
      <c r="K9" s="193" t="s">
        <v>534</v>
      </c>
      <c r="L9" s="193" t="s">
        <v>534</v>
      </c>
      <c r="M9" s="193" t="s">
        <v>534</v>
      </c>
      <c r="N9" s="109" t="s">
        <v>379</v>
      </c>
      <c r="O9" s="109" t="s">
        <v>380</v>
      </c>
      <c r="P9" s="56" t="s">
        <v>488</v>
      </c>
      <c r="Q9" s="178" t="s">
        <v>462</v>
      </c>
      <c r="R9" s="178" t="s">
        <v>462</v>
      </c>
      <c r="S9" s="178"/>
      <c r="T9" s="178"/>
      <c r="U9" s="178"/>
      <c r="V9" s="178"/>
    </row>
    <row r="10" spans="1:22" ht="16.5" customHeight="1">
      <c r="A10" s="123">
        <v>5</v>
      </c>
      <c r="B10" s="123" t="s">
        <v>233</v>
      </c>
      <c r="C10" s="123" t="s">
        <v>257</v>
      </c>
      <c r="D10" s="111" t="s">
        <v>298</v>
      </c>
      <c r="E10" s="54" t="s">
        <v>338</v>
      </c>
      <c r="F10" s="55" t="s">
        <v>236</v>
      </c>
      <c r="G10" s="55">
        <v>5</v>
      </c>
      <c r="H10" s="193" t="s">
        <v>776</v>
      </c>
      <c r="I10" s="193" t="s">
        <v>528</v>
      </c>
      <c r="J10" s="193" t="s">
        <v>919</v>
      </c>
      <c r="K10" s="193" t="s">
        <v>534</v>
      </c>
      <c r="L10" s="193" t="s">
        <v>534</v>
      </c>
      <c r="M10" s="193" t="s">
        <v>534</v>
      </c>
      <c r="N10" s="109" t="s">
        <v>381</v>
      </c>
      <c r="O10" s="109" t="s">
        <v>382</v>
      </c>
      <c r="P10" s="56" t="s">
        <v>489</v>
      </c>
      <c r="Q10" s="178" t="s">
        <v>462</v>
      </c>
      <c r="R10" s="178" t="s">
        <v>462</v>
      </c>
      <c r="S10" s="178" t="s">
        <v>462</v>
      </c>
      <c r="T10" s="178" t="s">
        <v>462</v>
      </c>
      <c r="U10" s="178" t="s">
        <v>462</v>
      </c>
      <c r="V10" s="178" t="s">
        <v>462</v>
      </c>
    </row>
    <row r="11" spans="1:22" ht="16.5" customHeight="1">
      <c r="A11" s="123">
        <v>6</v>
      </c>
      <c r="B11" s="123" t="s">
        <v>241</v>
      </c>
      <c r="C11" s="123" t="s">
        <v>258</v>
      </c>
      <c r="D11" s="111" t="s">
        <v>299</v>
      </c>
      <c r="E11" s="54" t="s">
        <v>339</v>
      </c>
      <c r="F11" s="108" t="s">
        <v>236</v>
      </c>
      <c r="G11" s="108">
        <v>4</v>
      </c>
      <c r="H11" s="193" t="s">
        <v>799</v>
      </c>
      <c r="I11" s="193" t="s">
        <v>800</v>
      </c>
      <c r="J11" s="193" t="s">
        <v>920</v>
      </c>
      <c r="K11" s="193" t="s">
        <v>534</v>
      </c>
      <c r="L11" s="193" t="s">
        <v>535</v>
      </c>
      <c r="M11" s="193" t="s">
        <v>535</v>
      </c>
      <c r="N11" s="109" t="s">
        <v>383</v>
      </c>
      <c r="O11" s="109" t="s">
        <v>384</v>
      </c>
      <c r="P11" s="56" t="s">
        <v>490</v>
      </c>
      <c r="Q11" s="178" t="s">
        <v>462</v>
      </c>
      <c r="R11" s="178" t="s">
        <v>462</v>
      </c>
      <c r="S11" s="178" t="s">
        <v>462</v>
      </c>
      <c r="T11" s="178" t="s">
        <v>462</v>
      </c>
      <c r="U11" s="178" t="s">
        <v>462</v>
      </c>
      <c r="V11" s="178" t="s">
        <v>462</v>
      </c>
    </row>
    <row r="12" spans="1:22" ht="16.5" customHeight="1">
      <c r="A12" s="123">
        <v>7</v>
      </c>
      <c r="B12" s="123" t="s">
        <v>241</v>
      </c>
      <c r="C12" s="123" t="s">
        <v>259</v>
      </c>
      <c r="D12" s="111" t="s">
        <v>300</v>
      </c>
      <c r="E12" s="57" t="s">
        <v>340</v>
      </c>
      <c r="F12" s="108" t="s">
        <v>236</v>
      </c>
      <c r="G12" s="108">
        <v>4</v>
      </c>
      <c r="H12" s="193" t="s">
        <v>765</v>
      </c>
      <c r="I12" s="193" t="s">
        <v>527</v>
      </c>
      <c r="J12" s="193" t="s">
        <v>921</v>
      </c>
      <c r="K12" s="193" t="s">
        <v>535</v>
      </c>
      <c r="L12" s="193" t="s">
        <v>535</v>
      </c>
      <c r="M12" s="193" t="s">
        <v>535</v>
      </c>
      <c r="N12" s="109" t="s">
        <v>385</v>
      </c>
      <c r="O12" s="109" t="s">
        <v>386</v>
      </c>
      <c r="P12" s="56" t="s">
        <v>491</v>
      </c>
      <c r="Q12" s="178" t="s">
        <v>462</v>
      </c>
      <c r="R12" s="178" t="s">
        <v>462</v>
      </c>
      <c r="S12" s="178" t="s">
        <v>462</v>
      </c>
      <c r="T12" s="178" t="s">
        <v>462</v>
      </c>
      <c r="U12" s="178" t="s">
        <v>462</v>
      </c>
      <c r="V12" s="178" t="s">
        <v>462</v>
      </c>
    </row>
    <row r="13" spans="1:22" ht="16.5" customHeight="1">
      <c r="A13" s="123">
        <v>8</v>
      </c>
      <c r="B13" s="123" t="s">
        <v>241</v>
      </c>
      <c r="C13" s="123" t="s">
        <v>260</v>
      </c>
      <c r="D13" s="111" t="s">
        <v>301</v>
      </c>
      <c r="E13" s="54" t="s">
        <v>341</v>
      </c>
      <c r="F13" s="108" t="s">
        <v>237</v>
      </c>
      <c r="G13" s="108">
        <v>3</v>
      </c>
      <c r="H13" s="193" t="s">
        <v>792</v>
      </c>
      <c r="I13" s="193" t="s">
        <v>914</v>
      </c>
      <c r="J13" s="193" t="s">
        <v>915</v>
      </c>
      <c r="K13" s="193" t="s">
        <v>534</v>
      </c>
      <c r="L13" s="193" t="s">
        <v>534</v>
      </c>
      <c r="M13" s="193" t="s">
        <v>534</v>
      </c>
      <c r="N13" s="109" t="s">
        <v>387</v>
      </c>
      <c r="O13" s="109" t="s">
        <v>388</v>
      </c>
      <c r="P13" s="56" t="s">
        <v>492</v>
      </c>
      <c r="Q13" s="178"/>
      <c r="R13" s="178"/>
      <c r="S13" s="178" t="s">
        <v>462</v>
      </c>
      <c r="T13" s="178" t="s">
        <v>462</v>
      </c>
      <c r="U13" s="178" t="s">
        <v>462</v>
      </c>
      <c r="V13" s="178" t="s">
        <v>462</v>
      </c>
    </row>
    <row r="14" spans="1:22" ht="16.5" customHeight="1">
      <c r="A14" s="123">
        <v>9</v>
      </c>
      <c r="B14" s="123" t="s">
        <v>241</v>
      </c>
      <c r="C14" s="123" t="s">
        <v>261</v>
      </c>
      <c r="D14" s="111" t="s">
        <v>302</v>
      </c>
      <c r="E14" s="54" t="s">
        <v>342</v>
      </c>
      <c r="F14" s="55" t="s">
        <v>238</v>
      </c>
      <c r="G14" s="55">
        <v>2</v>
      </c>
      <c r="H14" s="193" t="s">
        <v>759</v>
      </c>
      <c r="I14" s="193" t="s">
        <v>912</v>
      </c>
      <c r="J14" s="193" t="s">
        <v>913</v>
      </c>
      <c r="K14" s="193" t="s">
        <v>534</v>
      </c>
      <c r="L14" s="193" t="s">
        <v>534</v>
      </c>
      <c r="M14" s="193" t="s">
        <v>534</v>
      </c>
      <c r="N14" s="109" t="s">
        <v>389</v>
      </c>
      <c r="O14" s="109" t="s">
        <v>390</v>
      </c>
      <c r="P14" s="56" t="s">
        <v>493</v>
      </c>
      <c r="Q14" s="178"/>
      <c r="R14" s="178"/>
      <c r="S14" s="178" t="s">
        <v>462</v>
      </c>
      <c r="T14" s="178" t="s">
        <v>462</v>
      </c>
      <c r="U14" s="178" t="s">
        <v>462</v>
      </c>
      <c r="V14" s="178" t="s">
        <v>462</v>
      </c>
    </row>
    <row r="15" spans="1:22" ht="16.5" customHeight="1">
      <c r="A15" s="123">
        <v>10</v>
      </c>
      <c r="B15" s="123" t="s">
        <v>241</v>
      </c>
      <c r="C15" s="123" t="s">
        <v>262</v>
      </c>
      <c r="D15" s="111" t="s">
        <v>303</v>
      </c>
      <c r="E15" s="54" t="s">
        <v>343</v>
      </c>
      <c r="F15" s="55" t="s">
        <v>238</v>
      </c>
      <c r="G15" s="55">
        <v>2</v>
      </c>
      <c r="H15" s="193" t="s">
        <v>849</v>
      </c>
      <c r="I15" s="193" t="s">
        <v>850</v>
      </c>
      <c r="J15" s="193" t="s">
        <v>918</v>
      </c>
      <c r="K15" s="193" t="s">
        <v>534</v>
      </c>
      <c r="L15" s="193" t="s">
        <v>534</v>
      </c>
      <c r="M15" s="193" t="s">
        <v>534</v>
      </c>
      <c r="N15" s="109" t="s">
        <v>391</v>
      </c>
      <c r="O15" s="109" t="s">
        <v>392</v>
      </c>
      <c r="P15" s="56" t="s">
        <v>494</v>
      </c>
      <c r="Q15" s="178"/>
      <c r="R15" s="178"/>
      <c r="S15" s="178" t="s">
        <v>462</v>
      </c>
      <c r="T15" s="178" t="s">
        <v>462</v>
      </c>
      <c r="U15" s="178" t="s">
        <v>462</v>
      </c>
      <c r="V15" s="178"/>
    </row>
    <row r="16" spans="1:22" ht="16.5" customHeight="1">
      <c r="A16" s="123">
        <v>11</v>
      </c>
      <c r="B16" s="123" t="s">
        <v>241</v>
      </c>
      <c r="C16" s="123" t="s">
        <v>263</v>
      </c>
      <c r="D16" s="111" t="s">
        <v>304</v>
      </c>
      <c r="E16" s="54" t="s">
        <v>344</v>
      </c>
      <c r="F16" s="55" t="s">
        <v>238</v>
      </c>
      <c r="G16" s="55">
        <v>2</v>
      </c>
      <c r="H16" s="193" t="s">
        <v>849</v>
      </c>
      <c r="I16" s="193" t="s">
        <v>850</v>
      </c>
      <c r="J16" s="193" t="s">
        <v>918</v>
      </c>
      <c r="K16" s="193" t="s">
        <v>534</v>
      </c>
      <c r="L16" s="193" t="s">
        <v>534</v>
      </c>
      <c r="M16" s="193" t="s">
        <v>534</v>
      </c>
      <c r="N16" s="109" t="s">
        <v>393</v>
      </c>
      <c r="O16" s="109" t="s">
        <v>394</v>
      </c>
      <c r="P16" s="56" t="s">
        <v>495</v>
      </c>
      <c r="Q16" s="178"/>
      <c r="R16" s="178"/>
      <c r="S16" s="178" t="s">
        <v>462</v>
      </c>
      <c r="T16" s="178" t="s">
        <v>462</v>
      </c>
      <c r="U16" s="178" t="s">
        <v>462</v>
      </c>
      <c r="V16" s="178"/>
    </row>
    <row r="17" spans="1:22" ht="16.5" customHeight="1">
      <c r="A17" s="123">
        <v>12</v>
      </c>
      <c r="B17" s="123" t="s">
        <v>241</v>
      </c>
      <c r="C17" s="123" t="s">
        <v>264</v>
      </c>
      <c r="D17" s="111" t="s">
        <v>305</v>
      </c>
      <c r="E17" s="54" t="s">
        <v>345</v>
      </c>
      <c r="F17" s="55" t="s">
        <v>238</v>
      </c>
      <c r="G17" s="55">
        <v>2</v>
      </c>
      <c r="H17" s="193" t="s">
        <v>849</v>
      </c>
      <c r="I17" s="193" t="s">
        <v>850</v>
      </c>
      <c r="J17" s="193" t="s">
        <v>918</v>
      </c>
      <c r="K17" s="193" t="s">
        <v>534</v>
      </c>
      <c r="L17" s="193" t="s">
        <v>534</v>
      </c>
      <c r="M17" s="193" t="s">
        <v>534</v>
      </c>
      <c r="N17" s="109" t="s">
        <v>395</v>
      </c>
      <c r="O17" s="109" t="s">
        <v>396</v>
      </c>
      <c r="P17" s="56" t="s">
        <v>496</v>
      </c>
      <c r="Q17" s="178"/>
      <c r="R17" s="178"/>
      <c r="S17" s="178" t="s">
        <v>462</v>
      </c>
      <c r="T17" s="178" t="s">
        <v>462</v>
      </c>
      <c r="U17" s="178"/>
      <c r="V17" s="178" t="s">
        <v>462</v>
      </c>
    </row>
    <row r="18" spans="1:22" ht="16.5" customHeight="1">
      <c r="A18" s="123">
        <v>13</v>
      </c>
      <c r="B18" s="123" t="s">
        <v>241</v>
      </c>
      <c r="C18" s="123" t="s">
        <v>265</v>
      </c>
      <c r="D18" s="111" t="s">
        <v>306</v>
      </c>
      <c r="E18" s="54" t="s">
        <v>346</v>
      </c>
      <c r="F18" s="55" t="s">
        <v>238</v>
      </c>
      <c r="G18" s="55">
        <v>2</v>
      </c>
      <c r="H18" s="193" t="s">
        <v>789</v>
      </c>
      <c r="I18" s="193" t="s">
        <v>916</v>
      </c>
      <c r="J18" s="193" t="s">
        <v>917</v>
      </c>
      <c r="K18" s="193" t="s">
        <v>535</v>
      </c>
      <c r="L18" s="193" t="s">
        <v>535</v>
      </c>
      <c r="M18" s="193" t="s">
        <v>535</v>
      </c>
      <c r="N18" s="109" t="s">
        <v>397</v>
      </c>
      <c r="O18" s="109" t="s">
        <v>398</v>
      </c>
      <c r="P18" s="56" t="s">
        <v>497</v>
      </c>
      <c r="Q18" s="178" t="s">
        <v>462</v>
      </c>
      <c r="R18" s="178" t="s">
        <v>462</v>
      </c>
      <c r="S18" s="178"/>
      <c r="T18" s="178"/>
      <c r="U18" s="178"/>
      <c r="V18" s="178"/>
    </row>
    <row r="19" spans="1:22" ht="16.5" customHeight="1">
      <c r="A19" s="123">
        <v>14</v>
      </c>
      <c r="B19" s="123" t="s">
        <v>241</v>
      </c>
      <c r="C19" s="123" t="s">
        <v>266</v>
      </c>
      <c r="D19" s="111" t="s">
        <v>307</v>
      </c>
      <c r="E19" s="54" t="s">
        <v>347</v>
      </c>
      <c r="F19" s="108" t="s">
        <v>236</v>
      </c>
      <c r="G19" s="108">
        <v>4</v>
      </c>
      <c r="H19" s="193" t="s">
        <v>781</v>
      </c>
      <c r="I19" s="193" t="s">
        <v>529</v>
      </c>
      <c r="J19" s="193" t="s">
        <v>922</v>
      </c>
      <c r="K19" s="193" t="s">
        <v>534</v>
      </c>
      <c r="L19" s="193" t="s">
        <v>535</v>
      </c>
      <c r="M19" s="193" t="s">
        <v>535</v>
      </c>
      <c r="N19" s="109" t="s">
        <v>399</v>
      </c>
      <c r="O19" s="109" t="s">
        <v>400</v>
      </c>
      <c r="P19" s="56" t="s">
        <v>498</v>
      </c>
      <c r="Q19" s="178" t="s">
        <v>462</v>
      </c>
      <c r="R19" s="178" t="s">
        <v>462</v>
      </c>
      <c r="S19" s="178" t="s">
        <v>462</v>
      </c>
      <c r="T19" s="178" t="s">
        <v>462</v>
      </c>
      <c r="U19" s="178" t="s">
        <v>462</v>
      </c>
      <c r="V19" s="178" t="s">
        <v>462</v>
      </c>
    </row>
    <row r="20" spans="1:22" ht="16.5" customHeight="1">
      <c r="A20" s="123">
        <v>15</v>
      </c>
      <c r="B20" s="123" t="s">
        <v>241</v>
      </c>
      <c r="C20" s="123" t="s">
        <v>597</v>
      </c>
      <c r="D20" s="111" t="s">
        <v>588</v>
      </c>
      <c r="E20" s="54" t="s">
        <v>589</v>
      </c>
      <c r="F20" s="108" t="s">
        <v>236</v>
      </c>
      <c r="G20" s="108">
        <v>4</v>
      </c>
      <c r="H20" s="193" t="s">
        <v>765</v>
      </c>
      <c r="I20" s="193" t="s">
        <v>527</v>
      </c>
      <c r="J20" s="193" t="s">
        <v>921</v>
      </c>
      <c r="K20" s="193" t="s">
        <v>535</v>
      </c>
      <c r="L20" s="193" t="s">
        <v>535</v>
      </c>
      <c r="M20" s="193" t="s">
        <v>535</v>
      </c>
      <c r="N20" s="109" t="s">
        <v>590</v>
      </c>
      <c r="O20" s="109" t="s">
        <v>591</v>
      </c>
      <c r="P20" s="56" t="s">
        <v>592</v>
      </c>
      <c r="Q20" s="178" t="s">
        <v>462</v>
      </c>
      <c r="R20" s="178" t="s">
        <v>462</v>
      </c>
      <c r="S20" s="178" t="s">
        <v>462</v>
      </c>
      <c r="T20" s="178" t="s">
        <v>462</v>
      </c>
      <c r="U20" s="178" t="s">
        <v>462</v>
      </c>
      <c r="V20" s="178" t="s">
        <v>462</v>
      </c>
    </row>
    <row r="21" spans="1:22" ht="16.5" customHeight="1">
      <c r="A21" s="123">
        <v>16</v>
      </c>
      <c r="B21" s="123" t="s">
        <v>241</v>
      </c>
      <c r="C21" s="123" t="s">
        <v>268</v>
      </c>
      <c r="D21" s="111" t="s">
        <v>308</v>
      </c>
      <c r="E21" s="54" t="s">
        <v>348</v>
      </c>
      <c r="F21" s="55" t="s">
        <v>236</v>
      </c>
      <c r="G21" s="55">
        <v>5</v>
      </c>
      <c r="H21" s="193" t="s">
        <v>756</v>
      </c>
      <c r="I21" s="193" t="s">
        <v>757</v>
      </c>
      <c r="J21" s="193" t="s">
        <v>923</v>
      </c>
      <c r="K21" s="193" t="s">
        <v>535</v>
      </c>
      <c r="L21" s="193" t="s">
        <v>535</v>
      </c>
      <c r="M21" s="193" t="s">
        <v>535</v>
      </c>
      <c r="N21" s="109" t="s">
        <v>401</v>
      </c>
      <c r="O21" s="109" t="s">
        <v>402</v>
      </c>
      <c r="P21" s="56" t="s">
        <v>499</v>
      </c>
      <c r="Q21" s="178" t="s">
        <v>462</v>
      </c>
      <c r="R21" s="178" t="s">
        <v>462</v>
      </c>
      <c r="S21" s="178" t="s">
        <v>462</v>
      </c>
      <c r="T21" s="178" t="s">
        <v>462</v>
      </c>
      <c r="U21" s="178" t="s">
        <v>462</v>
      </c>
      <c r="V21" s="178" t="s">
        <v>462</v>
      </c>
    </row>
    <row r="22" spans="1:22" ht="16.5" customHeight="1">
      <c r="A22" s="123">
        <v>17</v>
      </c>
      <c r="B22" s="123" t="s">
        <v>242</v>
      </c>
      <c r="C22" s="123" t="s">
        <v>269</v>
      </c>
      <c r="D22" s="111" t="s">
        <v>309</v>
      </c>
      <c r="E22" s="54" t="s">
        <v>349</v>
      </c>
      <c r="F22" s="108" t="s">
        <v>236</v>
      </c>
      <c r="G22" s="108">
        <v>4</v>
      </c>
      <c r="H22" s="193" t="s">
        <v>858</v>
      </c>
      <c r="I22" s="193" t="s">
        <v>530</v>
      </c>
      <c r="J22" s="193" t="s">
        <v>924</v>
      </c>
      <c r="K22" s="193" t="s">
        <v>535</v>
      </c>
      <c r="L22" s="193" t="s">
        <v>534</v>
      </c>
      <c r="M22" s="193" t="s">
        <v>535</v>
      </c>
      <c r="N22" s="109" t="s">
        <v>403</v>
      </c>
      <c r="O22" s="109" t="s">
        <v>404</v>
      </c>
      <c r="P22" s="56" t="s">
        <v>500</v>
      </c>
      <c r="Q22" s="178" t="s">
        <v>462</v>
      </c>
      <c r="R22" s="178" t="s">
        <v>462</v>
      </c>
      <c r="S22" s="178" t="s">
        <v>462</v>
      </c>
      <c r="T22" s="178" t="s">
        <v>462</v>
      </c>
      <c r="U22" s="178" t="s">
        <v>462</v>
      </c>
      <c r="V22" s="178" t="s">
        <v>462</v>
      </c>
    </row>
    <row r="23" spans="1:22" ht="16.5" customHeight="1">
      <c r="A23" s="123">
        <v>18</v>
      </c>
      <c r="B23" s="123" t="s">
        <v>242</v>
      </c>
      <c r="C23" s="123" t="s">
        <v>270</v>
      </c>
      <c r="D23" s="111" t="s">
        <v>310</v>
      </c>
      <c r="E23" s="54" t="s">
        <v>350</v>
      </c>
      <c r="F23" s="108" t="s">
        <v>236</v>
      </c>
      <c r="G23" s="108">
        <v>4</v>
      </c>
      <c r="H23" s="193" t="s">
        <v>858</v>
      </c>
      <c r="I23" s="193" t="s">
        <v>530</v>
      </c>
      <c r="J23" s="193" t="s">
        <v>924</v>
      </c>
      <c r="K23" s="193" t="s">
        <v>535</v>
      </c>
      <c r="L23" s="193" t="s">
        <v>534</v>
      </c>
      <c r="M23" s="193" t="s">
        <v>535</v>
      </c>
      <c r="N23" s="109" t="s">
        <v>405</v>
      </c>
      <c r="O23" s="109" t="s">
        <v>406</v>
      </c>
      <c r="P23" s="56" t="s">
        <v>501</v>
      </c>
      <c r="Q23" s="178" t="s">
        <v>462</v>
      </c>
      <c r="R23" s="178" t="s">
        <v>462</v>
      </c>
      <c r="S23" s="178" t="s">
        <v>462</v>
      </c>
      <c r="T23" s="178" t="s">
        <v>462</v>
      </c>
      <c r="U23" s="178" t="s">
        <v>462</v>
      </c>
      <c r="V23" s="178" t="s">
        <v>462</v>
      </c>
    </row>
    <row r="24" spans="1:22" ht="16.5" customHeight="1">
      <c r="A24" s="123">
        <v>19</v>
      </c>
      <c r="B24" s="123" t="s">
        <v>242</v>
      </c>
      <c r="C24" s="123" t="s">
        <v>271</v>
      </c>
      <c r="D24" s="111" t="s">
        <v>311</v>
      </c>
      <c r="E24" s="54" t="s">
        <v>351</v>
      </c>
      <c r="F24" s="55" t="s">
        <v>236</v>
      </c>
      <c r="G24" s="55">
        <v>5</v>
      </c>
      <c r="H24" s="193" t="s">
        <v>858</v>
      </c>
      <c r="I24" s="193" t="s">
        <v>530</v>
      </c>
      <c r="J24" s="193" t="s">
        <v>924</v>
      </c>
      <c r="K24" s="193" t="s">
        <v>535</v>
      </c>
      <c r="L24" s="193" t="s">
        <v>534</v>
      </c>
      <c r="M24" s="193" t="s">
        <v>535</v>
      </c>
      <c r="N24" s="109" t="s">
        <v>407</v>
      </c>
      <c r="O24" s="109" t="s">
        <v>408</v>
      </c>
      <c r="P24" s="56" t="s">
        <v>502</v>
      </c>
      <c r="Q24" s="178" t="s">
        <v>462</v>
      </c>
      <c r="R24" s="178" t="s">
        <v>462</v>
      </c>
      <c r="S24" s="178" t="s">
        <v>462</v>
      </c>
      <c r="T24" s="178" t="s">
        <v>462</v>
      </c>
      <c r="U24" s="178" t="s">
        <v>462</v>
      </c>
      <c r="V24" s="178" t="s">
        <v>462</v>
      </c>
    </row>
    <row r="25" spans="1:22" ht="16.5" customHeight="1">
      <c r="A25" s="123">
        <v>20</v>
      </c>
      <c r="B25" s="123" t="s">
        <v>242</v>
      </c>
      <c r="C25" s="123" t="s">
        <v>272</v>
      </c>
      <c r="D25" s="111" t="s">
        <v>312</v>
      </c>
      <c r="E25" s="54" t="s">
        <v>352</v>
      </c>
      <c r="F25" s="108" t="s">
        <v>236</v>
      </c>
      <c r="G25" s="108">
        <v>4</v>
      </c>
      <c r="H25" s="193" t="s">
        <v>808</v>
      </c>
      <c r="I25" s="193" t="s">
        <v>809</v>
      </c>
      <c r="J25" s="193" t="s">
        <v>925</v>
      </c>
      <c r="K25" s="193" t="s">
        <v>535</v>
      </c>
      <c r="L25" s="193" t="s">
        <v>535</v>
      </c>
      <c r="M25" s="193" t="s">
        <v>535</v>
      </c>
      <c r="N25" s="109" t="s">
        <v>409</v>
      </c>
      <c r="O25" s="109" t="s">
        <v>410</v>
      </c>
      <c r="P25" s="56" t="s">
        <v>503</v>
      </c>
      <c r="Q25" s="178" t="s">
        <v>462</v>
      </c>
      <c r="R25" s="178" t="s">
        <v>462</v>
      </c>
      <c r="S25" s="178" t="s">
        <v>462</v>
      </c>
      <c r="T25" s="178" t="s">
        <v>462</v>
      </c>
      <c r="U25" s="178" t="s">
        <v>462</v>
      </c>
      <c r="V25" s="178" t="s">
        <v>462</v>
      </c>
    </row>
    <row r="26" spans="1:22" ht="16.5" customHeight="1">
      <c r="A26" s="123">
        <v>21</v>
      </c>
      <c r="B26" s="123" t="s">
        <v>241</v>
      </c>
      <c r="C26" s="123" t="s">
        <v>273</v>
      </c>
      <c r="D26" s="111" t="s">
        <v>313</v>
      </c>
      <c r="E26" s="54" t="s">
        <v>353</v>
      </c>
      <c r="F26" s="55" t="s">
        <v>236</v>
      </c>
      <c r="G26" s="55">
        <v>5</v>
      </c>
      <c r="H26" s="193" t="s">
        <v>756</v>
      </c>
      <c r="I26" s="193" t="s">
        <v>757</v>
      </c>
      <c r="J26" s="193" t="s">
        <v>923</v>
      </c>
      <c r="K26" s="193" t="s">
        <v>535</v>
      </c>
      <c r="L26" s="193" t="s">
        <v>535</v>
      </c>
      <c r="M26" s="193" t="s">
        <v>535</v>
      </c>
      <c r="N26" s="109" t="s">
        <v>411</v>
      </c>
      <c r="O26" s="109" t="s">
        <v>412</v>
      </c>
      <c r="P26" s="56" t="s">
        <v>504</v>
      </c>
      <c r="Q26" s="178" t="s">
        <v>462</v>
      </c>
      <c r="R26" s="178" t="s">
        <v>462</v>
      </c>
      <c r="S26" s="178" t="s">
        <v>462</v>
      </c>
      <c r="T26" s="178" t="s">
        <v>462</v>
      </c>
      <c r="U26" s="178" t="s">
        <v>462</v>
      </c>
      <c r="V26" s="178" t="s">
        <v>462</v>
      </c>
    </row>
    <row r="27" spans="1:22" ht="16.5" customHeight="1">
      <c r="A27" s="123">
        <v>22</v>
      </c>
      <c r="B27" s="123" t="s">
        <v>241</v>
      </c>
      <c r="C27" s="123" t="s">
        <v>274</v>
      </c>
      <c r="D27" s="111" t="s">
        <v>314</v>
      </c>
      <c r="E27" s="54" t="s">
        <v>354</v>
      </c>
      <c r="F27" s="108" t="s">
        <v>237</v>
      </c>
      <c r="G27" s="108">
        <v>3</v>
      </c>
      <c r="H27" s="193" t="s">
        <v>759</v>
      </c>
      <c r="I27" s="193" t="s">
        <v>912</v>
      </c>
      <c r="J27" s="193" t="s">
        <v>913</v>
      </c>
      <c r="K27" s="193" t="s">
        <v>534</v>
      </c>
      <c r="L27" s="193" t="s">
        <v>534</v>
      </c>
      <c r="M27" s="193" t="s">
        <v>534</v>
      </c>
      <c r="N27" s="109" t="s">
        <v>413</v>
      </c>
      <c r="O27" s="109" t="s">
        <v>414</v>
      </c>
      <c r="P27" s="56" t="s">
        <v>505</v>
      </c>
      <c r="Q27" s="178" t="s">
        <v>462</v>
      </c>
      <c r="R27" s="178" t="s">
        <v>462</v>
      </c>
      <c r="S27" s="178" t="s">
        <v>462</v>
      </c>
      <c r="T27" s="178" t="s">
        <v>462</v>
      </c>
      <c r="U27" s="178" t="s">
        <v>462</v>
      </c>
      <c r="V27" s="178" t="s">
        <v>462</v>
      </c>
    </row>
    <row r="28" spans="1:22" ht="16.5" customHeight="1">
      <c r="A28" s="123">
        <v>23</v>
      </c>
      <c r="B28" s="123" t="s">
        <v>241</v>
      </c>
      <c r="C28" s="123" t="s">
        <v>275</v>
      </c>
      <c r="D28" s="111" t="s">
        <v>315</v>
      </c>
      <c r="E28" s="54" t="s">
        <v>355</v>
      </c>
      <c r="F28" s="108" t="s">
        <v>237</v>
      </c>
      <c r="G28" s="108">
        <v>3</v>
      </c>
      <c r="H28" s="193" t="s">
        <v>858</v>
      </c>
      <c r="I28" s="193" t="s">
        <v>530</v>
      </c>
      <c r="J28" s="193" t="s">
        <v>924</v>
      </c>
      <c r="K28" s="193" t="s">
        <v>535</v>
      </c>
      <c r="L28" s="193" t="s">
        <v>534</v>
      </c>
      <c r="M28" s="193" t="s">
        <v>535</v>
      </c>
      <c r="N28" s="109" t="s">
        <v>415</v>
      </c>
      <c r="O28" s="109" t="s">
        <v>416</v>
      </c>
      <c r="P28" s="56" t="s">
        <v>506</v>
      </c>
      <c r="Q28" s="178" t="s">
        <v>462</v>
      </c>
      <c r="R28" s="178" t="s">
        <v>462</v>
      </c>
      <c r="S28" s="178" t="s">
        <v>462</v>
      </c>
      <c r="T28" s="178" t="s">
        <v>462</v>
      </c>
      <c r="U28" s="178" t="s">
        <v>462</v>
      </c>
      <c r="V28" s="178" t="s">
        <v>462</v>
      </c>
    </row>
    <row r="29" spans="1:22" ht="16.5" customHeight="1">
      <c r="A29" s="123">
        <v>24</v>
      </c>
      <c r="B29" s="123" t="s">
        <v>241</v>
      </c>
      <c r="C29" s="123" t="s">
        <v>276</v>
      </c>
      <c r="D29" s="111" t="s">
        <v>316</v>
      </c>
      <c r="E29" s="54" t="s">
        <v>235</v>
      </c>
      <c r="F29" s="108" t="s">
        <v>236</v>
      </c>
      <c r="G29" s="108">
        <v>4</v>
      </c>
      <c r="H29" s="193" t="s">
        <v>756</v>
      </c>
      <c r="I29" s="193" t="s">
        <v>757</v>
      </c>
      <c r="J29" s="193" t="s">
        <v>923</v>
      </c>
      <c r="K29" s="193" t="s">
        <v>535</v>
      </c>
      <c r="L29" s="193" t="s">
        <v>535</v>
      </c>
      <c r="M29" s="193" t="s">
        <v>535</v>
      </c>
      <c r="N29" s="109" t="s">
        <v>417</v>
      </c>
      <c r="O29" s="109" t="s">
        <v>418</v>
      </c>
      <c r="P29" s="56" t="s">
        <v>507</v>
      </c>
      <c r="Q29" s="178" t="s">
        <v>462</v>
      </c>
      <c r="R29" s="178" t="s">
        <v>462</v>
      </c>
      <c r="S29" s="178" t="s">
        <v>462</v>
      </c>
      <c r="T29" s="178" t="s">
        <v>462</v>
      </c>
      <c r="U29" s="178" t="s">
        <v>462</v>
      </c>
      <c r="V29" s="178" t="s">
        <v>462</v>
      </c>
    </row>
    <row r="30" spans="1:22" ht="16.5" customHeight="1">
      <c r="A30" s="123">
        <v>25</v>
      </c>
      <c r="B30" s="123" t="s">
        <v>241</v>
      </c>
      <c r="C30" s="123" t="s">
        <v>277</v>
      </c>
      <c r="D30" s="111" t="s">
        <v>317</v>
      </c>
      <c r="E30" s="54" t="s">
        <v>356</v>
      </c>
      <c r="F30" s="55" t="s">
        <v>238</v>
      </c>
      <c r="G30" s="55">
        <v>2</v>
      </c>
      <c r="H30" s="193" t="s">
        <v>759</v>
      </c>
      <c r="I30" s="193" t="s">
        <v>912</v>
      </c>
      <c r="J30" s="193" t="s">
        <v>913</v>
      </c>
      <c r="K30" s="193" t="s">
        <v>534</v>
      </c>
      <c r="L30" s="193" t="s">
        <v>534</v>
      </c>
      <c r="M30" s="193" t="s">
        <v>534</v>
      </c>
      <c r="N30" s="109" t="s">
        <v>419</v>
      </c>
      <c r="O30" s="109" t="s">
        <v>420</v>
      </c>
      <c r="P30" s="56" t="s">
        <v>508</v>
      </c>
      <c r="Q30" s="178" t="s">
        <v>462</v>
      </c>
      <c r="R30" s="178" t="s">
        <v>462</v>
      </c>
      <c r="S30" s="178" t="s">
        <v>462</v>
      </c>
      <c r="T30" s="178" t="s">
        <v>462</v>
      </c>
      <c r="U30" s="178" t="s">
        <v>462</v>
      </c>
      <c r="V30" s="178" t="s">
        <v>462</v>
      </c>
    </row>
    <row r="31" spans="1:22" ht="16.5" customHeight="1">
      <c r="A31" s="123">
        <v>26</v>
      </c>
      <c r="B31" s="123" t="s">
        <v>241</v>
      </c>
      <c r="C31" s="123" t="s">
        <v>278</v>
      </c>
      <c r="D31" s="111" t="s">
        <v>318</v>
      </c>
      <c r="E31" s="54" t="s">
        <v>357</v>
      </c>
      <c r="F31" s="55" t="s">
        <v>238</v>
      </c>
      <c r="G31" s="55">
        <v>2</v>
      </c>
      <c r="H31" s="193" t="s">
        <v>646</v>
      </c>
      <c r="I31" s="193" t="s">
        <v>647</v>
      </c>
      <c r="J31" s="193" t="s">
        <v>926</v>
      </c>
      <c r="K31" s="193" t="s">
        <v>535</v>
      </c>
      <c r="L31" s="193" t="s">
        <v>535</v>
      </c>
      <c r="M31" s="193" t="s">
        <v>535</v>
      </c>
      <c r="N31" s="109" t="s">
        <v>421</v>
      </c>
      <c r="O31" s="109" t="s">
        <v>422</v>
      </c>
      <c r="P31" s="56" t="s">
        <v>509</v>
      </c>
      <c r="Q31" s="178" t="s">
        <v>462</v>
      </c>
      <c r="R31" s="178" t="s">
        <v>462</v>
      </c>
      <c r="S31" s="178" t="s">
        <v>462</v>
      </c>
      <c r="T31" s="178" t="s">
        <v>462</v>
      </c>
      <c r="U31" s="178" t="s">
        <v>462</v>
      </c>
      <c r="V31" s="178" t="s">
        <v>462</v>
      </c>
    </row>
    <row r="32" spans="1:22" ht="16.5" customHeight="1">
      <c r="A32" s="123">
        <v>27</v>
      </c>
      <c r="B32" s="123" t="s">
        <v>241</v>
      </c>
      <c r="C32" s="123" t="s">
        <v>279</v>
      </c>
      <c r="D32" s="111" t="s">
        <v>319</v>
      </c>
      <c r="E32" s="54" t="s">
        <v>358</v>
      </c>
      <c r="F32" s="55" t="s">
        <v>238</v>
      </c>
      <c r="G32" s="55">
        <v>2</v>
      </c>
      <c r="H32" s="193" t="s">
        <v>781</v>
      </c>
      <c r="I32" s="193" t="s">
        <v>529</v>
      </c>
      <c r="J32" s="193" t="s">
        <v>922</v>
      </c>
      <c r="K32" s="193" t="s">
        <v>534</v>
      </c>
      <c r="L32" s="193" t="s">
        <v>535</v>
      </c>
      <c r="M32" s="193" t="s">
        <v>535</v>
      </c>
      <c r="N32" s="109" t="s">
        <v>423</v>
      </c>
      <c r="O32" s="109" t="s">
        <v>424</v>
      </c>
      <c r="P32" s="56" t="s">
        <v>510</v>
      </c>
      <c r="Q32" s="178" t="s">
        <v>462</v>
      </c>
      <c r="R32" s="178" t="s">
        <v>462</v>
      </c>
      <c r="S32" s="178" t="s">
        <v>462</v>
      </c>
      <c r="T32" s="178" t="s">
        <v>462</v>
      </c>
      <c r="U32" s="178" t="s">
        <v>462</v>
      </c>
      <c r="V32" s="178" t="s">
        <v>462</v>
      </c>
    </row>
    <row r="33" spans="1:22" ht="16.5" customHeight="1">
      <c r="A33" s="123">
        <v>28</v>
      </c>
      <c r="B33" s="123" t="s">
        <v>241</v>
      </c>
      <c r="C33" s="123" t="s">
        <v>280</v>
      </c>
      <c r="D33" s="111" t="s">
        <v>320</v>
      </c>
      <c r="E33" s="54" t="s">
        <v>359</v>
      </c>
      <c r="F33" s="108" t="s">
        <v>236</v>
      </c>
      <c r="G33" s="108">
        <v>4</v>
      </c>
      <c r="H33" s="193" t="s">
        <v>706</v>
      </c>
      <c r="I33" s="193" t="s">
        <v>707</v>
      </c>
      <c r="J33" s="193" t="s">
        <v>927</v>
      </c>
      <c r="K33" s="193" t="s">
        <v>534</v>
      </c>
      <c r="L33" s="193" t="s">
        <v>534</v>
      </c>
      <c r="M33" s="193" t="s">
        <v>534</v>
      </c>
      <c r="N33" s="109" t="s">
        <v>425</v>
      </c>
      <c r="O33" s="109" t="s">
        <v>426</v>
      </c>
      <c r="P33" s="56" t="s">
        <v>511</v>
      </c>
      <c r="Q33" s="178" t="s">
        <v>462</v>
      </c>
      <c r="R33" s="178" t="s">
        <v>462</v>
      </c>
      <c r="S33" s="178"/>
      <c r="T33" s="178"/>
      <c r="U33" s="178"/>
      <c r="V33" s="178"/>
    </row>
    <row r="34" spans="1:22" ht="16.5" customHeight="1">
      <c r="A34" s="123">
        <v>29</v>
      </c>
      <c r="B34" s="123" t="s">
        <v>241</v>
      </c>
      <c r="C34" s="123" t="s">
        <v>281</v>
      </c>
      <c r="D34" s="111" t="s">
        <v>321</v>
      </c>
      <c r="E34" s="54" t="s">
        <v>360</v>
      </c>
      <c r="F34" s="108" t="s">
        <v>236</v>
      </c>
      <c r="G34" s="108">
        <v>4</v>
      </c>
      <c r="H34" s="193" t="s">
        <v>646</v>
      </c>
      <c r="I34" s="193" t="s">
        <v>647</v>
      </c>
      <c r="J34" s="193" t="s">
        <v>926</v>
      </c>
      <c r="K34" s="193" t="s">
        <v>535</v>
      </c>
      <c r="L34" s="193" t="s">
        <v>535</v>
      </c>
      <c r="M34" s="193" t="s">
        <v>535</v>
      </c>
      <c r="N34" s="109" t="s">
        <v>427</v>
      </c>
      <c r="O34" s="109" t="s">
        <v>428</v>
      </c>
      <c r="P34" s="56" t="s">
        <v>512</v>
      </c>
      <c r="Q34" s="178" t="s">
        <v>462</v>
      </c>
      <c r="R34" s="178" t="s">
        <v>462</v>
      </c>
      <c r="S34" s="178"/>
      <c r="T34" s="178"/>
      <c r="U34" s="178"/>
      <c r="V34" s="178"/>
    </row>
    <row r="35" spans="1:22" ht="16.5" customHeight="1">
      <c r="A35" s="123">
        <v>30</v>
      </c>
      <c r="B35" s="123" t="s">
        <v>241</v>
      </c>
      <c r="C35" s="123" t="s">
        <v>282</v>
      </c>
      <c r="D35" s="111" t="s">
        <v>322</v>
      </c>
      <c r="E35" s="54" t="s">
        <v>361</v>
      </c>
      <c r="F35" s="55" t="s">
        <v>236</v>
      </c>
      <c r="G35" s="55">
        <v>5</v>
      </c>
      <c r="H35" s="193" t="s">
        <v>789</v>
      </c>
      <c r="I35" s="193" t="s">
        <v>916</v>
      </c>
      <c r="J35" s="193" t="s">
        <v>917</v>
      </c>
      <c r="K35" s="193" t="s">
        <v>535</v>
      </c>
      <c r="L35" s="193" t="s">
        <v>535</v>
      </c>
      <c r="M35" s="193" t="s">
        <v>535</v>
      </c>
      <c r="N35" s="109" t="s">
        <v>429</v>
      </c>
      <c r="O35" s="109" t="s">
        <v>430</v>
      </c>
      <c r="P35" s="56" t="s">
        <v>513</v>
      </c>
      <c r="Q35" s="178" t="s">
        <v>462</v>
      </c>
      <c r="R35" s="178" t="s">
        <v>462</v>
      </c>
      <c r="S35" s="178"/>
      <c r="T35" s="178"/>
      <c r="U35" s="178"/>
      <c r="V35" s="178"/>
    </row>
    <row r="36" spans="1:22" ht="16.5" customHeight="1">
      <c r="A36" s="123">
        <v>31</v>
      </c>
      <c r="B36" s="123" t="s">
        <v>241</v>
      </c>
      <c r="C36" s="123" t="s">
        <v>283</v>
      </c>
      <c r="D36" s="111" t="s">
        <v>323</v>
      </c>
      <c r="E36" s="54" t="s">
        <v>362</v>
      </c>
      <c r="F36" s="55" t="s">
        <v>236</v>
      </c>
      <c r="G36" s="55">
        <v>5</v>
      </c>
      <c r="H36" s="193" t="s">
        <v>789</v>
      </c>
      <c r="I36" s="193" t="s">
        <v>916</v>
      </c>
      <c r="J36" s="193" t="s">
        <v>917</v>
      </c>
      <c r="K36" s="193" t="s">
        <v>535</v>
      </c>
      <c r="L36" s="193" t="s">
        <v>535</v>
      </c>
      <c r="M36" s="193" t="s">
        <v>535</v>
      </c>
      <c r="N36" s="109" t="s">
        <v>431</v>
      </c>
      <c r="O36" s="109" t="s">
        <v>432</v>
      </c>
      <c r="P36" s="56" t="s">
        <v>514</v>
      </c>
      <c r="Q36" s="178" t="s">
        <v>462</v>
      </c>
      <c r="R36" s="178" t="s">
        <v>462</v>
      </c>
      <c r="S36" s="178"/>
      <c r="T36" s="178"/>
      <c r="U36" s="178"/>
      <c r="V36" s="178"/>
    </row>
    <row r="37" spans="1:22" ht="16.5" customHeight="1">
      <c r="A37" s="123">
        <v>32</v>
      </c>
      <c r="B37" s="123" t="s">
        <v>241</v>
      </c>
      <c r="C37" s="123" t="s">
        <v>284</v>
      </c>
      <c r="D37" s="111" t="s">
        <v>324</v>
      </c>
      <c r="E37" s="54" t="s">
        <v>363</v>
      </c>
      <c r="F37" s="55" t="s">
        <v>236</v>
      </c>
      <c r="G37" s="55">
        <v>5</v>
      </c>
      <c r="H37" s="193" t="s">
        <v>781</v>
      </c>
      <c r="I37" s="193" t="s">
        <v>529</v>
      </c>
      <c r="J37" s="193" t="s">
        <v>922</v>
      </c>
      <c r="K37" s="193" t="s">
        <v>534</v>
      </c>
      <c r="L37" s="193" t="s">
        <v>535</v>
      </c>
      <c r="M37" s="193" t="s">
        <v>535</v>
      </c>
      <c r="N37" s="109" t="s">
        <v>433</v>
      </c>
      <c r="O37" s="109" t="s">
        <v>434</v>
      </c>
      <c r="P37" s="56" t="s">
        <v>515</v>
      </c>
      <c r="Q37" s="178" t="s">
        <v>462</v>
      </c>
      <c r="R37" s="178" t="s">
        <v>462</v>
      </c>
      <c r="S37" s="178"/>
      <c r="T37" s="178"/>
      <c r="U37" s="178"/>
      <c r="V37" s="178"/>
    </row>
    <row r="38" spans="1:22" ht="16.5" customHeight="1">
      <c r="A38" s="123">
        <v>33</v>
      </c>
      <c r="B38" s="123" t="s">
        <v>241</v>
      </c>
      <c r="C38" s="123" t="s">
        <v>285</v>
      </c>
      <c r="D38" s="111" t="s">
        <v>325</v>
      </c>
      <c r="E38" s="54" t="s">
        <v>364</v>
      </c>
      <c r="F38" s="108" t="s">
        <v>236</v>
      </c>
      <c r="G38" s="108">
        <v>4</v>
      </c>
      <c r="H38" s="193" t="s">
        <v>781</v>
      </c>
      <c r="I38" s="193" t="s">
        <v>529</v>
      </c>
      <c r="J38" s="193" t="s">
        <v>922</v>
      </c>
      <c r="K38" s="193" t="s">
        <v>534</v>
      </c>
      <c r="L38" s="193" t="s">
        <v>535</v>
      </c>
      <c r="M38" s="193" t="s">
        <v>535</v>
      </c>
      <c r="N38" s="109" t="s">
        <v>435</v>
      </c>
      <c r="O38" s="109" t="s">
        <v>436</v>
      </c>
      <c r="P38" s="56" t="s">
        <v>516</v>
      </c>
      <c r="Q38" s="178" t="s">
        <v>462</v>
      </c>
      <c r="R38" s="178" t="s">
        <v>462</v>
      </c>
      <c r="S38" s="178"/>
      <c r="T38" s="178"/>
      <c r="U38" s="178"/>
      <c r="V38" s="178"/>
    </row>
    <row r="39" spans="1:22" ht="16.5" customHeight="1">
      <c r="A39" s="123">
        <v>34</v>
      </c>
      <c r="B39" s="123" t="s">
        <v>241</v>
      </c>
      <c r="C39" s="123" t="s">
        <v>286</v>
      </c>
      <c r="D39" s="111" t="s">
        <v>326</v>
      </c>
      <c r="E39" s="54" t="s">
        <v>365</v>
      </c>
      <c r="F39" s="108" t="s">
        <v>236</v>
      </c>
      <c r="G39" s="108">
        <v>4</v>
      </c>
      <c r="H39" s="193" t="s">
        <v>706</v>
      </c>
      <c r="I39" s="193" t="s">
        <v>707</v>
      </c>
      <c r="J39" s="193" t="s">
        <v>927</v>
      </c>
      <c r="K39" s="193" t="s">
        <v>534</v>
      </c>
      <c r="L39" s="193" t="s">
        <v>534</v>
      </c>
      <c r="M39" s="193" t="s">
        <v>534</v>
      </c>
      <c r="N39" s="109" t="s">
        <v>437</v>
      </c>
      <c r="O39" s="109" t="s">
        <v>438</v>
      </c>
      <c r="P39" s="56" t="s">
        <v>517</v>
      </c>
      <c r="Q39" s="178" t="s">
        <v>462</v>
      </c>
      <c r="R39" s="178" t="s">
        <v>462</v>
      </c>
      <c r="S39" s="178"/>
      <c r="T39" s="178"/>
      <c r="U39" s="178"/>
      <c r="V39" s="178"/>
    </row>
    <row r="40" spans="1:22" ht="16.5" customHeight="1">
      <c r="A40" s="123">
        <v>35</v>
      </c>
      <c r="B40" s="123" t="s">
        <v>241</v>
      </c>
      <c r="C40" s="123" t="s">
        <v>287</v>
      </c>
      <c r="D40" s="111" t="s">
        <v>327</v>
      </c>
      <c r="E40" s="54" t="s">
        <v>366</v>
      </c>
      <c r="F40" s="55" t="s">
        <v>236</v>
      </c>
      <c r="G40" s="55">
        <v>5</v>
      </c>
      <c r="H40" s="193" t="s">
        <v>789</v>
      </c>
      <c r="I40" s="193" t="s">
        <v>916</v>
      </c>
      <c r="J40" s="193" t="s">
        <v>917</v>
      </c>
      <c r="K40" s="193" t="s">
        <v>535</v>
      </c>
      <c r="L40" s="193" t="s">
        <v>535</v>
      </c>
      <c r="M40" s="193" t="s">
        <v>535</v>
      </c>
      <c r="N40" s="109" t="s">
        <v>439</v>
      </c>
      <c r="O40" s="109" t="s">
        <v>440</v>
      </c>
      <c r="P40" s="56" t="s">
        <v>518</v>
      </c>
      <c r="Q40" s="178" t="s">
        <v>462</v>
      </c>
      <c r="R40" s="178" t="s">
        <v>462</v>
      </c>
      <c r="S40" s="178"/>
      <c r="T40" s="178"/>
      <c r="U40" s="178"/>
      <c r="V40" s="178"/>
    </row>
    <row r="41" spans="1:22" ht="16.5" customHeight="1">
      <c r="A41" s="123">
        <v>36</v>
      </c>
      <c r="B41" s="123" t="s">
        <v>241</v>
      </c>
      <c r="C41" s="123" t="s">
        <v>288</v>
      </c>
      <c r="D41" s="111" t="s">
        <v>328</v>
      </c>
      <c r="E41" s="54" t="s">
        <v>367</v>
      </c>
      <c r="F41" s="55" t="s">
        <v>236</v>
      </c>
      <c r="G41" s="55">
        <v>5</v>
      </c>
      <c r="H41" s="193" t="s">
        <v>776</v>
      </c>
      <c r="I41" s="193" t="s">
        <v>528</v>
      </c>
      <c r="J41" s="193" t="s">
        <v>919</v>
      </c>
      <c r="K41" s="193" t="s">
        <v>534</v>
      </c>
      <c r="L41" s="193" t="s">
        <v>534</v>
      </c>
      <c r="M41" s="193" t="s">
        <v>534</v>
      </c>
      <c r="N41" s="109" t="s">
        <v>441</v>
      </c>
      <c r="O41" s="109" t="s">
        <v>442</v>
      </c>
      <c r="P41" s="56" t="s">
        <v>519</v>
      </c>
      <c r="Q41" s="178" t="s">
        <v>462</v>
      </c>
      <c r="R41" s="178" t="s">
        <v>462</v>
      </c>
      <c r="S41" s="178"/>
      <c r="T41" s="178"/>
      <c r="U41" s="178"/>
      <c r="V41" s="178"/>
    </row>
    <row r="42" spans="1:22" ht="16.5" customHeight="1">
      <c r="A42" s="123">
        <v>37</v>
      </c>
      <c r="B42" s="123" t="s">
        <v>241</v>
      </c>
      <c r="C42" s="123" t="s">
        <v>289</v>
      </c>
      <c r="D42" s="111" t="s">
        <v>329</v>
      </c>
      <c r="E42" s="54" t="s">
        <v>368</v>
      </c>
      <c r="F42" s="108" t="s">
        <v>236</v>
      </c>
      <c r="G42" s="108">
        <v>4</v>
      </c>
      <c r="H42" s="193" t="s">
        <v>781</v>
      </c>
      <c r="I42" s="193" t="s">
        <v>529</v>
      </c>
      <c r="J42" s="193" t="s">
        <v>922</v>
      </c>
      <c r="K42" s="193" t="s">
        <v>534</v>
      </c>
      <c r="L42" s="193" t="s">
        <v>535</v>
      </c>
      <c r="M42" s="193" t="s">
        <v>535</v>
      </c>
      <c r="N42" s="109" t="s">
        <v>443</v>
      </c>
      <c r="O42" s="109" t="s">
        <v>444</v>
      </c>
      <c r="P42" s="56" t="s">
        <v>520</v>
      </c>
      <c r="Q42" s="178" t="s">
        <v>462</v>
      </c>
      <c r="R42" s="178" t="s">
        <v>462</v>
      </c>
      <c r="S42" s="178"/>
      <c r="T42" s="178"/>
      <c r="U42" s="178"/>
      <c r="V42" s="178"/>
    </row>
    <row r="43" spans="1:22" ht="16.5" customHeight="1">
      <c r="A43" s="123">
        <v>38</v>
      </c>
      <c r="B43" s="123" t="s">
        <v>241</v>
      </c>
      <c r="C43" s="123" t="s">
        <v>290</v>
      </c>
      <c r="D43" s="111" t="s">
        <v>330</v>
      </c>
      <c r="E43" s="54" t="s">
        <v>369</v>
      </c>
      <c r="F43" s="55" t="s">
        <v>236</v>
      </c>
      <c r="G43" s="55">
        <v>5</v>
      </c>
      <c r="H43" s="193" t="s">
        <v>756</v>
      </c>
      <c r="I43" s="193" t="s">
        <v>757</v>
      </c>
      <c r="J43" s="193" t="s">
        <v>923</v>
      </c>
      <c r="K43" s="193" t="s">
        <v>535</v>
      </c>
      <c r="L43" s="193" t="s">
        <v>535</v>
      </c>
      <c r="M43" s="193" t="s">
        <v>535</v>
      </c>
      <c r="N43" s="109" t="s">
        <v>445</v>
      </c>
      <c r="O43" s="109" t="s">
        <v>446</v>
      </c>
      <c r="P43" s="56" t="s">
        <v>521</v>
      </c>
      <c r="Q43" s="178" t="s">
        <v>462</v>
      </c>
      <c r="R43" s="178" t="s">
        <v>462</v>
      </c>
      <c r="S43" s="178"/>
      <c r="T43" s="178"/>
      <c r="U43" s="178"/>
      <c r="V43" s="178"/>
    </row>
    <row r="44" spans="1:22" ht="16.5" customHeight="1">
      <c r="A44" s="123">
        <v>39</v>
      </c>
      <c r="B44" s="123" t="s">
        <v>241</v>
      </c>
      <c r="C44" s="123" t="s">
        <v>291</v>
      </c>
      <c r="D44" s="111" t="s">
        <v>331</v>
      </c>
      <c r="E44" s="54" t="s">
        <v>370</v>
      </c>
      <c r="F44" s="55" t="s">
        <v>236</v>
      </c>
      <c r="G44" s="55">
        <v>5</v>
      </c>
      <c r="H44" s="193" t="s">
        <v>756</v>
      </c>
      <c r="I44" s="193" t="s">
        <v>757</v>
      </c>
      <c r="J44" s="193" t="s">
        <v>923</v>
      </c>
      <c r="K44" s="193" t="s">
        <v>535</v>
      </c>
      <c r="L44" s="193" t="s">
        <v>535</v>
      </c>
      <c r="M44" s="193" t="s">
        <v>535</v>
      </c>
      <c r="N44" s="109" t="s">
        <v>447</v>
      </c>
      <c r="O44" s="109" t="s">
        <v>448</v>
      </c>
      <c r="P44" s="56" t="s">
        <v>522</v>
      </c>
      <c r="Q44" s="178" t="s">
        <v>462</v>
      </c>
      <c r="R44" s="178" t="s">
        <v>462</v>
      </c>
      <c r="S44" s="178"/>
      <c r="T44" s="178"/>
      <c r="U44" s="178"/>
      <c r="V44" s="178"/>
    </row>
    <row r="45" spans="1:22" ht="16.5" customHeight="1">
      <c r="A45" s="123">
        <v>40</v>
      </c>
      <c r="B45" s="123" t="s">
        <v>241</v>
      </c>
      <c r="C45" s="123" t="s">
        <v>292</v>
      </c>
      <c r="D45" s="111" t="s">
        <v>332</v>
      </c>
      <c r="E45" s="54" t="s">
        <v>371</v>
      </c>
      <c r="F45" s="108" t="s">
        <v>237</v>
      </c>
      <c r="G45" s="108">
        <v>3</v>
      </c>
      <c r="H45" s="193" t="s">
        <v>746</v>
      </c>
      <c r="I45" s="193" t="s">
        <v>928</v>
      </c>
      <c r="J45" s="193" t="s">
        <v>929</v>
      </c>
      <c r="K45" s="193" t="s">
        <v>535</v>
      </c>
      <c r="L45" s="193" t="s">
        <v>534</v>
      </c>
      <c r="M45" s="193" t="s">
        <v>535</v>
      </c>
      <c r="N45" s="109" t="s">
        <v>449</v>
      </c>
      <c r="O45" s="109" t="s">
        <v>450</v>
      </c>
      <c r="P45" s="56" t="s">
        <v>523</v>
      </c>
      <c r="Q45" s="178" t="s">
        <v>462</v>
      </c>
      <c r="R45" s="178" t="s">
        <v>462</v>
      </c>
      <c r="S45" s="178" t="s">
        <v>462</v>
      </c>
      <c r="T45" s="178" t="s">
        <v>462</v>
      </c>
      <c r="U45" s="178" t="s">
        <v>462</v>
      </c>
      <c r="V45" s="178" t="s">
        <v>462</v>
      </c>
    </row>
    <row r="46" spans="1:22" ht="16.5" customHeight="1">
      <c r="A46" s="123">
        <v>41</v>
      </c>
      <c r="B46" s="123" t="s">
        <v>241</v>
      </c>
      <c r="C46" s="123" t="s">
        <v>293</v>
      </c>
      <c r="D46" s="111" t="s">
        <v>333</v>
      </c>
      <c r="E46" s="54" t="s">
        <v>372</v>
      </c>
      <c r="F46" s="108" t="s">
        <v>236</v>
      </c>
      <c r="G46" s="108">
        <v>4</v>
      </c>
      <c r="H46" s="193" t="s">
        <v>781</v>
      </c>
      <c r="I46" s="193" t="s">
        <v>529</v>
      </c>
      <c r="J46" s="193" t="s">
        <v>922</v>
      </c>
      <c r="K46" s="193" t="s">
        <v>534</v>
      </c>
      <c r="L46" s="193" t="s">
        <v>535</v>
      </c>
      <c r="M46" s="193" t="s">
        <v>535</v>
      </c>
      <c r="N46" s="109" t="s">
        <v>451</v>
      </c>
      <c r="O46" s="109" t="s">
        <v>452</v>
      </c>
      <c r="P46" s="56" t="s">
        <v>524</v>
      </c>
      <c r="Q46" s="179" t="s">
        <v>462</v>
      </c>
      <c r="R46" s="178" t="s">
        <v>462</v>
      </c>
      <c r="S46" s="178"/>
      <c r="T46" s="178"/>
      <c r="U46" s="178"/>
      <c r="V46" s="178"/>
    </row>
    <row r="47" spans="1:22" ht="16.5" customHeight="1" thickBot="1">
      <c r="A47" s="220">
        <v>42</v>
      </c>
      <c r="B47" s="220" t="s">
        <v>241</v>
      </c>
      <c r="C47" s="220" t="s">
        <v>454</v>
      </c>
      <c r="D47" s="221" t="s">
        <v>455</v>
      </c>
      <c r="E47" s="222" t="s">
        <v>456</v>
      </c>
      <c r="F47" s="223" t="s">
        <v>236</v>
      </c>
      <c r="G47" s="223">
        <v>5</v>
      </c>
      <c r="H47" s="224" t="s">
        <v>781</v>
      </c>
      <c r="I47" s="193" t="s">
        <v>529</v>
      </c>
      <c r="J47" s="193" t="s">
        <v>922</v>
      </c>
      <c r="K47" s="193" t="s">
        <v>534</v>
      </c>
      <c r="L47" s="193" t="s">
        <v>535</v>
      </c>
      <c r="M47" s="193" t="s">
        <v>535</v>
      </c>
      <c r="N47" s="225" t="s">
        <v>457</v>
      </c>
      <c r="O47" s="225" t="s">
        <v>458</v>
      </c>
      <c r="P47" s="226" t="s">
        <v>469</v>
      </c>
      <c r="Q47" s="227"/>
      <c r="R47" s="227"/>
      <c r="S47" s="227"/>
      <c r="T47" s="227"/>
      <c r="U47" s="227"/>
      <c r="V47" s="228" t="s">
        <v>462</v>
      </c>
    </row>
  </sheetData>
  <autoFilter ref="A5:V47" xr:uid="{00000000-0009-0000-0000-000001000000}"/>
  <mergeCells count="4">
    <mergeCell ref="A4:A5"/>
    <mergeCell ref="B4:G4"/>
    <mergeCell ref="H4:M4"/>
    <mergeCell ref="N4:V4"/>
  </mergeCells>
  <phoneticPr fontId="1" type="noConversion"/>
  <printOptions horizontalCentered="1"/>
  <pageMargins left="0.39370078740157483" right="0.39370078740157483" top="0.59055118110236215" bottom="0.59055118110236215" header="0.19685039370078741" footer="0.19685039370078741"/>
  <pageSetup paperSize="9" scale="62" orientation="landscape" r:id="rId1"/>
  <rowBreaks count="1" manualBreakCount="1">
    <brk id="21" max="16383" man="1"/>
  </rowBreaks>
  <colBreaks count="1" manualBreakCount="1">
    <brk id="15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54BCC5"/>
    <pageSetUpPr fitToPage="1"/>
  </sheetPr>
  <dimension ref="A1:M97"/>
  <sheetViews>
    <sheetView view="pageBreakPreview" zoomScale="85" zoomScaleNormal="100" zoomScaleSheetLayoutView="85" workbookViewId="0">
      <pane ySplit="2" topLeftCell="A3" activePane="bottomLeft" state="frozen"/>
      <selection pane="bottomLeft"/>
    </sheetView>
  </sheetViews>
  <sheetFormatPr defaultRowHeight="16.5"/>
  <cols>
    <col min="1" max="1" width="1.625" customWidth="1"/>
    <col min="2" max="2" width="25.25" customWidth="1"/>
    <col min="3" max="3" width="9.125" customWidth="1"/>
    <col min="4" max="4" width="28.125" customWidth="1"/>
    <col min="5" max="5" width="90.625" customWidth="1"/>
    <col min="6" max="12" width="15.625" customWidth="1"/>
    <col min="13" max="13" width="1.625" customWidth="1"/>
  </cols>
  <sheetData>
    <row r="1" spans="1:13" ht="21" thickBot="1">
      <c r="A1" s="277"/>
      <c r="B1" s="365" t="s">
        <v>600</v>
      </c>
      <c r="C1" s="366"/>
      <c r="D1" s="366"/>
      <c r="E1" s="278"/>
      <c r="F1" s="278"/>
      <c r="G1" s="278"/>
      <c r="H1" s="278"/>
      <c r="I1" s="278"/>
      <c r="J1" s="278"/>
      <c r="K1" s="278"/>
      <c r="L1" s="278"/>
      <c r="M1" s="279"/>
    </row>
    <row r="2" spans="1:13" ht="33.75" thickBot="1">
      <c r="A2" s="277"/>
      <c r="B2" s="280" t="s">
        <v>601</v>
      </c>
      <c r="C2" s="281" t="s">
        <v>602</v>
      </c>
      <c r="D2" s="282" t="s">
        <v>603</v>
      </c>
      <c r="E2" s="282" t="s">
        <v>604</v>
      </c>
      <c r="F2" s="281" t="s">
        <v>605</v>
      </c>
      <c r="G2" s="281" t="s">
        <v>606</v>
      </c>
      <c r="H2" s="281" t="s">
        <v>607</v>
      </c>
      <c r="I2" s="281" t="s">
        <v>608</v>
      </c>
      <c r="J2" s="281" t="s">
        <v>609</v>
      </c>
      <c r="K2" s="281" t="s">
        <v>610</v>
      </c>
      <c r="L2" s="283" t="s">
        <v>611</v>
      </c>
      <c r="M2" s="284"/>
    </row>
    <row r="3" spans="1:13" ht="60" customHeight="1">
      <c r="A3" s="277"/>
      <c r="B3" s="285" t="s">
        <v>612</v>
      </c>
      <c r="C3" s="286" t="s">
        <v>613</v>
      </c>
      <c r="D3" s="287" t="s">
        <v>614</v>
      </c>
      <c r="E3" s="288" t="s">
        <v>615</v>
      </c>
      <c r="F3" s="289" t="s">
        <v>535</v>
      </c>
      <c r="G3" s="289" t="s">
        <v>535</v>
      </c>
      <c r="H3" s="290">
        <f>IF(F3="H",3,IF(F3="M",2,IF(F3="L",1)))</f>
        <v>3</v>
      </c>
      <c r="I3" s="290">
        <f>IF(G3="H",3,IF(G3="M",2,IF(G3="L",1)))</f>
        <v>3</v>
      </c>
      <c r="J3" s="290">
        <f>SUM(H3:I3)</f>
        <v>6</v>
      </c>
      <c r="K3" s="290" t="str">
        <f>IF(SUM(J3)&gt;=5,"H",IF(SUM(J3)&gt;=3,"M","L"))</f>
        <v>H</v>
      </c>
      <c r="L3" s="291" t="str">
        <f>IF(SUM(J3)&gt;=5,"3",IF(SUM(J3)&gt;=3,"2","1"))</f>
        <v>3</v>
      </c>
      <c r="M3" s="279"/>
    </row>
    <row r="4" spans="1:13" ht="60" customHeight="1">
      <c r="A4" s="277"/>
      <c r="B4" s="292" t="s">
        <v>612</v>
      </c>
      <c r="C4" s="293" t="s">
        <v>525</v>
      </c>
      <c r="D4" s="294" t="s">
        <v>526</v>
      </c>
      <c r="E4" s="295" t="s">
        <v>616</v>
      </c>
      <c r="F4" s="296" t="s">
        <v>535</v>
      </c>
      <c r="G4" s="296" t="s">
        <v>535</v>
      </c>
      <c r="H4" s="297">
        <f t="shared" ref="H4:I72" si="0">IF(F4="H",3,IF(F4="M",2,IF(F4="L",1)))</f>
        <v>3</v>
      </c>
      <c r="I4" s="297">
        <f t="shared" si="0"/>
        <v>3</v>
      </c>
      <c r="J4" s="297">
        <f t="shared" ref="J4:J72" si="1">SUM(H4:I4)</f>
        <v>6</v>
      </c>
      <c r="K4" s="290" t="str">
        <f t="shared" ref="K4:K27" si="2">IF(SUM(J4)&gt;=5,"H",IF(SUM(J4)&gt;=3,"M","L"))</f>
        <v>H</v>
      </c>
      <c r="L4" s="291" t="str">
        <f t="shared" ref="L4:L27" si="3">IF(SUM(J4)&gt;=5,"3",IF(SUM(J4)&gt;=3,"2","1"))</f>
        <v>3</v>
      </c>
      <c r="M4" s="279"/>
    </row>
    <row r="5" spans="1:13" ht="60" customHeight="1">
      <c r="A5" s="277"/>
      <c r="B5" s="292" t="s">
        <v>612</v>
      </c>
      <c r="C5" s="293" t="s">
        <v>617</v>
      </c>
      <c r="D5" s="294" t="s">
        <v>618</v>
      </c>
      <c r="E5" s="295" t="s">
        <v>619</v>
      </c>
      <c r="F5" s="296" t="s">
        <v>535</v>
      </c>
      <c r="G5" s="296" t="s">
        <v>535</v>
      </c>
      <c r="H5" s="297">
        <f t="shared" si="0"/>
        <v>3</v>
      </c>
      <c r="I5" s="297">
        <f t="shared" si="0"/>
        <v>3</v>
      </c>
      <c r="J5" s="297">
        <f t="shared" si="1"/>
        <v>6</v>
      </c>
      <c r="K5" s="290" t="str">
        <f t="shared" si="2"/>
        <v>H</v>
      </c>
      <c r="L5" s="291" t="str">
        <f t="shared" si="3"/>
        <v>3</v>
      </c>
      <c r="M5" s="279"/>
    </row>
    <row r="6" spans="1:13" ht="60" customHeight="1">
      <c r="A6" s="277"/>
      <c r="B6" s="292" t="s">
        <v>612</v>
      </c>
      <c r="C6" s="293" t="s">
        <v>620</v>
      </c>
      <c r="D6" s="294" t="s">
        <v>621</v>
      </c>
      <c r="E6" s="295" t="s">
        <v>622</v>
      </c>
      <c r="F6" s="296" t="s">
        <v>535</v>
      </c>
      <c r="G6" s="296" t="s">
        <v>534</v>
      </c>
      <c r="H6" s="297">
        <f t="shared" si="0"/>
        <v>3</v>
      </c>
      <c r="I6" s="297">
        <f t="shared" si="0"/>
        <v>2</v>
      </c>
      <c r="J6" s="297">
        <f t="shared" si="1"/>
        <v>5</v>
      </c>
      <c r="K6" s="290" t="str">
        <f t="shared" si="2"/>
        <v>H</v>
      </c>
      <c r="L6" s="291" t="str">
        <f t="shared" si="3"/>
        <v>3</v>
      </c>
      <c r="M6" s="279"/>
    </row>
    <row r="7" spans="1:13" ht="60" customHeight="1">
      <c r="A7" s="277"/>
      <c r="B7" s="292" t="s">
        <v>612</v>
      </c>
      <c r="C7" s="293" t="s">
        <v>623</v>
      </c>
      <c r="D7" s="294" t="s">
        <v>624</v>
      </c>
      <c r="E7" s="295" t="s">
        <v>625</v>
      </c>
      <c r="F7" s="296" t="s">
        <v>535</v>
      </c>
      <c r="G7" s="296" t="s">
        <v>535</v>
      </c>
      <c r="H7" s="297">
        <f t="shared" si="0"/>
        <v>3</v>
      </c>
      <c r="I7" s="297">
        <f t="shared" si="0"/>
        <v>3</v>
      </c>
      <c r="J7" s="297">
        <f t="shared" si="1"/>
        <v>6</v>
      </c>
      <c r="K7" s="290" t="str">
        <f t="shared" si="2"/>
        <v>H</v>
      </c>
      <c r="L7" s="291" t="str">
        <f t="shared" si="3"/>
        <v>3</v>
      </c>
      <c r="M7" s="279"/>
    </row>
    <row r="8" spans="1:13" ht="60" customHeight="1">
      <c r="A8" s="277"/>
      <c r="B8" s="292" t="s">
        <v>612</v>
      </c>
      <c r="C8" s="293" t="s">
        <v>626</v>
      </c>
      <c r="D8" s="294" t="s">
        <v>627</v>
      </c>
      <c r="E8" s="295" t="s">
        <v>628</v>
      </c>
      <c r="F8" s="296" t="s">
        <v>535</v>
      </c>
      <c r="G8" s="296" t="s">
        <v>629</v>
      </c>
      <c r="H8" s="297">
        <f t="shared" si="0"/>
        <v>3</v>
      </c>
      <c r="I8" s="297">
        <f t="shared" si="0"/>
        <v>1</v>
      </c>
      <c r="J8" s="297">
        <f t="shared" si="1"/>
        <v>4</v>
      </c>
      <c r="K8" s="290" t="str">
        <f t="shared" si="2"/>
        <v>M</v>
      </c>
      <c r="L8" s="291" t="str">
        <f t="shared" si="3"/>
        <v>2</v>
      </c>
      <c r="M8" s="279"/>
    </row>
    <row r="9" spans="1:13" ht="60" customHeight="1">
      <c r="A9" s="277"/>
      <c r="B9" s="292" t="s">
        <v>612</v>
      </c>
      <c r="C9" s="293" t="s">
        <v>630</v>
      </c>
      <c r="D9" s="294" t="s">
        <v>631</v>
      </c>
      <c r="E9" s="295" t="s">
        <v>632</v>
      </c>
      <c r="F9" s="296" t="s">
        <v>534</v>
      </c>
      <c r="G9" s="296" t="s">
        <v>534</v>
      </c>
      <c r="H9" s="297">
        <f t="shared" si="0"/>
        <v>2</v>
      </c>
      <c r="I9" s="297">
        <f t="shared" si="0"/>
        <v>2</v>
      </c>
      <c r="J9" s="297">
        <f t="shared" si="1"/>
        <v>4</v>
      </c>
      <c r="K9" s="290" t="str">
        <f t="shared" si="2"/>
        <v>M</v>
      </c>
      <c r="L9" s="291" t="str">
        <f t="shared" si="3"/>
        <v>2</v>
      </c>
      <c r="M9" s="279"/>
    </row>
    <row r="10" spans="1:13" ht="60" customHeight="1">
      <c r="A10" s="277"/>
      <c r="B10" s="292" t="s">
        <v>612</v>
      </c>
      <c r="C10" s="293" t="s">
        <v>633</v>
      </c>
      <c r="D10" s="294" t="s">
        <v>634</v>
      </c>
      <c r="E10" s="295" t="s">
        <v>635</v>
      </c>
      <c r="F10" s="296" t="s">
        <v>535</v>
      </c>
      <c r="G10" s="296" t="s">
        <v>535</v>
      </c>
      <c r="H10" s="297">
        <f t="shared" si="0"/>
        <v>3</v>
      </c>
      <c r="I10" s="297">
        <f t="shared" si="0"/>
        <v>3</v>
      </c>
      <c r="J10" s="297">
        <f t="shared" si="1"/>
        <v>6</v>
      </c>
      <c r="K10" s="290" t="str">
        <f t="shared" si="2"/>
        <v>H</v>
      </c>
      <c r="L10" s="291" t="str">
        <f t="shared" si="3"/>
        <v>3</v>
      </c>
      <c r="M10" s="279"/>
    </row>
    <row r="11" spans="1:13" ht="60" customHeight="1">
      <c r="A11" s="277"/>
      <c r="B11" s="292" t="s">
        <v>612</v>
      </c>
      <c r="C11" s="293" t="s">
        <v>636</v>
      </c>
      <c r="D11" s="294" t="s">
        <v>637</v>
      </c>
      <c r="E11" s="295" t="s">
        <v>638</v>
      </c>
      <c r="F11" s="296" t="s">
        <v>535</v>
      </c>
      <c r="G11" s="296" t="s">
        <v>629</v>
      </c>
      <c r="H11" s="297">
        <f t="shared" si="0"/>
        <v>3</v>
      </c>
      <c r="I11" s="297">
        <f t="shared" si="0"/>
        <v>1</v>
      </c>
      <c r="J11" s="297">
        <f t="shared" si="1"/>
        <v>4</v>
      </c>
      <c r="K11" s="290" t="str">
        <f t="shared" si="2"/>
        <v>M</v>
      </c>
      <c r="L11" s="291" t="str">
        <f t="shared" si="3"/>
        <v>2</v>
      </c>
      <c r="M11" s="279"/>
    </row>
    <row r="12" spans="1:13" ht="60" customHeight="1">
      <c r="A12" s="277"/>
      <c r="B12" s="292" t="s">
        <v>612</v>
      </c>
      <c r="C12" s="293" t="s">
        <v>639</v>
      </c>
      <c r="D12" s="294" t="s">
        <v>640</v>
      </c>
      <c r="E12" s="295" t="s">
        <v>641</v>
      </c>
      <c r="F12" s="296" t="s">
        <v>535</v>
      </c>
      <c r="G12" s="296" t="s">
        <v>629</v>
      </c>
      <c r="H12" s="297">
        <f t="shared" si="0"/>
        <v>3</v>
      </c>
      <c r="I12" s="297">
        <f t="shared" si="0"/>
        <v>1</v>
      </c>
      <c r="J12" s="297">
        <f t="shared" si="1"/>
        <v>4</v>
      </c>
      <c r="K12" s="290" t="str">
        <f t="shared" si="2"/>
        <v>M</v>
      </c>
      <c r="L12" s="291" t="str">
        <f t="shared" si="3"/>
        <v>2</v>
      </c>
      <c r="M12" s="279"/>
    </row>
    <row r="13" spans="1:13" ht="60" customHeight="1">
      <c r="A13" s="277"/>
      <c r="B13" s="292" t="s">
        <v>642</v>
      </c>
      <c r="C13" s="293" t="s">
        <v>643</v>
      </c>
      <c r="D13" s="292" t="s">
        <v>644</v>
      </c>
      <c r="E13" s="298" t="s">
        <v>645</v>
      </c>
      <c r="F13" s="296" t="s">
        <v>534</v>
      </c>
      <c r="G13" s="296" t="s">
        <v>534</v>
      </c>
      <c r="H13" s="297">
        <v>2</v>
      </c>
      <c r="I13" s="297">
        <v>2</v>
      </c>
      <c r="J13" s="297">
        <v>4</v>
      </c>
      <c r="K13" s="290" t="str">
        <f t="shared" si="2"/>
        <v>M</v>
      </c>
      <c r="L13" s="291" t="str">
        <f t="shared" si="3"/>
        <v>2</v>
      </c>
      <c r="M13" s="279"/>
    </row>
    <row r="14" spans="1:13" ht="60" customHeight="1">
      <c r="A14" s="277"/>
      <c r="B14" s="292" t="s">
        <v>642</v>
      </c>
      <c r="C14" s="293" t="s">
        <v>646</v>
      </c>
      <c r="D14" s="294" t="s">
        <v>647</v>
      </c>
      <c r="E14" s="295" t="s">
        <v>648</v>
      </c>
      <c r="F14" s="296" t="s">
        <v>535</v>
      </c>
      <c r="G14" s="296" t="s">
        <v>535</v>
      </c>
      <c r="H14" s="297">
        <v>3</v>
      </c>
      <c r="I14" s="297">
        <v>3</v>
      </c>
      <c r="J14" s="297">
        <v>6</v>
      </c>
      <c r="K14" s="290" t="str">
        <f t="shared" si="2"/>
        <v>H</v>
      </c>
      <c r="L14" s="291" t="str">
        <f t="shared" si="3"/>
        <v>3</v>
      </c>
      <c r="M14" s="279"/>
    </row>
    <row r="15" spans="1:13" ht="60" customHeight="1">
      <c r="A15" s="277"/>
      <c r="B15" s="292" t="s">
        <v>642</v>
      </c>
      <c r="C15" s="293" t="s">
        <v>649</v>
      </c>
      <c r="D15" s="292" t="s">
        <v>650</v>
      </c>
      <c r="E15" s="298" t="s">
        <v>651</v>
      </c>
      <c r="F15" s="296" t="s">
        <v>535</v>
      </c>
      <c r="G15" s="296" t="s">
        <v>535</v>
      </c>
      <c r="H15" s="297">
        <v>3</v>
      </c>
      <c r="I15" s="297">
        <v>3</v>
      </c>
      <c r="J15" s="297">
        <v>6</v>
      </c>
      <c r="K15" s="290" t="str">
        <f t="shared" si="2"/>
        <v>H</v>
      </c>
      <c r="L15" s="291" t="str">
        <f t="shared" si="3"/>
        <v>3</v>
      </c>
      <c r="M15" s="279"/>
    </row>
    <row r="16" spans="1:13" ht="60" customHeight="1">
      <c r="A16" s="277"/>
      <c r="B16" s="292" t="s">
        <v>642</v>
      </c>
      <c r="C16" s="293" t="s">
        <v>652</v>
      </c>
      <c r="D16" s="294" t="s">
        <v>653</v>
      </c>
      <c r="E16" s="295" t="s">
        <v>654</v>
      </c>
      <c r="F16" s="296" t="s">
        <v>535</v>
      </c>
      <c r="G16" s="296" t="s">
        <v>629</v>
      </c>
      <c r="H16" s="297">
        <v>3</v>
      </c>
      <c r="I16" s="297">
        <v>1</v>
      </c>
      <c r="J16" s="297">
        <v>4</v>
      </c>
      <c r="K16" s="290" t="str">
        <f t="shared" si="2"/>
        <v>M</v>
      </c>
      <c r="L16" s="291" t="str">
        <f t="shared" si="3"/>
        <v>2</v>
      </c>
      <c r="M16" s="279"/>
    </row>
    <row r="17" spans="1:13" ht="60" customHeight="1">
      <c r="A17" s="277"/>
      <c r="B17" s="292" t="s">
        <v>642</v>
      </c>
      <c r="C17" s="293" t="s">
        <v>655</v>
      </c>
      <c r="D17" s="294" t="s">
        <v>656</v>
      </c>
      <c r="E17" s="295" t="s">
        <v>657</v>
      </c>
      <c r="F17" s="296" t="s">
        <v>535</v>
      </c>
      <c r="G17" s="296" t="s">
        <v>629</v>
      </c>
      <c r="H17" s="297">
        <v>3</v>
      </c>
      <c r="I17" s="297">
        <v>1</v>
      </c>
      <c r="J17" s="297">
        <v>4</v>
      </c>
      <c r="K17" s="290" t="str">
        <f t="shared" si="2"/>
        <v>M</v>
      </c>
      <c r="L17" s="291" t="str">
        <f t="shared" si="3"/>
        <v>2</v>
      </c>
      <c r="M17" s="279"/>
    </row>
    <row r="18" spans="1:13" ht="60" customHeight="1">
      <c r="A18" s="277"/>
      <c r="B18" s="292" t="s">
        <v>642</v>
      </c>
      <c r="C18" s="293" t="s">
        <v>658</v>
      </c>
      <c r="D18" s="294" t="s">
        <v>659</v>
      </c>
      <c r="E18" s="295" t="s">
        <v>660</v>
      </c>
      <c r="F18" s="296" t="s">
        <v>629</v>
      </c>
      <c r="G18" s="296" t="s">
        <v>629</v>
      </c>
      <c r="H18" s="297">
        <v>1</v>
      </c>
      <c r="I18" s="297">
        <v>1</v>
      </c>
      <c r="J18" s="297">
        <v>2</v>
      </c>
      <c r="K18" s="290" t="str">
        <f t="shared" si="2"/>
        <v>L</v>
      </c>
      <c r="L18" s="291" t="str">
        <f t="shared" si="3"/>
        <v>1</v>
      </c>
      <c r="M18" s="279"/>
    </row>
    <row r="19" spans="1:13" ht="60" customHeight="1">
      <c r="A19" s="277"/>
      <c r="B19" s="292" t="s">
        <v>642</v>
      </c>
      <c r="C19" s="293" t="s">
        <v>661</v>
      </c>
      <c r="D19" s="294" t="s">
        <v>662</v>
      </c>
      <c r="E19" s="295" t="s">
        <v>663</v>
      </c>
      <c r="F19" s="296" t="s">
        <v>535</v>
      </c>
      <c r="G19" s="296" t="s">
        <v>535</v>
      </c>
      <c r="H19" s="297">
        <v>3</v>
      </c>
      <c r="I19" s="297">
        <v>3</v>
      </c>
      <c r="J19" s="297">
        <v>6</v>
      </c>
      <c r="K19" s="290" t="str">
        <f t="shared" si="2"/>
        <v>H</v>
      </c>
      <c r="L19" s="291" t="str">
        <f t="shared" si="3"/>
        <v>3</v>
      </c>
      <c r="M19" s="279"/>
    </row>
    <row r="20" spans="1:13" ht="60" customHeight="1">
      <c r="A20" s="277"/>
      <c r="B20" s="292" t="s">
        <v>642</v>
      </c>
      <c r="C20" s="293" t="s">
        <v>664</v>
      </c>
      <c r="D20" s="294" t="s">
        <v>665</v>
      </c>
      <c r="E20" s="295" t="s">
        <v>666</v>
      </c>
      <c r="F20" s="296" t="s">
        <v>535</v>
      </c>
      <c r="G20" s="296" t="s">
        <v>629</v>
      </c>
      <c r="H20" s="297">
        <v>3</v>
      </c>
      <c r="I20" s="297">
        <v>1</v>
      </c>
      <c r="J20" s="297">
        <v>4</v>
      </c>
      <c r="K20" s="290" t="str">
        <f t="shared" si="2"/>
        <v>M</v>
      </c>
      <c r="L20" s="291" t="str">
        <f t="shared" si="3"/>
        <v>2</v>
      </c>
      <c r="M20" s="279"/>
    </row>
    <row r="21" spans="1:13" ht="60" customHeight="1">
      <c r="A21" s="277"/>
      <c r="B21" s="292" t="s">
        <v>642</v>
      </c>
      <c r="C21" s="293" t="s">
        <v>667</v>
      </c>
      <c r="D21" s="294" t="s">
        <v>668</v>
      </c>
      <c r="E21" s="295" t="s">
        <v>669</v>
      </c>
      <c r="F21" s="296" t="s">
        <v>535</v>
      </c>
      <c r="G21" s="296" t="s">
        <v>629</v>
      </c>
      <c r="H21" s="297">
        <v>3</v>
      </c>
      <c r="I21" s="297">
        <v>1</v>
      </c>
      <c r="J21" s="297">
        <v>4</v>
      </c>
      <c r="K21" s="290" t="str">
        <f t="shared" si="2"/>
        <v>M</v>
      </c>
      <c r="L21" s="291" t="str">
        <f t="shared" si="3"/>
        <v>2</v>
      </c>
      <c r="M21" s="279"/>
    </row>
    <row r="22" spans="1:13" ht="60" customHeight="1">
      <c r="A22" s="277"/>
      <c r="B22" s="292" t="s">
        <v>642</v>
      </c>
      <c r="C22" s="293" t="s">
        <v>670</v>
      </c>
      <c r="D22" s="294" t="s">
        <v>671</v>
      </c>
      <c r="E22" s="295" t="s">
        <v>672</v>
      </c>
      <c r="F22" s="296" t="s">
        <v>535</v>
      </c>
      <c r="G22" s="296" t="s">
        <v>629</v>
      </c>
      <c r="H22" s="297">
        <v>3</v>
      </c>
      <c r="I22" s="297">
        <v>1</v>
      </c>
      <c r="J22" s="297">
        <v>4</v>
      </c>
      <c r="K22" s="290" t="str">
        <f t="shared" si="2"/>
        <v>M</v>
      </c>
      <c r="L22" s="291" t="str">
        <f t="shared" si="3"/>
        <v>2</v>
      </c>
      <c r="M22" s="279"/>
    </row>
    <row r="23" spans="1:13" ht="60" customHeight="1">
      <c r="A23" s="277"/>
      <c r="B23" s="292" t="s">
        <v>642</v>
      </c>
      <c r="C23" s="293" t="s">
        <v>673</v>
      </c>
      <c r="D23" s="294" t="s">
        <v>674</v>
      </c>
      <c r="E23" s="295" t="s">
        <v>675</v>
      </c>
      <c r="F23" s="296" t="s">
        <v>535</v>
      </c>
      <c r="G23" s="296" t="s">
        <v>534</v>
      </c>
      <c r="H23" s="297">
        <v>3</v>
      </c>
      <c r="I23" s="297">
        <v>2</v>
      </c>
      <c r="J23" s="297">
        <v>5</v>
      </c>
      <c r="K23" s="290" t="str">
        <f t="shared" si="2"/>
        <v>H</v>
      </c>
      <c r="L23" s="291" t="str">
        <f t="shared" si="3"/>
        <v>3</v>
      </c>
      <c r="M23" s="279"/>
    </row>
    <row r="24" spans="1:13" ht="60" customHeight="1">
      <c r="A24" s="277"/>
      <c r="B24" s="299" t="s">
        <v>642</v>
      </c>
      <c r="C24" s="293" t="s">
        <v>676</v>
      </c>
      <c r="D24" s="294" t="s">
        <v>677</v>
      </c>
      <c r="E24" s="295" t="s">
        <v>678</v>
      </c>
      <c r="F24" s="296" t="s">
        <v>679</v>
      </c>
      <c r="G24" s="296" t="s">
        <v>680</v>
      </c>
      <c r="H24" s="297">
        <v>3</v>
      </c>
      <c r="I24" s="297">
        <v>1</v>
      </c>
      <c r="J24" s="297">
        <v>4</v>
      </c>
      <c r="K24" s="290" t="str">
        <f t="shared" si="2"/>
        <v>M</v>
      </c>
      <c r="L24" s="291" t="str">
        <f t="shared" si="3"/>
        <v>2</v>
      </c>
      <c r="M24" s="279"/>
    </row>
    <row r="25" spans="1:13" ht="60" customHeight="1">
      <c r="A25" s="277"/>
      <c r="B25" s="299" t="s">
        <v>642</v>
      </c>
      <c r="C25" s="293" t="s">
        <v>681</v>
      </c>
      <c r="D25" s="294" t="s">
        <v>682</v>
      </c>
      <c r="E25" s="295" t="s">
        <v>683</v>
      </c>
      <c r="F25" s="296" t="s">
        <v>684</v>
      </c>
      <c r="G25" s="296" t="s">
        <v>684</v>
      </c>
      <c r="H25" s="297">
        <v>1</v>
      </c>
      <c r="I25" s="297">
        <v>1</v>
      </c>
      <c r="J25" s="297">
        <v>2</v>
      </c>
      <c r="K25" s="290" t="str">
        <f t="shared" si="2"/>
        <v>L</v>
      </c>
      <c r="L25" s="291" t="str">
        <f t="shared" si="3"/>
        <v>1</v>
      </c>
      <c r="M25" s="279"/>
    </row>
    <row r="26" spans="1:13" ht="60" customHeight="1">
      <c r="A26" s="277"/>
      <c r="B26" s="299" t="s">
        <v>642</v>
      </c>
      <c r="C26" s="293" t="s">
        <v>685</v>
      </c>
      <c r="D26" s="294" t="s">
        <v>686</v>
      </c>
      <c r="E26" s="295" t="s">
        <v>687</v>
      </c>
      <c r="F26" s="296" t="s">
        <v>535</v>
      </c>
      <c r="G26" s="296" t="s">
        <v>629</v>
      </c>
      <c r="H26" s="297">
        <v>3</v>
      </c>
      <c r="I26" s="297">
        <v>1</v>
      </c>
      <c r="J26" s="297">
        <v>4</v>
      </c>
      <c r="K26" s="290" t="str">
        <f t="shared" si="2"/>
        <v>M</v>
      </c>
      <c r="L26" s="291" t="str">
        <f t="shared" si="3"/>
        <v>2</v>
      </c>
      <c r="M26" s="279"/>
    </row>
    <row r="27" spans="1:13" ht="60" customHeight="1">
      <c r="A27" s="277"/>
      <c r="B27" s="300" t="s">
        <v>642</v>
      </c>
      <c r="C27" s="301" t="s">
        <v>688</v>
      </c>
      <c r="D27" s="302" t="s">
        <v>689</v>
      </c>
      <c r="E27" s="295" t="s">
        <v>690</v>
      </c>
      <c r="F27" s="303" t="s">
        <v>691</v>
      </c>
      <c r="G27" s="303" t="s">
        <v>691</v>
      </c>
      <c r="H27" s="304">
        <v>2</v>
      </c>
      <c r="I27" s="304">
        <v>2</v>
      </c>
      <c r="J27" s="304">
        <v>4</v>
      </c>
      <c r="K27" s="290" t="str">
        <f t="shared" si="2"/>
        <v>M</v>
      </c>
      <c r="L27" s="291" t="str">
        <f t="shared" si="3"/>
        <v>2</v>
      </c>
      <c r="M27" s="279"/>
    </row>
    <row r="28" spans="1:13" ht="60" customHeight="1">
      <c r="A28" s="277"/>
      <c r="B28" s="305" t="s">
        <v>692</v>
      </c>
      <c r="C28" s="306" t="s">
        <v>693</v>
      </c>
      <c r="D28" s="307" t="s">
        <v>694</v>
      </c>
      <c r="E28" s="308" t="s">
        <v>695</v>
      </c>
      <c r="F28" s="309" t="s">
        <v>535</v>
      </c>
      <c r="G28" s="309" t="s">
        <v>535</v>
      </c>
      <c r="H28" s="310">
        <f t="shared" si="0"/>
        <v>3</v>
      </c>
      <c r="I28" s="310">
        <f t="shared" si="0"/>
        <v>3</v>
      </c>
      <c r="J28" s="310">
        <f t="shared" si="1"/>
        <v>6</v>
      </c>
      <c r="K28" s="310" t="str">
        <f>IF(SUM(J28)&gt;=5,"H",IF(SUM(J28)&gt;=3,"M","L"))</f>
        <v>H</v>
      </c>
      <c r="L28" s="311" t="str">
        <f>IF(SUM(J28)&gt;=5,"3",IF(SUM(J28)&gt;=3,"2","1"))</f>
        <v>3</v>
      </c>
      <c r="M28" s="279"/>
    </row>
    <row r="29" spans="1:13" ht="60" customHeight="1">
      <c r="A29" s="277"/>
      <c r="B29" s="305" t="s">
        <v>692</v>
      </c>
      <c r="C29" s="306" t="s">
        <v>696</v>
      </c>
      <c r="D29" s="307" t="s">
        <v>697</v>
      </c>
      <c r="E29" s="308" t="s">
        <v>698</v>
      </c>
      <c r="F29" s="309" t="s">
        <v>534</v>
      </c>
      <c r="G29" s="309" t="s">
        <v>534</v>
      </c>
      <c r="H29" s="310">
        <f t="shared" si="0"/>
        <v>2</v>
      </c>
      <c r="I29" s="310">
        <f t="shared" si="0"/>
        <v>2</v>
      </c>
      <c r="J29" s="310">
        <f t="shared" si="1"/>
        <v>4</v>
      </c>
      <c r="K29" s="310" t="str">
        <f t="shared" ref="K29:K35" si="4">IF(SUM(J29)&gt;=5,"H",IF(SUM(J29)&gt;=3,"M","L"))</f>
        <v>M</v>
      </c>
      <c r="L29" s="311" t="str">
        <f t="shared" ref="L29:L35" si="5">IF(SUM(J29)&gt;=5,"3",IF(SUM(J29)&gt;=3,"2","1"))</f>
        <v>2</v>
      </c>
      <c r="M29" s="279"/>
    </row>
    <row r="30" spans="1:13" ht="60" customHeight="1">
      <c r="A30" s="277"/>
      <c r="B30" s="305" t="s">
        <v>692</v>
      </c>
      <c r="C30" s="306" t="s">
        <v>699</v>
      </c>
      <c r="D30" s="307" t="s">
        <v>700</v>
      </c>
      <c r="E30" s="308" t="s">
        <v>701</v>
      </c>
      <c r="F30" s="309" t="s">
        <v>534</v>
      </c>
      <c r="G30" s="309" t="s">
        <v>534</v>
      </c>
      <c r="H30" s="310">
        <f t="shared" si="0"/>
        <v>2</v>
      </c>
      <c r="I30" s="310">
        <f t="shared" si="0"/>
        <v>2</v>
      </c>
      <c r="J30" s="310">
        <f t="shared" si="1"/>
        <v>4</v>
      </c>
      <c r="K30" s="310" t="str">
        <f t="shared" si="4"/>
        <v>M</v>
      </c>
      <c r="L30" s="311" t="str">
        <f t="shared" si="5"/>
        <v>2</v>
      </c>
      <c r="M30" s="279"/>
    </row>
    <row r="31" spans="1:13" ht="60" customHeight="1">
      <c r="A31" s="277"/>
      <c r="B31" s="305" t="s">
        <v>702</v>
      </c>
      <c r="C31" s="306" t="s">
        <v>703</v>
      </c>
      <c r="D31" s="307" t="s">
        <v>704</v>
      </c>
      <c r="E31" s="308" t="s">
        <v>705</v>
      </c>
      <c r="F31" s="309" t="s">
        <v>534</v>
      </c>
      <c r="G31" s="309" t="s">
        <v>534</v>
      </c>
      <c r="H31" s="310">
        <f t="shared" si="0"/>
        <v>2</v>
      </c>
      <c r="I31" s="310">
        <f t="shared" si="0"/>
        <v>2</v>
      </c>
      <c r="J31" s="310">
        <f t="shared" si="1"/>
        <v>4</v>
      </c>
      <c r="K31" s="310" t="str">
        <f t="shared" si="4"/>
        <v>M</v>
      </c>
      <c r="L31" s="311" t="str">
        <f t="shared" si="5"/>
        <v>2</v>
      </c>
      <c r="M31" s="279"/>
    </row>
    <row r="32" spans="1:13" ht="60" customHeight="1">
      <c r="A32" s="277"/>
      <c r="B32" s="305" t="s">
        <v>692</v>
      </c>
      <c r="C32" s="306" t="s">
        <v>706</v>
      </c>
      <c r="D32" s="307" t="s">
        <v>707</v>
      </c>
      <c r="E32" s="308" t="s">
        <v>708</v>
      </c>
      <c r="F32" s="309" t="s">
        <v>534</v>
      </c>
      <c r="G32" s="309" t="s">
        <v>534</v>
      </c>
      <c r="H32" s="310">
        <f t="shared" si="0"/>
        <v>2</v>
      </c>
      <c r="I32" s="310">
        <f t="shared" si="0"/>
        <v>2</v>
      </c>
      <c r="J32" s="310">
        <f t="shared" si="1"/>
        <v>4</v>
      </c>
      <c r="K32" s="310" t="str">
        <f t="shared" si="4"/>
        <v>M</v>
      </c>
      <c r="L32" s="311" t="str">
        <f t="shared" si="5"/>
        <v>2</v>
      </c>
      <c r="M32" s="279"/>
    </row>
    <row r="33" spans="1:13" ht="60" customHeight="1">
      <c r="A33" s="277"/>
      <c r="B33" s="305" t="s">
        <v>702</v>
      </c>
      <c r="C33" s="306" t="s">
        <v>709</v>
      </c>
      <c r="D33" s="307" t="s">
        <v>710</v>
      </c>
      <c r="E33" s="308" t="s">
        <v>711</v>
      </c>
      <c r="F33" s="309" t="s">
        <v>535</v>
      </c>
      <c r="G33" s="309" t="s">
        <v>534</v>
      </c>
      <c r="H33" s="310">
        <f t="shared" si="0"/>
        <v>3</v>
      </c>
      <c r="I33" s="310">
        <f t="shared" si="0"/>
        <v>2</v>
      </c>
      <c r="J33" s="310">
        <f t="shared" si="1"/>
        <v>5</v>
      </c>
      <c r="K33" s="310" t="str">
        <f t="shared" si="4"/>
        <v>H</v>
      </c>
      <c r="L33" s="311" t="str">
        <f t="shared" si="5"/>
        <v>3</v>
      </c>
      <c r="M33" s="279"/>
    </row>
    <row r="34" spans="1:13" ht="60" customHeight="1">
      <c r="A34" s="277"/>
      <c r="B34" s="305" t="s">
        <v>692</v>
      </c>
      <c r="C34" s="306" t="s">
        <v>712</v>
      </c>
      <c r="D34" s="307" t="s">
        <v>713</v>
      </c>
      <c r="E34" s="308" t="s">
        <v>714</v>
      </c>
      <c r="F34" s="309" t="s">
        <v>534</v>
      </c>
      <c r="G34" s="309" t="s">
        <v>629</v>
      </c>
      <c r="H34" s="310">
        <f t="shared" si="0"/>
        <v>2</v>
      </c>
      <c r="I34" s="310">
        <f t="shared" si="0"/>
        <v>1</v>
      </c>
      <c r="J34" s="310">
        <f t="shared" si="1"/>
        <v>3</v>
      </c>
      <c r="K34" s="310" t="str">
        <f t="shared" si="4"/>
        <v>M</v>
      </c>
      <c r="L34" s="311" t="str">
        <f t="shared" si="5"/>
        <v>2</v>
      </c>
      <c r="M34" s="279"/>
    </row>
    <row r="35" spans="1:13" ht="60" customHeight="1">
      <c r="A35" s="277"/>
      <c r="B35" s="305" t="s">
        <v>715</v>
      </c>
      <c r="C35" s="306" t="s">
        <v>716</v>
      </c>
      <c r="D35" s="307" t="s">
        <v>717</v>
      </c>
      <c r="E35" s="308" t="s">
        <v>718</v>
      </c>
      <c r="F35" s="309" t="s">
        <v>535</v>
      </c>
      <c r="G35" s="309" t="s">
        <v>534</v>
      </c>
      <c r="H35" s="310">
        <v>3</v>
      </c>
      <c r="I35" s="310">
        <v>2</v>
      </c>
      <c r="J35" s="310">
        <v>5</v>
      </c>
      <c r="K35" s="310" t="str">
        <f t="shared" si="4"/>
        <v>H</v>
      </c>
      <c r="L35" s="311" t="str">
        <f t="shared" si="5"/>
        <v>3</v>
      </c>
      <c r="M35" s="279"/>
    </row>
    <row r="36" spans="1:13" ht="60" customHeight="1">
      <c r="A36" s="277"/>
      <c r="B36" s="312" t="s">
        <v>719</v>
      </c>
      <c r="C36" s="313" t="s">
        <v>720</v>
      </c>
      <c r="D36" s="314" t="s">
        <v>721</v>
      </c>
      <c r="E36" s="315" t="s">
        <v>722</v>
      </c>
      <c r="F36" s="316" t="s">
        <v>535</v>
      </c>
      <c r="G36" s="316" t="s">
        <v>629</v>
      </c>
      <c r="H36" s="317">
        <f t="shared" si="0"/>
        <v>3</v>
      </c>
      <c r="I36" s="317">
        <f t="shared" si="0"/>
        <v>1</v>
      </c>
      <c r="J36" s="317">
        <f t="shared" si="1"/>
        <v>4</v>
      </c>
      <c r="K36" s="317" t="str">
        <f>IF(SUM(J36)&gt;=5,"H",IF(SUM(J36)&gt;=3,"M","L"))</f>
        <v>M</v>
      </c>
      <c r="L36" s="318" t="str">
        <f>IF(SUM(J36)&gt;=5,"3",IF(SUM(J36)&gt;=3,"2","1"))</f>
        <v>2</v>
      </c>
      <c r="M36" s="279"/>
    </row>
    <row r="37" spans="1:13" ht="60" customHeight="1">
      <c r="A37" s="277"/>
      <c r="B37" s="312" t="s">
        <v>719</v>
      </c>
      <c r="C37" s="313" t="s">
        <v>723</v>
      </c>
      <c r="D37" s="314" t="s">
        <v>724</v>
      </c>
      <c r="E37" s="315" t="s">
        <v>725</v>
      </c>
      <c r="F37" s="316" t="s">
        <v>535</v>
      </c>
      <c r="G37" s="316" t="s">
        <v>629</v>
      </c>
      <c r="H37" s="317">
        <f t="shared" si="0"/>
        <v>3</v>
      </c>
      <c r="I37" s="317">
        <f t="shared" si="0"/>
        <v>1</v>
      </c>
      <c r="J37" s="317">
        <f t="shared" si="1"/>
        <v>4</v>
      </c>
      <c r="K37" s="317" t="str">
        <f t="shared" ref="K37:K41" si="6">IF(SUM(J37)&gt;=5,"H",IF(SUM(J37)&gt;=3,"M","L"))</f>
        <v>M</v>
      </c>
      <c r="L37" s="318" t="str">
        <f t="shared" ref="L37:L41" si="7">IF(SUM(J37)&gt;=5,"3",IF(SUM(J37)&gt;=3,"2","1"))</f>
        <v>2</v>
      </c>
      <c r="M37" s="279"/>
    </row>
    <row r="38" spans="1:13" ht="60" customHeight="1">
      <c r="A38" s="277"/>
      <c r="B38" s="312" t="s">
        <v>726</v>
      </c>
      <c r="C38" s="313" t="s">
        <v>727</v>
      </c>
      <c r="D38" s="314" t="s">
        <v>728</v>
      </c>
      <c r="E38" s="315" t="s">
        <v>729</v>
      </c>
      <c r="F38" s="316" t="s">
        <v>535</v>
      </c>
      <c r="G38" s="316" t="s">
        <v>629</v>
      </c>
      <c r="H38" s="317">
        <f t="shared" si="0"/>
        <v>3</v>
      </c>
      <c r="I38" s="317">
        <f t="shared" si="0"/>
        <v>1</v>
      </c>
      <c r="J38" s="317">
        <f t="shared" si="1"/>
        <v>4</v>
      </c>
      <c r="K38" s="317" t="str">
        <f t="shared" si="6"/>
        <v>M</v>
      </c>
      <c r="L38" s="318" t="str">
        <f t="shared" si="7"/>
        <v>2</v>
      </c>
      <c r="M38" s="279"/>
    </row>
    <row r="39" spans="1:13" ht="60" customHeight="1">
      <c r="A39" s="277"/>
      <c r="B39" s="312" t="s">
        <v>719</v>
      </c>
      <c r="C39" s="313" t="s">
        <v>730</v>
      </c>
      <c r="D39" s="314" t="s">
        <v>731</v>
      </c>
      <c r="E39" s="315" t="s">
        <v>732</v>
      </c>
      <c r="F39" s="316" t="s">
        <v>535</v>
      </c>
      <c r="G39" s="316" t="s">
        <v>534</v>
      </c>
      <c r="H39" s="317">
        <f t="shared" si="0"/>
        <v>3</v>
      </c>
      <c r="I39" s="317">
        <f t="shared" si="0"/>
        <v>2</v>
      </c>
      <c r="J39" s="317">
        <f t="shared" si="1"/>
        <v>5</v>
      </c>
      <c r="K39" s="317" t="str">
        <f t="shared" si="6"/>
        <v>H</v>
      </c>
      <c r="L39" s="318" t="str">
        <f t="shared" si="7"/>
        <v>3</v>
      </c>
      <c r="M39" s="279"/>
    </row>
    <row r="40" spans="1:13" ht="60" customHeight="1">
      <c r="A40" s="277"/>
      <c r="B40" s="312" t="s">
        <v>726</v>
      </c>
      <c r="C40" s="313" t="s">
        <v>733</v>
      </c>
      <c r="D40" s="314" t="s">
        <v>734</v>
      </c>
      <c r="E40" s="315" t="s">
        <v>735</v>
      </c>
      <c r="F40" s="316" t="s">
        <v>534</v>
      </c>
      <c r="G40" s="316" t="s">
        <v>629</v>
      </c>
      <c r="H40" s="317">
        <f t="shared" si="0"/>
        <v>2</v>
      </c>
      <c r="I40" s="317">
        <f t="shared" si="0"/>
        <v>1</v>
      </c>
      <c r="J40" s="317">
        <f t="shared" si="1"/>
        <v>3</v>
      </c>
      <c r="K40" s="317" t="str">
        <f t="shared" si="6"/>
        <v>M</v>
      </c>
      <c r="L40" s="318" t="str">
        <f t="shared" si="7"/>
        <v>2</v>
      </c>
      <c r="M40" s="279"/>
    </row>
    <row r="41" spans="1:13" ht="60" customHeight="1">
      <c r="A41" s="277"/>
      <c r="B41" s="312" t="s">
        <v>719</v>
      </c>
      <c r="C41" s="313" t="s">
        <v>736</v>
      </c>
      <c r="D41" s="314" t="s">
        <v>737</v>
      </c>
      <c r="E41" s="315" t="s">
        <v>738</v>
      </c>
      <c r="F41" s="316" t="s">
        <v>679</v>
      </c>
      <c r="G41" s="316" t="s">
        <v>739</v>
      </c>
      <c r="H41" s="317">
        <f t="shared" si="0"/>
        <v>3</v>
      </c>
      <c r="I41" s="317">
        <f t="shared" si="0"/>
        <v>1</v>
      </c>
      <c r="J41" s="317">
        <f t="shared" si="1"/>
        <v>4</v>
      </c>
      <c r="K41" s="317" t="str">
        <f t="shared" si="6"/>
        <v>M</v>
      </c>
      <c r="L41" s="318" t="str">
        <f t="shared" si="7"/>
        <v>2</v>
      </c>
      <c r="M41" s="279"/>
    </row>
    <row r="42" spans="1:13" ht="60" customHeight="1">
      <c r="A42" s="277"/>
      <c r="B42" s="319" t="s">
        <v>741</v>
      </c>
      <c r="C42" s="320" t="s">
        <v>742</v>
      </c>
      <c r="D42" s="321" t="s">
        <v>743</v>
      </c>
      <c r="E42" s="322" t="s">
        <v>744</v>
      </c>
      <c r="F42" s="323" t="s">
        <v>535</v>
      </c>
      <c r="G42" s="323" t="s">
        <v>535</v>
      </c>
      <c r="H42" s="324">
        <f t="shared" si="0"/>
        <v>3</v>
      </c>
      <c r="I42" s="324">
        <f t="shared" si="0"/>
        <v>3</v>
      </c>
      <c r="J42" s="324">
        <f t="shared" si="1"/>
        <v>6</v>
      </c>
      <c r="K42" s="324" t="str">
        <f>IF(SUM(J42)&gt;=5,"H",IF(SUM(J42)&gt;=3,"M","L"))</f>
        <v>H</v>
      </c>
      <c r="L42" s="325" t="str">
        <f>IF(SUM(J42)&gt;=5,"3",IF(SUM(J42)&gt;=3,"2","1"))</f>
        <v>3</v>
      </c>
      <c r="M42" s="279"/>
    </row>
    <row r="43" spans="1:13" ht="60" customHeight="1">
      <c r="A43" s="277"/>
      <c r="B43" s="319" t="s">
        <v>745</v>
      </c>
      <c r="C43" s="326" t="s">
        <v>746</v>
      </c>
      <c r="D43" s="327" t="s">
        <v>747</v>
      </c>
      <c r="E43" s="328" t="s">
        <v>748</v>
      </c>
      <c r="F43" s="323" t="s">
        <v>535</v>
      </c>
      <c r="G43" s="323" t="s">
        <v>749</v>
      </c>
      <c r="H43" s="324">
        <f t="shared" si="0"/>
        <v>3</v>
      </c>
      <c r="I43" s="324">
        <f t="shared" si="0"/>
        <v>2</v>
      </c>
      <c r="J43" s="324">
        <f t="shared" si="1"/>
        <v>5</v>
      </c>
      <c r="K43" s="324" t="str">
        <f t="shared" ref="K43:K70" si="8">IF(SUM(J43)&gt;=5,"H",IF(SUM(J43)&gt;=3,"M","L"))</f>
        <v>H</v>
      </c>
      <c r="L43" s="325" t="str">
        <f t="shared" ref="L43:L70" si="9">IF(SUM(J43)&gt;=5,"3",IF(SUM(J43)&gt;=3,"2","1"))</f>
        <v>3</v>
      </c>
      <c r="M43" s="279"/>
    </row>
    <row r="44" spans="1:13" ht="60" customHeight="1">
      <c r="A44" s="277"/>
      <c r="B44" s="319" t="s">
        <v>741</v>
      </c>
      <c r="C44" s="320" t="s">
        <v>750</v>
      </c>
      <c r="D44" s="321" t="s">
        <v>751</v>
      </c>
      <c r="E44" s="322" t="s">
        <v>752</v>
      </c>
      <c r="F44" s="323" t="s">
        <v>535</v>
      </c>
      <c r="G44" s="323" t="s">
        <v>534</v>
      </c>
      <c r="H44" s="324">
        <f t="shared" si="0"/>
        <v>3</v>
      </c>
      <c r="I44" s="324">
        <f t="shared" si="0"/>
        <v>2</v>
      </c>
      <c r="J44" s="324">
        <f t="shared" si="1"/>
        <v>5</v>
      </c>
      <c r="K44" s="324" t="str">
        <f t="shared" si="8"/>
        <v>H</v>
      </c>
      <c r="L44" s="325" t="str">
        <f t="shared" si="9"/>
        <v>3</v>
      </c>
      <c r="M44" s="279"/>
    </row>
    <row r="45" spans="1:13" ht="60" customHeight="1">
      <c r="A45" s="277"/>
      <c r="B45" s="319" t="s">
        <v>741</v>
      </c>
      <c r="C45" s="326" t="s">
        <v>753</v>
      </c>
      <c r="D45" s="321" t="s">
        <v>754</v>
      </c>
      <c r="E45" s="322" t="s">
        <v>755</v>
      </c>
      <c r="F45" s="323" t="s">
        <v>535</v>
      </c>
      <c r="G45" s="323" t="s">
        <v>534</v>
      </c>
      <c r="H45" s="324">
        <f t="shared" si="0"/>
        <v>3</v>
      </c>
      <c r="I45" s="324">
        <f t="shared" si="0"/>
        <v>2</v>
      </c>
      <c r="J45" s="324">
        <f t="shared" si="1"/>
        <v>5</v>
      </c>
      <c r="K45" s="324" t="str">
        <f t="shared" si="8"/>
        <v>H</v>
      </c>
      <c r="L45" s="325" t="str">
        <f t="shared" si="9"/>
        <v>3</v>
      </c>
      <c r="M45" s="279"/>
    </row>
    <row r="46" spans="1:13" ht="60" customHeight="1">
      <c r="A46" s="277"/>
      <c r="B46" s="319" t="s">
        <v>745</v>
      </c>
      <c r="C46" s="320" t="s">
        <v>756</v>
      </c>
      <c r="D46" s="321" t="s">
        <v>757</v>
      </c>
      <c r="E46" s="322" t="s">
        <v>758</v>
      </c>
      <c r="F46" s="323" t="s">
        <v>535</v>
      </c>
      <c r="G46" s="323" t="s">
        <v>535</v>
      </c>
      <c r="H46" s="324">
        <f t="shared" si="0"/>
        <v>3</v>
      </c>
      <c r="I46" s="324">
        <f t="shared" si="0"/>
        <v>3</v>
      </c>
      <c r="J46" s="324">
        <f t="shared" si="1"/>
        <v>6</v>
      </c>
      <c r="K46" s="324" t="str">
        <f t="shared" si="8"/>
        <v>H</v>
      </c>
      <c r="L46" s="325" t="str">
        <f t="shared" si="9"/>
        <v>3</v>
      </c>
      <c r="M46" s="279"/>
    </row>
    <row r="47" spans="1:13" ht="60" customHeight="1">
      <c r="A47" s="277"/>
      <c r="B47" s="319" t="s">
        <v>745</v>
      </c>
      <c r="C47" s="326" t="s">
        <v>759</v>
      </c>
      <c r="D47" s="321" t="s">
        <v>760</v>
      </c>
      <c r="E47" s="322" t="s">
        <v>761</v>
      </c>
      <c r="F47" s="323" t="s">
        <v>534</v>
      </c>
      <c r="G47" s="323" t="s">
        <v>534</v>
      </c>
      <c r="H47" s="324">
        <f t="shared" si="0"/>
        <v>2</v>
      </c>
      <c r="I47" s="324">
        <f t="shared" si="0"/>
        <v>2</v>
      </c>
      <c r="J47" s="324">
        <f t="shared" si="1"/>
        <v>4</v>
      </c>
      <c r="K47" s="324" t="str">
        <f t="shared" si="8"/>
        <v>M</v>
      </c>
      <c r="L47" s="325" t="str">
        <f t="shared" si="9"/>
        <v>2</v>
      </c>
      <c r="M47" s="279"/>
    </row>
    <row r="48" spans="1:13" ht="60" customHeight="1">
      <c r="A48" s="277"/>
      <c r="B48" s="319" t="s">
        <v>745</v>
      </c>
      <c r="C48" s="320" t="s">
        <v>762</v>
      </c>
      <c r="D48" s="321" t="s">
        <v>763</v>
      </c>
      <c r="E48" s="322" t="s">
        <v>764</v>
      </c>
      <c r="F48" s="323" t="s">
        <v>535</v>
      </c>
      <c r="G48" s="323" t="s">
        <v>534</v>
      </c>
      <c r="H48" s="324">
        <f t="shared" si="0"/>
        <v>3</v>
      </c>
      <c r="I48" s="324">
        <f t="shared" si="0"/>
        <v>2</v>
      </c>
      <c r="J48" s="324">
        <f t="shared" si="1"/>
        <v>5</v>
      </c>
      <c r="K48" s="324" t="str">
        <f t="shared" si="8"/>
        <v>H</v>
      </c>
      <c r="L48" s="325" t="str">
        <f t="shared" si="9"/>
        <v>3</v>
      </c>
      <c r="M48" s="279"/>
    </row>
    <row r="49" spans="1:13" ht="60" customHeight="1">
      <c r="A49" s="277"/>
      <c r="B49" s="319" t="s">
        <v>745</v>
      </c>
      <c r="C49" s="326" t="s">
        <v>765</v>
      </c>
      <c r="D49" s="321" t="s">
        <v>527</v>
      </c>
      <c r="E49" s="322" t="s">
        <v>766</v>
      </c>
      <c r="F49" s="323" t="s">
        <v>535</v>
      </c>
      <c r="G49" s="323" t="s">
        <v>535</v>
      </c>
      <c r="H49" s="324">
        <f t="shared" si="0"/>
        <v>3</v>
      </c>
      <c r="I49" s="324">
        <f t="shared" si="0"/>
        <v>3</v>
      </c>
      <c r="J49" s="324">
        <f t="shared" si="1"/>
        <v>6</v>
      </c>
      <c r="K49" s="324" t="str">
        <f t="shared" si="8"/>
        <v>H</v>
      </c>
      <c r="L49" s="325" t="str">
        <f t="shared" si="9"/>
        <v>3</v>
      </c>
      <c r="M49" s="279"/>
    </row>
    <row r="50" spans="1:13" ht="60" customHeight="1">
      <c r="A50" s="277"/>
      <c r="B50" s="319" t="s">
        <v>745</v>
      </c>
      <c r="C50" s="320" t="s">
        <v>767</v>
      </c>
      <c r="D50" s="321" t="s">
        <v>768</v>
      </c>
      <c r="E50" s="322" t="s">
        <v>769</v>
      </c>
      <c r="F50" s="323" t="s">
        <v>534</v>
      </c>
      <c r="G50" s="323" t="s">
        <v>534</v>
      </c>
      <c r="H50" s="324">
        <f t="shared" si="0"/>
        <v>2</v>
      </c>
      <c r="I50" s="324">
        <f t="shared" si="0"/>
        <v>2</v>
      </c>
      <c r="J50" s="324">
        <f t="shared" si="1"/>
        <v>4</v>
      </c>
      <c r="K50" s="324" t="str">
        <f t="shared" si="8"/>
        <v>M</v>
      </c>
      <c r="L50" s="325" t="str">
        <f t="shared" si="9"/>
        <v>2</v>
      </c>
      <c r="M50" s="279"/>
    </row>
    <row r="51" spans="1:13" ht="60" customHeight="1">
      <c r="A51" s="277"/>
      <c r="B51" s="319" t="s">
        <v>741</v>
      </c>
      <c r="C51" s="326" t="s">
        <v>770</v>
      </c>
      <c r="D51" s="321" t="s">
        <v>771</v>
      </c>
      <c r="E51" s="322" t="s">
        <v>772</v>
      </c>
      <c r="F51" s="323" t="s">
        <v>629</v>
      </c>
      <c r="G51" s="323" t="s">
        <v>534</v>
      </c>
      <c r="H51" s="324">
        <f t="shared" si="0"/>
        <v>1</v>
      </c>
      <c r="I51" s="324">
        <f t="shared" si="0"/>
        <v>2</v>
      </c>
      <c r="J51" s="324">
        <f t="shared" si="1"/>
        <v>3</v>
      </c>
      <c r="K51" s="324" t="str">
        <f t="shared" si="8"/>
        <v>M</v>
      </c>
      <c r="L51" s="325" t="str">
        <f t="shared" si="9"/>
        <v>2</v>
      </c>
      <c r="M51" s="279"/>
    </row>
    <row r="52" spans="1:13" ht="60" customHeight="1">
      <c r="A52" s="277"/>
      <c r="B52" s="319" t="s">
        <v>745</v>
      </c>
      <c r="C52" s="320" t="s">
        <v>773</v>
      </c>
      <c r="D52" s="321" t="s">
        <v>774</v>
      </c>
      <c r="E52" s="322" t="s">
        <v>775</v>
      </c>
      <c r="F52" s="323" t="s">
        <v>535</v>
      </c>
      <c r="G52" s="323" t="s">
        <v>534</v>
      </c>
      <c r="H52" s="324">
        <f t="shared" si="0"/>
        <v>3</v>
      </c>
      <c r="I52" s="324">
        <f t="shared" si="0"/>
        <v>2</v>
      </c>
      <c r="J52" s="324">
        <f t="shared" si="1"/>
        <v>5</v>
      </c>
      <c r="K52" s="324" t="str">
        <f t="shared" si="8"/>
        <v>H</v>
      </c>
      <c r="L52" s="325" t="str">
        <f t="shared" si="9"/>
        <v>3</v>
      </c>
      <c r="M52" s="279"/>
    </row>
    <row r="53" spans="1:13" ht="60" customHeight="1">
      <c r="A53" s="277"/>
      <c r="B53" s="319" t="s">
        <v>741</v>
      </c>
      <c r="C53" s="326" t="s">
        <v>776</v>
      </c>
      <c r="D53" s="321" t="s">
        <v>528</v>
      </c>
      <c r="E53" s="322" t="s">
        <v>777</v>
      </c>
      <c r="F53" s="323" t="s">
        <v>534</v>
      </c>
      <c r="G53" s="323" t="s">
        <v>534</v>
      </c>
      <c r="H53" s="324">
        <f t="shared" si="0"/>
        <v>2</v>
      </c>
      <c r="I53" s="324">
        <f t="shared" si="0"/>
        <v>2</v>
      </c>
      <c r="J53" s="324">
        <f t="shared" si="1"/>
        <v>4</v>
      </c>
      <c r="K53" s="324" t="str">
        <f t="shared" si="8"/>
        <v>M</v>
      </c>
      <c r="L53" s="325" t="str">
        <f t="shared" si="9"/>
        <v>2</v>
      </c>
      <c r="M53" s="279"/>
    </row>
    <row r="54" spans="1:13" ht="60" customHeight="1">
      <c r="A54" s="277"/>
      <c r="B54" s="319" t="s">
        <v>745</v>
      </c>
      <c r="C54" s="320" t="s">
        <v>778</v>
      </c>
      <c r="D54" s="321" t="s">
        <v>779</v>
      </c>
      <c r="E54" s="322" t="s">
        <v>780</v>
      </c>
      <c r="F54" s="323" t="s">
        <v>535</v>
      </c>
      <c r="G54" s="323" t="s">
        <v>629</v>
      </c>
      <c r="H54" s="324">
        <f t="shared" si="0"/>
        <v>3</v>
      </c>
      <c r="I54" s="324">
        <f t="shared" si="0"/>
        <v>1</v>
      </c>
      <c r="J54" s="324">
        <f t="shared" si="1"/>
        <v>4</v>
      </c>
      <c r="K54" s="324" t="str">
        <f t="shared" si="8"/>
        <v>M</v>
      </c>
      <c r="L54" s="325" t="str">
        <f t="shared" si="9"/>
        <v>2</v>
      </c>
      <c r="M54" s="279"/>
    </row>
    <row r="55" spans="1:13" ht="60" customHeight="1">
      <c r="A55" s="277"/>
      <c r="B55" s="319" t="s">
        <v>740</v>
      </c>
      <c r="C55" s="326" t="s">
        <v>781</v>
      </c>
      <c r="D55" s="329" t="s">
        <v>529</v>
      </c>
      <c r="E55" s="322" t="s">
        <v>782</v>
      </c>
      <c r="F55" s="323" t="s">
        <v>534</v>
      </c>
      <c r="G55" s="323" t="s">
        <v>535</v>
      </c>
      <c r="H55" s="324">
        <f t="shared" si="0"/>
        <v>2</v>
      </c>
      <c r="I55" s="324">
        <f t="shared" si="0"/>
        <v>3</v>
      </c>
      <c r="J55" s="324">
        <f t="shared" si="1"/>
        <v>5</v>
      </c>
      <c r="K55" s="324" t="str">
        <f t="shared" si="8"/>
        <v>H</v>
      </c>
      <c r="L55" s="325" t="str">
        <f t="shared" si="9"/>
        <v>3</v>
      </c>
      <c r="M55" s="279"/>
    </row>
    <row r="56" spans="1:13" ht="60" customHeight="1">
      <c r="A56" s="277"/>
      <c r="B56" s="319" t="s">
        <v>745</v>
      </c>
      <c r="C56" s="320" t="s">
        <v>783</v>
      </c>
      <c r="D56" s="329" t="s">
        <v>784</v>
      </c>
      <c r="E56" s="322" t="s">
        <v>785</v>
      </c>
      <c r="F56" s="323" t="s">
        <v>535</v>
      </c>
      <c r="G56" s="323" t="s">
        <v>534</v>
      </c>
      <c r="H56" s="324">
        <f t="shared" si="0"/>
        <v>3</v>
      </c>
      <c r="I56" s="324">
        <f t="shared" si="0"/>
        <v>2</v>
      </c>
      <c r="J56" s="324">
        <f t="shared" si="1"/>
        <v>5</v>
      </c>
      <c r="K56" s="324" t="str">
        <f t="shared" si="8"/>
        <v>H</v>
      </c>
      <c r="L56" s="325" t="str">
        <f t="shared" si="9"/>
        <v>3</v>
      </c>
      <c r="M56" s="279"/>
    </row>
    <row r="57" spans="1:13" ht="60" customHeight="1">
      <c r="A57" s="277"/>
      <c r="B57" s="319" t="s">
        <v>745</v>
      </c>
      <c r="C57" s="326" t="s">
        <v>786</v>
      </c>
      <c r="D57" s="329" t="s">
        <v>787</v>
      </c>
      <c r="E57" s="322" t="s">
        <v>788</v>
      </c>
      <c r="F57" s="323" t="s">
        <v>535</v>
      </c>
      <c r="G57" s="323" t="s">
        <v>629</v>
      </c>
      <c r="H57" s="324">
        <f t="shared" si="0"/>
        <v>3</v>
      </c>
      <c r="I57" s="324">
        <f t="shared" si="0"/>
        <v>1</v>
      </c>
      <c r="J57" s="324">
        <f t="shared" si="1"/>
        <v>4</v>
      </c>
      <c r="K57" s="324" t="str">
        <f t="shared" si="8"/>
        <v>M</v>
      </c>
      <c r="L57" s="325" t="str">
        <f t="shared" si="9"/>
        <v>2</v>
      </c>
      <c r="M57" s="279"/>
    </row>
    <row r="58" spans="1:13" ht="60" customHeight="1">
      <c r="A58" s="277"/>
      <c r="B58" s="319" t="s">
        <v>745</v>
      </c>
      <c r="C58" s="320" t="s">
        <v>789</v>
      </c>
      <c r="D58" s="329" t="s">
        <v>790</v>
      </c>
      <c r="E58" s="322" t="s">
        <v>791</v>
      </c>
      <c r="F58" s="323" t="s">
        <v>535</v>
      </c>
      <c r="G58" s="323" t="s">
        <v>535</v>
      </c>
      <c r="H58" s="324">
        <f t="shared" si="0"/>
        <v>3</v>
      </c>
      <c r="I58" s="324">
        <f t="shared" si="0"/>
        <v>3</v>
      </c>
      <c r="J58" s="324">
        <f t="shared" si="1"/>
        <v>6</v>
      </c>
      <c r="K58" s="324" t="str">
        <f t="shared" si="8"/>
        <v>H</v>
      </c>
      <c r="L58" s="325" t="str">
        <f t="shared" si="9"/>
        <v>3</v>
      </c>
      <c r="M58" s="279"/>
    </row>
    <row r="59" spans="1:13" ht="60" customHeight="1">
      <c r="A59" s="277"/>
      <c r="B59" s="319" t="s">
        <v>741</v>
      </c>
      <c r="C59" s="326" t="s">
        <v>792</v>
      </c>
      <c r="D59" s="321" t="s">
        <v>793</v>
      </c>
      <c r="E59" s="322" t="s">
        <v>794</v>
      </c>
      <c r="F59" s="323" t="s">
        <v>534</v>
      </c>
      <c r="G59" s="323" t="s">
        <v>534</v>
      </c>
      <c r="H59" s="324">
        <f t="shared" si="0"/>
        <v>2</v>
      </c>
      <c r="I59" s="324">
        <f t="shared" si="0"/>
        <v>2</v>
      </c>
      <c r="J59" s="324">
        <f t="shared" si="1"/>
        <v>4</v>
      </c>
      <c r="K59" s="324" t="str">
        <f t="shared" si="8"/>
        <v>M</v>
      </c>
      <c r="L59" s="325" t="str">
        <f t="shared" si="9"/>
        <v>2</v>
      </c>
      <c r="M59" s="279"/>
    </row>
    <row r="60" spans="1:13" ht="60" customHeight="1">
      <c r="A60" s="277"/>
      <c r="B60" s="319" t="s">
        <v>745</v>
      </c>
      <c r="C60" s="320" t="s">
        <v>795</v>
      </c>
      <c r="D60" s="321" t="s">
        <v>796</v>
      </c>
      <c r="E60" s="322" t="s">
        <v>797</v>
      </c>
      <c r="F60" s="323" t="s">
        <v>535</v>
      </c>
      <c r="G60" s="323" t="s">
        <v>535</v>
      </c>
      <c r="H60" s="324">
        <f t="shared" si="0"/>
        <v>3</v>
      </c>
      <c r="I60" s="324">
        <f t="shared" si="0"/>
        <v>3</v>
      </c>
      <c r="J60" s="324">
        <f t="shared" si="1"/>
        <v>6</v>
      </c>
      <c r="K60" s="324" t="str">
        <f t="shared" si="8"/>
        <v>H</v>
      </c>
      <c r="L60" s="325" t="str">
        <f t="shared" si="9"/>
        <v>3</v>
      </c>
      <c r="M60" s="279"/>
    </row>
    <row r="61" spans="1:13" ht="60" customHeight="1">
      <c r="A61" s="277"/>
      <c r="B61" s="319" t="s">
        <v>798</v>
      </c>
      <c r="C61" s="326" t="s">
        <v>799</v>
      </c>
      <c r="D61" s="329" t="s">
        <v>800</v>
      </c>
      <c r="E61" s="322" t="s">
        <v>801</v>
      </c>
      <c r="F61" s="323" t="s">
        <v>534</v>
      </c>
      <c r="G61" s="323" t="s">
        <v>535</v>
      </c>
      <c r="H61" s="324">
        <v>2</v>
      </c>
      <c r="I61" s="324">
        <v>3</v>
      </c>
      <c r="J61" s="324">
        <v>5</v>
      </c>
      <c r="K61" s="324" t="str">
        <f t="shared" si="8"/>
        <v>H</v>
      </c>
      <c r="L61" s="325" t="str">
        <f t="shared" si="9"/>
        <v>3</v>
      </c>
      <c r="M61" s="279"/>
    </row>
    <row r="62" spans="1:13" ht="60" customHeight="1">
      <c r="A62" s="277"/>
      <c r="B62" s="319" t="s">
        <v>798</v>
      </c>
      <c r="C62" s="320" t="s">
        <v>802</v>
      </c>
      <c r="D62" s="329" t="s">
        <v>803</v>
      </c>
      <c r="E62" s="322" t="s">
        <v>804</v>
      </c>
      <c r="F62" s="323" t="s">
        <v>535</v>
      </c>
      <c r="G62" s="323" t="s">
        <v>535</v>
      </c>
      <c r="H62" s="324">
        <v>3</v>
      </c>
      <c r="I62" s="324">
        <v>3</v>
      </c>
      <c r="J62" s="324">
        <v>6</v>
      </c>
      <c r="K62" s="324" t="str">
        <f t="shared" si="8"/>
        <v>H</v>
      </c>
      <c r="L62" s="325" t="str">
        <f t="shared" si="9"/>
        <v>3</v>
      </c>
      <c r="M62" s="279"/>
    </row>
    <row r="63" spans="1:13" ht="60" customHeight="1">
      <c r="A63" s="277"/>
      <c r="B63" s="319" t="s">
        <v>798</v>
      </c>
      <c r="C63" s="326" t="s">
        <v>805</v>
      </c>
      <c r="D63" s="329" t="s">
        <v>806</v>
      </c>
      <c r="E63" s="322" t="s">
        <v>807</v>
      </c>
      <c r="F63" s="323" t="s">
        <v>535</v>
      </c>
      <c r="G63" s="323" t="s">
        <v>535</v>
      </c>
      <c r="H63" s="324">
        <v>3</v>
      </c>
      <c r="I63" s="324">
        <v>3</v>
      </c>
      <c r="J63" s="324">
        <v>6</v>
      </c>
      <c r="K63" s="324" t="str">
        <f t="shared" si="8"/>
        <v>H</v>
      </c>
      <c r="L63" s="325" t="str">
        <f t="shared" si="9"/>
        <v>3</v>
      </c>
      <c r="M63" s="279"/>
    </row>
    <row r="64" spans="1:13" ht="60" customHeight="1">
      <c r="A64" s="277"/>
      <c r="B64" s="319" t="s">
        <v>798</v>
      </c>
      <c r="C64" s="320" t="s">
        <v>808</v>
      </c>
      <c r="D64" s="329" t="s">
        <v>809</v>
      </c>
      <c r="E64" s="322" t="s">
        <v>810</v>
      </c>
      <c r="F64" s="323" t="s">
        <v>535</v>
      </c>
      <c r="G64" s="323" t="s">
        <v>535</v>
      </c>
      <c r="H64" s="324">
        <v>3</v>
      </c>
      <c r="I64" s="324">
        <v>3</v>
      </c>
      <c r="J64" s="324">
        <v>6</v>
      </c>
      <c r="K64" s="324" t="str">
        <f t="shared" si="8"/>
        <v>H</v>
      </c>
      <c r="L64" s="325" t="str">
        <f t="shared" si="9"/>
        <v>3</v>
      </c>
      <c r="M64" s="279"/>
    </row>
    <row r="65" spans="1:13" ht="60" customHeight="1">
      <c r="A65" s="277"/>
      <c r="B65" s="319" t="s">
        <v>798</v>
      </c>
      <c r="C65" s="326" t="s">
        <v>811</v>
      </c>
      <c r="D65" s="329" t="s">
        <v>812</v>
      </c>
      <c r="E65" s="322" t="s">
        <v>813</v>
      </c>
      <c r="F65" s="323" t="s">
        <v>535</v>
      </c>
      <c r="G65" s="323" t="s">
        <v>535</v>
      </c>
      <c r="H65" s="324">
        <v>3</v>
      </c>
      <c r="I65" s="324">
        <v>3</v>
      </c>
      <c r="J65" s="324">
        <v>6</v>
      </c>
      <c r="K65" s="324" t="str">
        <f t="shared" si="8"/>
        <v>H</v>
      </c>
      <c r="L65" s="325" t="str">
        <f t="shared" si="9"/>
        <v>3</v>
      </c>
      <c r="M65" s="279"/>
    </row>
    <row r="66" spans="1:13" ht="60" customHeight="1">
      <c r="A66" s="277"/>
      <c r="B66" s="319" t="s">
        <v>798</v>
      </c>
      <c r="C66" s="320" t="s">
        <v>814</v>
      </c>
      <c r="D66" s="329" t="s">
        <v>815</v>
      </c>
      <c r="E66" s="322" t="s">
        <v>816</v>
      </c>
      <c r="F66" s="323" t="s">
        <v>535</v>
      </c>
      <c r="G66" s="323" t="s">
        <v>535</v>
      </c>
      <c r="H66" s="324">
        <v>3</v>
      </c>
      <c r="I66" s="324">
        <v>3</v>
      </c>
      <c r="J66" s="324">
        <v>6</v>
      </c>
      <c r="K66" s="324" t="str">
        <f t="shared" si="8"/>
        <v>H</v>
      </c>
      <c r="L66" s="325" t="str">
        <f t="shared" si="9"/>
        <v>3</v>
      </c>
      <c r="M66" s="279"/>
    </row>
    <row r="67" spans="1:13" ht="60" customHeight="1">
      <c r="A67" s="277"/>
      <c r="B67" s="319" t="s">
        <v>798</v>
      </c>
      <c r="C67" s="326" t="s">
        <v>817</v>
      </c>
      <c r="D67" s="329" t="s">
        <v>818</v>
      </c>
      <c r="E67" s="322" t="s">
        <v>819</v>
      </c>
      <c r="F67" s="323" t="s">
        <v>535</v>
      </c>
      <c r="G67" s="323" t="s">
        <v>535</v>
      </c>
      <c r="H67" s="324">
        <v>3</v>
      </c>
      <c r="I67" s="324">
        <v>3</v>
      </c>
      <c r="J67" s="324">
        <v>6</v>
      </c>
      <c r="K67" s="324" t="str">
        <f t="shared" si="8"/>
        <v>H</v>
      </c>
      <c r="L67" s="325" t="str">
        <f t="shared" si="9"/>
        <v>3</v>
      </c>
      <c r="M67" s="279"/>
    </row>
    <row r="68" spans="1:13" ht="60" customHeight="1">
      <c r="A68" s="277"/>
      <c r="B68" s="319" t="s">
        <v>798</v>
      </c>
      <c r="C68" s="320" t="s">
        <v>820</v>
      </c>
      <c r="D68" s="329" t="s">
        <v>821</v>
      </c>
      <c r="E68" s="322" t="s">
        <v>822</v>
      </c>
      <c r="F68" s="323" t="s">
        <v>535</v>
      </c>
      <c r="G68" s="323" t="s">
        <v>535</v>
      </c>
      <c r="H68" s="324">
        <v>3</v>
      </c>
      <c r="I68" s="324">
        <v>3</v>
      </c>
      <c r="J68" s="324">
        <v>6</v>
      </c>
      <c r="K68" s="324" t="str">
        <f t="shared" si="8"/>
        <v>H</v>
      </c>
      <c r="L68" s="325" t="str">
        <f t="shared" si="9"/>
        <v>3</v>
      </c>
      <c r="M68" s="279"/>
    </row>
    <row r="69" spans="1:13" ht="60" customHeight="1">
      <c r="A69" s="277"/>
      <c r="B69" s="319" t="s">
        <v>798</v>
      </c>
      <c r="C69" s="326" t="s">
        <v>823</v>
      </c>
      <c r="D69" s="329" t="s">
        <v>824</v>
      </c>
      <c r="E69" s="322" t="s">
        <v>825</v>
      </c>
      <c r="F69" s="323" t="s">
        <v>535</v>
      </c>
      <c r="G69" s="323" t="s">
        <v>534</v>
      </c>
      <c r="H69" s="324">
        <v>3</v>
      </c>
      <c r="I69" s="324">
        <v>2</v>
      </c>
      <c r="J69" s="324">
        <v>5</v>
      </c>
      <c r="K69" s="324" t="str">
        <f t="shared" si="8"/>
        <v>H</v>
      </c>
      <c r="L69" s="325" t="str">
        <f t="shared" si="9"/>
        <v>3</v>
      </c>
      <c r="M69" s="279"/>
    </row>
    <row r="70" spans="1:13" ht="60" customHeight="1">
      <c r="A70" s="277"/>
      <c r="B70" s="319" t="s">
        <v>798</v>
      </c>
      <c r="C70" s="320" t="s">
        <v>826</v>
      </c>
      <c r="D70" s="329" t="s">
        <v>827</v>
      </c>
      <c r="E70" s="322" t="s">
        <v>828</v>
      </c>
      <c r="F70" s="323" t="s">
        <v>535</v>
      </c>
      <c r="G70" s="323" t="s">
        <v>534</v>
      </c>
      <c r="H70" s="324">
        <v>3</v>
      </c>
      <c r="I70" s="324">
        <v>2</v>
      </c>
      <c r="J70" s="324">
        <v>5</v>
      </c>
      <c r="K70" s="324" t="str">
        <f t="shared" si="8"/>
        <v>H</v>
      </c>
      <c r="L70" s="325" t="str">
        <f t="shared" si="9"/>
        <v>3</v>
      </c>
      <c r="M70" s="279"/>
    </row>
    <row r="71" spans="1:13" ht="60" customHeight="1">
      <c r="A71" s="277"/>
      <c r="B71" s="330" t="s">
        <v>829</v>
      </c>
      <c r="C71" s="331" t="s">
        <v>830</v>
      </c>
      <c r="D71" s="332" t="s">
        <v>831</v>
      </c>
      <c r="E71" s="333" t="s">
        <v>832</v>
      </c>
      <c r="F71" s="334" t="s">
        <v>534</v>
      </c>
      <c r="G71" s="334" t="s">
        <v>629</v>
      </c>
      <c r="H71" s="335">
        <f t="shared" si="0"/>
        <v>2</v>
      </c>
      <c r="I71" s="335">
        <f t="shared" si="0"/>
        <v>1</v>
      </c>
      <c r="J71" s="335">
        <f t="shared" si="1"/>
        <v>3</v>
      </c>
      <c r="K71" s="335" t="str">
        <f>IF(SUM(J71)&gt;=5,"H",IF(SUM(J71)&gt;=3,"M","L"))</f>
        <v>M</v>
      </c>
      <c r="L71" s="336" t="str">
        <f>IF(SUM(J71)&gt;=5,"3",IF(SUM(J71)&gt;=3,"2","1"))</f>
        <v>2</v>
      </c>
      <c r="M71" s="279"/>
    </row>
    <row r="72" spans="1:13" ht="60" customHeight="1">
      <c r="A72" s="277"/>
      <c r="B72" s="330" t="s">
        <v>829</v>
      </c>
      <c r="C72" s="331" t="s">
        <v>833</v>
      </c>
      <c r="D72" s="332" t="s">
        <v>834</v>
      </c>
      <c r="E72" s="333" t="s">
        <v>835</v>
      </c>
      <c r="F72" s="334" t="s">
        <v>534</v>
      </c>
      <c r="G72" s="334" t="s">
        <v>629</v>
      </c>
      <c r="H72" s="335">
        <f t="shared" si="0"/>
        <v>2</v>
      </c>
      <c r="I72" s="335">
        <f t="shared" si="0"/>
        <v>1</v>
      </c>
      <c r="J72" s="335">
        <f t="shared" si="1"/>
        <v>3</v>
      </c>
      <c r="K72" s="335" t="str">
        <f t="shared" ref="K72:K86" si="10">IF(SUM(J72)&gt;=5,"H",IF(SUM(J72)&gt;=3,"M","L"))</f>
        <v>M</v>
      </c>
      <c r="L72" s="336" t="str">
        <f t="shared" ref="L72:L86" si="11">IF(SUM(J72)&gt;=5,"3",IF(SUM(J72)&gt;=3,"2","1"))</f>
        <v>2</v>
      </c>
      <c r="M72" s="279"/>
    </row>
    <row r="73" spans="1:13" ht="60" customHeight="1">
      <c r="A73" s="277"/>
      <c r="B73" s="330" t="s">
        <v>836</v>
      </c>
      <c r="C73" s="331" t="s">
        <v>837</v>
      </c>
      <c r="D73" s="332" t="s">
        <v>838</v>
      </c>
      <c r="E73" s="333" t="s">
        <v>839</v>
      </c>
      <c r="F73" s="334" t="s">
        <v>535</v>
      </c>
      <c r="G73" s="334" t="s">
        <v>534</v>
      </c>
      <c r="H73" s="335">
        <f t="shared" ref="H73:I96" si="12">IF(F73="H",3,IF(F73="M",2,IF(F73="L",1)))</f>
        <v>3</v>
      </c>
      <c r="I73" s="335">
        <f t="shared" si="12"/>
        <v>2</v>
      </c>
      <c r="J73" s="335">
        <f t="shared" ref="J73:J96" si="13">SUM(H73:I73)</f>
        <v>5</v>
      </c>
      <c r="K73" s="335" t="str">
        <f t="shared" si="10"/>
        <v>H</v>
      </c>
      <c r="L73" s="336" t="str">
        <f t="shared" si="11"/>
        <v>3</v>
      </c>
      <c r="M73" s="279"/>
    </row>
    <row r="74" spans="1:13" ht="60" customHeight="1">
      <c r="A74" s="277"/>
      <c r="B74" s="330" t="s">
        <v>829</v>
      </c>
      <c r="C74" s="331" t="s">
        <v>840</v>
      </c>
      <c r="D74" s="332" t="s">
        <v>841</v>
      </c>
      <c r="E74" s="333" t="s">
        <v>842</v>
      </c>
      <c r="F74" s="334" t="s">
        <v>629</v>
      </c>
      <c r="G74" s="334" t="s">
        <v>629</v>
      </c>
      <c r="H74" s="335">
        <f t="shared" si="12"/>
        <v>1</v>
      </c>
      <c r="I74" s="335">
        <f t="shared" si="12"/>
        <v>1</v>
      </c>
      <c r="J74" s="335">
        <f t="shared" si="13"/>
        <v>2</v>
      </c>
      <c r="K74" s="335" t="str">
        <f t="shared" si="10"/>
        <v>L</v>
      </c>
      <c r="L74" s="336" t="str">
        <f t="shared" si="11"/>
        <v>1</v>
      </c>
      <c r="M74" s="279"/>
    </row>
    <row r="75" spans="1:13" ht="60" customHeight="1">
      <c r="A75" s="277"/>
      <c r="B75" s="330" t="s">
        <v>836</v>
      </c>
      <c r="C75" s="331" t="s">
        <v>843</v>
      </c>
      <c r="D75" s="332" t="s">
        <v>844</v>
      </c>
      <c r="E75" s="333" t="s">
        <v>845</v>
      </c>
      <c r="F75" s="334" t="s">
        <v>534</v>
      </c>
      <c r="G75" s="334" t="s">
        <v>629</v>
      </c>
      <c r="H75" s="335">
        <f t="shared" si="12"/>
        <v>2</v>
      </c>
      <c r="I75" s="335">
        <f t="shared" si="12"/>
        <v>1</v>
      </c>
      <c r="J75" s="335">
        <f t="shared" si="13"/>
        <v>3</v>
      </c>
      <c r="K75" s="335" t="str">
        <f t="shared" si="10"/>
        <v>M</v>
      </c>
      <c r="L75" s="336" t="str">
        <f t="shared" si="11"/>
        <v>2</v>
      </c>
      <c r="M75" s="279"/>
    </row>
    <row r="76" spans="1:13" ht="60" customHeight="1">
      <c r="A76" s="277"/>
      <c r="B76" s="330" t="s">
        <v>836</v>
      </c>
      <c r="C76" s="331" t="s">
        <v>846</v>
      </c>
      <c r="D76" s="332" t="s">
        <v>847</v>
      </c>
      <c r="E76" s="333" t="s">
        <v>848</v>
      </c>
      <c r="F76" s="334" t="s">
        <v>534</v>
      </c>
      <c r="G76" s="334" t="s">
        <v>534</v>
      </c>
      <c r="H76" s="335">
        <f t="shared" si="12"/>
        <v>2</v>
      </c>
      <c r="I76" s="335">
        <f t="shared" si="12"/>
        <v>2</v>
      </c>
      <c r="J76" s="335">
        <f t="shared" si="13"/>
        <v>4</v>
      </c>
      <c r="K76" s="335" t="str">
        <f t="shared" si="10"/>
        <v>M</v>
      </c>
      <c r="L76" s="336" t="str">
        <f t="shared" si="11"/>
        <v>2</v>
      </c>
      <c r="M76" s="279"/>
    </row>
    <row r="77" spans="1:13" ht="60" customHeight="1">
      <c r="A77" s="277"/>
      <c r="B77" s="330" t="s">
        <v>836</v>
      </c>
      <c r="C77" s="331" t="s">
        <v>849</v>
      </c>
      <c r="D77" s="332" t="s">
        <v>850</v>
      </c>
      <c r="E77" s="333" t="s">
        <v>851</v>
      </c>
      <c r="F77" s="334" t="s">
        <v>534</v>
      </c>
      <c r="G77" s="334" t="s">
        <v>534</v>
      </c>
      <c r="H77" s="335">
        <f t="shared" si="12"/>
        <v>2</v>
      </c>
      <c r="I77" s="335">
        <f t="shared" si="12"/>
        <v>2</v>
      </c>
      <c r="J77" s="335">
        <f t="shared" si="13"/>
        <v>4</v>
      </c>
      <c r="K77" s="335" t="str">
        <f t="shared" si="10"/>
        <v>M</v>
      </c>
      <c r="L77" s="336" t="str">
        <f t="shared" si="11"/>
        <v>2</v>
      </c>
      <c r="M77" s="279"/>
    </row>
    <row r="78" spans="1:13" ht="60" customHeight="1">
      <c r="A78" s="277"/>
      <c r="B78" s="330" t="s">
        <v>836</v>
      </c>
      <c r="C78" s="331" t="s">
        <v>852</v>
      </c>
      <c r="D78" s="332" t="s">
        <v>853</v>
      </c>
      <c r="E78" s="333" t="s">
        <v>854</v>
      </c>
      <c r="F78" s="334" t="s">
        <v>629</v>
      </c>
      <c r="G78" s="334" t="s">
        <v>629</v>
      </c>
      <c r="H78" s="335">
        <f t="shared" si="12"/>
        <v>1</v>
      </c>
      <c r="I78" s="335">
        <f t="shared" si="12"/>
        <v>1</v>
      </c>
      <c r="J78" s="335">
        <f t="shared" si="13"/>
        <v>2</v>
      </c>
      <c r="K78" s="335" t="str">
        <f t="shared" si="10"/>
        <v>L</v>
      </c>
      <c r="L78" s="336" t="str">
        <f t="shared" si="11"/>
        <v>1</v>
      </c>
      <c r="M78" s="279"/>
    </row>
    <row r="79" spans="1:13" ht="60" customHeight="1">
      <c r="A79" s="277"/>
      <c r="B79" s="330" t="s">
        <v>836</v>
      </c>
      <c r="C79" s="331" t="s">
        <v>855</v>
      </c>
      <c r="D79" s="332" t="s">
        <v>856</v>
      </c>
      <c r="E79" s="333" t="s">
        <v>857</v>
      </c>
      <c r="F79" s="334" t="s">
        <v>534</v>
      </c>
      <c r="G79" s="334" t="s">
        <v>534</v>
      </c>
      <c r="H79" s="335">
        <f t="shared" si="12"/>
        <v>2</v>
      </c>
      <c r="I79" s="335">
        <f t="shared" si="12"/>
        <v>2</v>
      </c>
      <c r="J79" s="335">
        <f t="shared" si="13"/>
        <v>4</v>
      </c>
      <c r="K79" s="335" t="str">
        <f t="shared" si="10"/>
        <v>M</v>
      </c>
      <c r="L79" s="336" t="str">
        <f t="shared" si="11"/>
        <v>2</v>
      </c>
      <c r="M79" s="279"/>
    </row>
    <row r="80" spans="1:13" ht="60" customHeight="1">
      <c r="A80" s="277"/>
      <c r="B80" s="330" t="s">
        <v>836</v>
      </c>
      <c r="C80" s="331" t="s">
        <v>858</v>
      </c>
      <c r="D80" s="332" t="s">
        <v>530</v>
      </c>
      <c r="E80" s="333" t="s">
        <v>859</v>
      </c>
      <c r="F80" s="334" t="s">
        <v>535</v>
      </c>
      <c r="G80" s="334" t="s">
        <v>534</v>
      </c>
      <c r="H80" s="335">
        <f t="shared" si="12"/>
        <v>3</v>
      </c>
      <c r="I80" s="335">
        <f t="shared" si="12"/>
        <v>2</v>
      </c>
      <c r="J80" s="335">
        <f t="shared" si="13"/>
        <v>5</v>
      </c>
      <c r="K80" s="335" t="str">
        <f t="shared" si="10"/>
        <v>H</v>
      </c>
      <c r="L80" s="336" t="str">
        <f t="shared" si="11"/>
        <v>3</v>
      </c>
      <c r="M80" s="279"/>
    </row>
    <row r="81" spans="1:13" ht="60" customHeight="1">
      <c r="A81" s="277"/>
      <c r="B81" s="330" t="s">
        <v>836</v>
      </c>
      <c r="C81" s="331" t="s">
        <v>860</v>
      </c>
      <c r="D81" s="332" t="s">
        <v>861</v>
      </c>
      <c r="E81" s="333" t="s">
        <v>862</v>
      </c>
      <c r="F81" s="334" t="s">
        <v>535</v>
      </c>
      <c r="G81" s="334" t="s">
        <v>534</v>
      </c>
      <c r="H81" s="335">
        <f t="shared" si="12"/>
        <v>3</v>
      </c>
      <c r="I81" s="335">
        <f t="shared" si="12"/>
        <v>2</v>
      </c>
      <c r="J81" s="335">
        <f t="shared" si="13"/>
        <v>5</v>
      </c>
      <c r="K81" s="335" t="str">
        <f t="shared" si="10"/>
        <v>H</v>
      </c>
      <c r="L81" s="336" t="str">
        <f t="shared" si="11"/>
        <v>3</v>
      </c>
      <c r="M81" s="279"/>
    </row>
    <row r="82" spans="1:13" ht="60" customHeight="1">
      <c r="A82" s="277"/>
      <c r="B82" s="330" t="s">
        <v>836</v>
      </c>
      <c r="C82" s="331" t="s">
        <v>863</v>
      </c>
      <c r="D82" s="332" t="s">
        <v>531</v>
      </c>
      <c r="E82" s="333" t="s">
        <v>864</v>
      </c>
      <c r="F82" s="334" t="s">
        <v>535</v>
      </c>
      <c r="G82" s="334" t="s">
        <v>535</v>
      </c>
      <c r="H82" s="335">
        <f t="shared" si="12"/>
        <v>3</v>
      </c>
      <c r="I82" s="335">
        <f t="shared" si="12"/>
        <v>3</v>
      </c>
      <c r="J82" s="335">
        <f t="shared" si="13"/>
        <v>6</v>
      </c>
      <c r="K82" s="335" t="str">
        <f t="shared" si="10"/>
        <v>H</v>
      </c>
      <c r="L82" s="336" t="str">
        <f t="shared" si="11"/>
        <v>3</v>
      </c>
      <c r="M82" s="279"/>
    </row>
    <row r="83" spans="1:13" ht="60" customHeight="1">
      <c r="A83" s="277"/>
      <c r="B83" s="330" t="s">
        <v>836</v>
      </c>
      <c r="C83" s="331" t="s">
        <v>865</v>
      </c>
      <c r="D83" s="332" t="s">
        <v>866</v>
      </c>
      <c r="E83" s="333" t="s">
        <v>867</v>
      </c>
      <c r="F83" s="334" t="s">
        <v>535</v>
      </c>
      <c r="G83" s="334" t="s">
        <v>534</v>
      </c>
      <c r="H83" s="335">
        <f t="shared" si="12"/>
        <v>3</v>
      </c>
      <c r="I83" s="335">
        <f t="shared" si="12"/>
        <v>2</v>
      </c>
      <c r="J83" s="335">
        <f t="shared" si="13"/>
        <v>5</v>
      </c>
      <c r="K83" s="335" t="str">
        <f t="shared" si="10"/>
        <v>H</v>
      </c>
      <c r="L83" s="336" t="str">
        <f t="shared" si="11"/>
        <v>3</v>
      </c>
      <c r="M83" s="279"/>
    </row>
    <row r="84" spans="1:13" ht="60" customHeight="1">
      <c r="A84" s="277"/>
      <c r="B84" s="330" t="s">
        <v>836</v>
      </c>
      <c r="C84" s="331" t="s">
        <v>868</v>
      </c>
      <c r="D84" s="332" t="s">
        <v>869</v>
      </c>
      <c r="E84" s="333" t="s">
        <v>870</v>
      </c>
      <c r="F84" s="334" t="s">
        <v>535</v>
      </c>
      <c r="G84" s="334" t="s">
        <v>534</v>
      </c>
      <c r="H84" s="335">
        <f t="shared" si="12"/>
        <v>3</v>
      </c>
      <c r="I84" s="335">
        <f t="shared" si="12"/>
        <v>2</v>
      </c>
      <c r="J84" s="335">
        <f t="shared" si="13"/>
        <v>5</v>
      </c>
      <c r="K84" s="335" t="str">
        <f t="shared" si="10"/>
        <v>H</v>
      </c>
      <c r="L84" s="336" t="str">
        <f t="shared" si="11"/>
        <v>3</v>
      </c>
      <c r="M84" s="279"/>
    </row>
    <row r="85" spans="1:13" ht="60" customHeight="1">
      <c r="A85" s="277"/>
      <c r="B85" s="330" t="s">
        <v>871</v>
      </c>
      <c r="C85" s="331" t="s">
        <v>872</v>
      </c>
      <c r="D85" s="332" t="s">
        <v>873</v>
      </c>
      <c r="E85" s="333" t="s">
        <v>874</v>
      </c>
      <c r="F85" s="334" t="s">
        <v>535</v>
      </c>
      <c r="G85" s="334" t="s">
        <v>629</v>
      </c>
      <c r="H85" s="335">
        <v>3</v>
      </c>
      <c r="I85" s="335">
        <v>1</v>
      </c>
      <c r="J85" s="335">
        <v>4</v>
      </c>
      <c r="K85" s="335" t="str">
        <f t="shared" si="10"/>
        <v>M</v>
      </c>
      <c r="L85" s="336" t="str">
        <f t="shared" si="11"/>
        <v>2</v>
      </c>
      <c r="M85" s="279"/>
    </row>
    <row r="86" spans="1:13" ht="60" customHeight="1">
      <c r="A86" s="277"/>
      <c r="B86" s="330" t="s">
        <v>871</v>
      </c>
      <c r="C86" s="331" t="s">
        <v>875</v>
      </c>
      <c r="D86" s="332" t="s">
        <v>876</v>
      </c>
      <c r="E86" s="333" t="s">
        <v>877</v>
      </c>
      <c r="F86" s="334" t="s">
        <v>535</v>
      </c>
      <c r="G86" s="334" t="s">
        <v>629</v>
      </c>
      <c r="H86" s="335">
        <v>3</v>
      </c>
      <c r="I86" s="335">
        <v>1</v>
      </c>
      <c r="J86" s="335">
        <v>4</v>
      </c>
      <c r="K86" s="335" t="str">
        <f t="shared" si="10"/>
        <v>M</v>
      </c>
      <c r="L86" s="336" t="str">
        <f t="shared" si="11"/>
        <v>2</v>
      </c>
      <c r="M86" s="279"/>
    </row>
    <row r="87" spans="1:13" ht="60" customHeight="1">
      <c r="A87" s="277"/>
      <c r="B87" s="337" t="s">
        <v>879</v>
      </c>
      <c r="C87" s="338" t="s">
        <v>880</v>
      </c>
      <c r="D87" s="339" t="s">
        <v>881</v>
      </c>
      <c r="E87" s="340" t="s">
        <v>882</v>
      </c>
      <c r="F87" s="341" t="s">
        <v>535</v>
      </c>
      <c r="G87" s="341" t="s">
        <v>534</v>
      </c>
      <c r="H87" s="342">
        <f t="shared" si="12"/>
        <v>3</v>
      </c>
      <c r="I87" s="342">
        <f t="shared" si="12"/>
        <v>2</v>
      </c>
      <c r="J87" s="342">
        <f t="shared" si="13"/>
        <v>5</v>
      </c>
      <c r="K87" s="342" t="str">
        <f>IF(SUM(J87)&gt;=5,"H",IF(SUM(J87)&gt;=3,"M","L"))</f>
        <v>H</v>
      </c>
      <c r="L87" s="343" t="str">
        <f>IF(SUM(J87)&gt;=5,"3",IF(SUM(J87)&gt;=3,"2","1"))</f>
        <v>3</v>
      </c>
      <c r="M87" s="279"/>
    </row>
    <row r="88" spans="1:13" ht="60" customHeight="1">
      <c r="A88" s="277"/>
      <c r="B88" s="337" t="s">
        <v>878</v>
      </c>
      <c r="C88" s="338" t="s">
        <v>883</v>
      </c>
      <c r="D88" s="339" t="s">
        <v>884</v>
      </c>
      <c r="E88" s="340" t="s">
        <v>885</v>
      </c>
      <c r="F88" s="341" t="s">
        <v>535</v>
      </c>
      <c r="G88" s="341" t="s">
        <v>629</v>
      </c>
      <c r="H88" s="342">
        <f t="shared" si="12"/>
        <v>3</v>
      </c>
      <c r="I88" s="342">
        <f t="shared" si="12"/>
        <v>1</v>
      </c>
      <c r="J88" s="342">
        <f t="shared" si="13"/>
        <v>4</v>
      </c>
      <c r="K88" s="342" t="str">
        <f t="shared" ref="K88:K96" si="14">IF(SUM(J88)&gt;=5,"H",IF(SUM(J88)&gt;=3,"M","L"))</f>
        <v>M</v>
      </c>
      <c r="L88" s="343" t="str">
        <f t="shared" ref="L88:L96" si="15">IF(SUM(J88)&gt;=5,"3",IF(SUM(J88)&gt;=3,"2","1"))</f>
        <v>2</v>
      </c>
      <c r="M88" s="279"/>
    </row>
    <row r="89" spans="1:13" ht="60" customHeight="1">
      <c r="A89" s="277"/>
      <c r="B89" s="337" t="s">
        <v>886</v>
      </c>
      <c r="C89" s="338" t="s">
        <v>887</v>
      </c>
      <c r="D89" s="339" t="s">
        <v>888</v>
      </c>
      <c r="E89" s="340" t="s">
        <v>889</v>
      </c>
      <c r="F89" s="341" t="s">
        <v>535</v>
      </c>
      <c r="G89" s="341" t="s">
        <v>629</v>
      </c>
      <c r="H89" s="342">
        <f t="shared" si="12"/>
        <v>3</v>
      </c>
      <c r="I89" s="342">
        <f t="shared" si="12"/>
        <v>1</v>
      </c>
      <c r="J89" s="342">
        <f t="shared" si="13"/>
        <v>4</v>
      </c>
      <c r="K89" s="342" t="str">
        <f t="shared" si="14"/>
        <v>M</v>
      </c>
      <c r="L89" s="343" t="str">
        <f t="shared" si="15"/>
        <v>2</v>
      </c>
      <c r="M89" s="279"/>
    </row>
    <row r="90" spans="1:13" ht="60" customHeight="1">
      <c r="A90" s="277"/>
      <c r="B90" s="337" t="s">
        <v>886</v>
      </c>
      <c r="C90" s="338" t="s">
        <v>890</v>
      </c>
      <c r="D90" s="339" t="s">
        <v>891</v>
      </c>
      <c r="E90" s="340" t="s">
        <v>892</v>
      </c>
      <c r="F90" s="341" t="s">
        <v>629</v>
      </c>
      <c r="G90" s="341" t="s">
        <v>629</v>
      </c>
      <c r="H90" s="342">
        <f t="shared" si="12"/>
        <v>1</v>
      </c>
      <c r="I90" s="342">
        <f t="shared" si="12"/>
        <v>1</v>
      </c>
      <c r="J90" s="342">
        <f t="shared" si="13"/>
        <v>2</v>
      </c>
      <c r="K90" s="342" t="str">
        <f t="shared" si="14"/>
        <v>L</v>
      </c>
      <c r="L90" s="343" t="str">
        <f t="shared" si="15"/>
        <v>1</v>
      </c>
      <c r="M90" s="279"/>
    </row>
    <row r="91" spans="1:13" ht="60" customHeight="1">
      <c r="A91" s="277"/>
      <c r="B91" s="337" t="s">
        <v>879</v>
      </c>
      <c r="C91" s="338" t="s">
        <v>893</v>
      </c>
      <c r="D91" s="339" t="s">
        <v>894</v>
      </c>
      <c r="E91" s="340" t="s">
        <v>895</v>
      </c>
      <c r="F91" s="341" t="s">
        <v>535</v>
      </c>
      <c r="G91" s="341" t="s">
        <v>629</v>
      </c>
      <c r="H91" s="342">
        <f t="shared" si="12"/>
        <v>3</v>
      </c>
      <c r="I91" s="342">
        <f t="shared" si="12"/>
        <v>1</v>
      </c>
      <c r="J91" s="342">
        <f t="shared" si="13"/>
        <v>4</v>
      </c>
      <c r="K91" s="342" t="str">
        <f t="shared" si="14"/>
        <v>M</v>
      </c>
      <c r="L91" s="343" t="str">
        <f t="shared" si="15"/>
        <v>2</v>
      </c>
      <c r="M91" s="279"/>
    </row>
    <row r="92" spans="1:13" ht="60" customHeight="1">
      <c r="A92" s="277"/>
      <c r="B92" s="337" t="s">
        <v>886</v>
      </c>
      <c r="C92" s="338" t="s">
        <v>896</v>
      </c>
      <c r="D92" s="339" t="s">
        <v>897</v>
      </c>
      <c r="E92" s="340" t="s">
        <v>898</v>
      </c>
      <c r="F92" s="341" t="s">
        <v>535</v>
      </c>
      <c r="G92" s="341" t="s">
        <v>629</v>
      </c>
      <c r="H92" s="342">
        <f t="shared" si="12"/>
        <v>3</v>
      </c>
      <c r="I92" s="342">
        <f t="shared" si="12"/>
        <v>1</v>
      </c>
      <c r="J92" s="342">
        <f t="shared" si="13"/>
        <v>4</v>
      </c>
      <c r="K92" s="342" t="str">
        <f t="shared" si="14"/>
        <v>M</v>
      </c>
      <c r="L92" s="343" t="str">
        <f t="shared" si="15"/>
        <v>2</v>
      </c>
      <c r="M92" s="279"/>
    </row>
    <row r="93" spans="1:13" ht="60" customHeight="1">
      <c r="A93" s="277"/>
      <c r="B93" s="337" t="s">
        <v>879</v>
      </c>
      <c r="C93" s="338" t="s">
        <v>899</v>
      </c>
      <c r="D93" s="339" t="s">
        <v>900</v>
      </c>
      <c r="E93" s="340" t="s">
        <v>901</v>
      </c>
      <c r="F93" s="341" t="s">
        <v>535</v>
      </c>
      <c r="G93" s="341" t="s">
        <v>629</v>
      </c>
      <c r="H93" s="342">
        <f t="shared" si="12"/>
        <v>3</v>
      </c>
      <c r="I93" s="342">
        <f t="shared" si="12"/>
        <v>1</v>
      </c>
      <c r="J93" s="342">
        <f t="shared" si="13"/>
        <v>4</v>
      </c>
      <c r="K93" s="342" t="str">
        <f t="shared" si="14"/>
        <v>M</v>
      </c>
      <c r="L93" s="343" t="str">
        <f t="shared" si="15"/>
        <v>2</v>
      </c>
      <c r="M93" s="279"/>
    </row>
    <row r="94" spans="1:13" ht="60" customHeight="1">
      <c r="A94" s="277"/>
      <c r="B94" s="337" t="s">
        <v>886</v>
      </c>
      <c r="C94" s="338" t="s">
        <v>902</v>
      </c>
      <c r="D94" s="339" t="s">
        <v>903</v>
      </c>
      <c r="E94" s="340" t="s">
        <v>904</v>
      </c>
      <c r="F94" s="341" t="s">
        <v>535</v>
      </c>
      <c r="G94" s="341" t="s">
        <v>629</v>
      </c>
      <c r="H94" s="342">
        <f t="shared" si="12"/>
        <v>3</v>
      </c>
      <c r="I94" s="342">
        <f t="shared" si="12"/>
        <v>1</v>
      </c>
      <c r="J94" s="342">
        <f t="shared" si="13"/>
        <v>4</v>
      </c>
      <c r="K94" s="342" t="str">
        <f t="shared" si="14"/>
        <v>M</v>
      </c>
      <c r="L94" s="343" t="str">
        <f t="shared" si="15"/>
        <v>2</v>
      </c>
      <c r="M94" s="279"/>
    </row>
    <row r="95" spans="1:13" ht="60" customHeight="1">
      <c r="A95" s="277"/>
      <c r="B95" s="337" t="s">
        <v>878</v>
      </c>
      <c r="C95" s="338" t="s">
        <v>905</v>
      </c>
      <c r="D95" s="339" t="s">
        <v>906</v>
      </c>
      <c r="E95" s="340" t="s">
        <v>907</v>
      </c>
      <c r="F95" s="341" t="s">
        <v>535</v>
      </c>
      <c r="G95" s="341" t="s">
        <v>629</v>
      </c>
      <c r="H95" s="342">
        <f t="shared" si="12"/>
        <v>3</v>
      </c>
      <c r="I95" s="342">
        <f t="shared" si="12"/>
        <v>1</v>
      </c>
      <c r="J95" s="342">
        <f t="shared" si="13"/>
        <v>4</v>
      </c>
      <c r="K95" s="342" t="str">
        <f t="shared" si="14"/>
        <v>M</v>
      </c>
      <c r="L95" s="343" t="str">
        <f t="shared" si="15"/>
        <v>2</v>
      </c>
      <c r="M95" s="279"/>
    </row>
    <row r="96" spans="1:13" ht="60" customHeight="1">
      <c r="A96" s="277"/>
      <c r="B96" s="337" t="s">
        <v>879</v>
      </c>
      <c r="C96" s="338" t="s">
        <v>908</v>
      </c>
      <c r="D96" s="339" t="s">
        <v>909</v>
      </c>
      <c r="E96" s="340" t="s">
        <v>910</v>
      </c>
      <c r="F96" s="341" t="s">
        <v>535</v>
      </c>
      <c r="G96" s="341" t="s">
        <v>629</v>
      </c>
      <c r="H96" s="342">
        <f t="shared" si="12"/>
        <v>3</v>
      </c>
      <c r="I96" s="342">
        <f t="shared" si="12"/>
        <v>1</v>
      </c>
      <c r="J96" s="342">
        <f t="shared" si="13"/>
        <v>4</v>
      </c>
      <c r="K96" s="342" t="str">
        <f t="shared" si="14"/>
        <v>M</v>
      </c>
      <c r="L96" s="343" t="str">
        <f t="shared" si="15"/>
        <v>2</v>
      </c>
      <c r="M96" s="279"/>
    </row>
    <row r="97" spans="1:13">
      <c r="A97" s="277"/>
      <c r="B97" s="279"/>
      <c r="C97" s="279"/>
      <c r="D97" s="279"/>
      <c r="E97" s="279"/>
      <c r="F97" s="344"/>
      <c r="G97" s="344"/>
      <c r="H97" s="344"/>
      <c r="I97" s="344"/>
      <c r="J97" s="344"/>
      <c r="K97" s="344"/>
      <c r="L97" s="279"/>
      <c r="M97" s="279"/>
    </row>
  </sheetData>
  <mergeCells count="1">
    <mergeCell ref="B1:D1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30" fitToHeight="0" orientation="portrait" horizontalDpi="4294967292" r:id="rId1"/>
  <headerFooter>
    <oddFooter>&amp;L&amp;A&amp;C&amp;P/&amp;N&amp;R&amp;G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Q50"/>
  <sheetViews>
    <sheetView showGridLines="0" view="pageBreakPreview" zoomScale="85" zoomScaleNormal="100" zoomScaleSheetLayoutView="85" workbookViewId="0"/>
  </sheetViews>
  <sheetFormatPr defaultColWidth="9" defaultRowHeight="13.5" customHeight="1"/>
  <cols>
    <col min="1" max="17" width="5.125" style="37" customWidth="1"/>
    <col min="18" max="235" width="9" style="37" customWidth="1"/>
    <col min="236" max="248" width="10" style="37" customWidth="1"/>
    <col min="249" max="491" width="9" style="37"/>
    <col min="492" max="504" width="10" style="37" customWidth="1"/>
    <col min="505" max="747" width="9" style="37"/>
    <col min="748" max="760" width="10" style="37" customWidth="1"/>
    <col min="761" max="1003" width="9" style="37"/>
    <col min="1004" max="1016" width="10" style="37" customWidth="1"/>
    <col min="1017" max="1259" width="9" style="37"/>
    <col min="1260" max="1272" width="10" style="37" customWidth="1"/>
    <col min="1273" max="1515" width="9" style="37"/>
    <col min="1516" max="1528" width="10" style="37" customWidth="1"/>
    <col min="1529" max="1771" width="9" style="37"/>
    <col min="1772" max="1784" width="10" style="37" customWidth="1"/>
    <col min="1785" max="2027" width="9" style="37"/>
    <col min="2028" max="2040" width="10" style="37" customWidth="1"/>
    <col min="2041" max="2283" width="9" style="37"/>
    <col min="2284" max="2296" width="10" style="37" customWidth="1"/>
    <col min="2297" max="2539" width="9" style="37"/>
    <col min="2540" max="2552" width="10" style="37" customWidth="1"/>
    <col min="2553" max="2795" width="9" style="37"/>
    <col min="2796" max="2808" width="10" style="37" customWidth="1"/>
    <col min="2809" max="3051" width="9" style="37"/>
    <col min="3052" max="3064" width="10" style="37" customWidth="1"/>
    <col min="3065" max="3307" width="9" style="37"/>
    <col min="3308" max="3320" width="10" style="37" customWidth="1"/>
    <col min="3321" max="3563" width="9" style="37"/>
    <col min="3564" max="3576" width="10" style="37" customWidth="1"/>
    <col min="3577" max="3819" width="9" style="37"/>
    <col min="3820" max="3832" width="10" style="37" customWidth="1"/>
    <col min="3833" max="4075" width="9" style="37"/>
    <col min="4076" max="4088" width="10" style="37" customWidth="1"/>
    <col min="4089" max="4331" width="9" style="37"/>
    <col min="4332" max="4344" width="10" style="37" customWidth="1"/>
    <col min="4345" max="4587" width="9" style="37"/>
    <col min="4588" max="4600" width="10" style="37" customWidth="1"/>
    <col min="4601" max="4843" width="9" style="37"/>
    <col min="4844" max="4856" width="10" style="37" customWidth="1"/>
    <col min="4857" max="5099" width="9" style="37"/>
    <col min="5100" max="5112" width="10" style="37" customWidth="1"/>
    <col min="5113" max="5355" width="9" style="37"/>
    <col min="5356" max="5368" width="10" style="37" customWidth="1"/>
    <col min="5369" max="5611" width="9" style="37"/>
    <col min="5612" max="5624" width="10" style="37" customWidth="1"/>
    <col min="5625" max="5867" width="9" style="37"/>
    <col min="5868" max="5880" width="10" style="37" customWidth="1"/>
    <col min="5881" max="6123" width="9" style="37"/>
    <col min="6124" max="6136" width="10" style="37" customWidth="1"/>
    <col min="6137" max="6379" width="9" style="37"/>
    <col min="6380" max="6392" width="10" style="37" customWidth="1"/>
    <col min="6393" max="6635" width="9" style="37"/>
    <col min="6636" max="6648" width="10" style="37" customWidth="1"/>
    <col min="6649" max="6891" width="9" style="37"/>
    <col min="6892" max="6904" width="10" style="37" customWidth="1"/>
    <col min="6905" max="7147" width="9" style="37"/>
    <col min="7148" max="7160" width="10" style="37" customWidth="1"/>
    <col min="7161" max="7403" width="9" style="37"/>
    <col min="7404" max="7416" width="10" style="37" customWidth="1"/>
    <col min="7417" max="7659" width="9" style="37"/>
    <col min="7660" max="7672" width="10" style="37" customWidth="1"/>
    <col min="7673" max="7915" width="9" style="37"/>
    <col min="7916" max="7928" width="10" style="37" customWidth="1"/>
    <col min="7929" max="8171" width="9" style="37"/>
    <col min="8172" max="8184" width="10" style="37" customWidth="1"/>
    <col min="8185" max="8427" width="9" style="37"/>
    <col min="8428" max="8440" width="10" style="37" customWidth="1"/>
    <col min="8441" max="8683" width="9" style="37"/>
    <col min="8684" max="8696" width="10" style="37" customWidth="1"/>
    <col min="8697" max="8939" width="9" style="37"/>
    <col min="8940" max="8952" width="10" style="37" customWidth="1"/>
    <col min="8953" max="9195" width="9" style="37"/>
    <col min="9196" max="9208" width="10" style="37" customWidth="1"/>
    <col min="9209" max="9451" width="9" style="37"/>
    <col min="9452" max="9464" width="10" style="37" customWidth="1"/>
    <col min="9465" max="9707" width="9" style="37"/>
    <col min="9708" max="9720" width="10" style="37" customWidth="1"/>
    <col min="9721" max="9963" width="9" style="37"/>
    <col min="9964" max="9976" width="10" style="37" customWidth="1"/>
    <col min="9977" max="10219" width="9" style="37"/>
    <col min="10220" max="10232" width="10" style="37" customWidth="1"/>
    <col min="10233" max="10475" width="9" style="37"/>
    <col min="10476" max="10488" width="10" style="37" customWidth="1"/>
    <col min="10489" max="10731" width="9" style="37"/>
    <col min="10732" max="10744" width="10" style="37" customWidth="1"/>
    <col min="10745" max="10987" width="9" style="37"/>
    <col min="10988" max="11000" width="10" style="37" customWidth="1"/>
    <col min="11001" max="11243" width="9" style="37"/>
    <col min="11244" max="11256" width="10" style="37" customWidth="1"/>
    <col min="11257" max="11499" width="9" style="37"/>
    <col min="11500" max="11512" width="10" style="37" customWidth="1"/>
    <col min="11513" max="11755" width="9" style="37"/>
    <col min="11756" max="11768" width="10" style="37" customWidth="1"/>
    <col min="11769" max="12011" width="9" style="37"/>
    <col min="12012" max="12024" width="10" style="37" customWidth="1"/>
    <col min="12025" max="12267" width="9" style="37"/>
    <col min="12268" max="12280" width="10" style="37" customWidth="1"/>
    <col min="12281" max="12523" width="9" style="37"/>
    <col min="12524" max="12536" width="10" style="37" customWidth="1"/>
    <col min="12537" max="12779" width="9" style="37"/>
    <col min="12780" max="12792" width="10" style="37" customWidth="1"/>
    <col min="12793" max="13035" width="9" style="37"/>
    <col min="13036" max="13048" width="10" style="37" customWidth="1"/>
    <col min="13049" max="13291" width="9" style="37"/>
    <col min="13292" max="13304" width="10" style="37" customWidth="1"/>
    <col min="13305" max="13547" width="9" style="37"/>
    <col min="13548" max="13560" width="10" style="37" customWidth="1"/>
    <col min="13561" max="13803" width="9" style="37"/>
    <col min="13804" max="13816" width="10" style="37" customWidth="1"/>
    <col min="13817" max="14059" width="9" style="37"/>
    <col min="14060" max="14072" width="10" style="37" customWidth="1"/>
    <col min="14073" max="14315" width="9" style="37"/>
    <col min="14316" max="14328" width="10" style="37" customWidth="1"/>
    <col min="14329" max="14571" width="9" style="37"/>
    <col min="14572" max="14584" width="10" style="37" customWidth="1"/>
    <col min="14585" max="14827" width="9" style="37"/>
    <col min="14828" max="14840" width="10" style="37" customWidth="1"/>
    <col min="14841" max="15083" width="9" style="37"/>
    <col min="15084" max="15096" width="10" style="37" customWidth="1"/>
    <col min="15097" max="15339" width="9" style="37"/>
    <col min="15340" max="15352" width="10" style="37" customWidth="1"/>
    <col min="15353" max="15595" width="9" style="37"/>
    <col min="15596" max="15608" width="10" style="37" customWidth="1"/>
    <col min="15609" max="15851" width="9" style="37"/>
    <col min="15852" max="15864" width="10" style="37" customWidth="1"/>
    <col min="15865" max="16107" width="9" style="37"/>
    <col min="16108" max="16120" width="10" style="37" customWidth="1"/>
    <col min="16121" max="16384" width="9" style="37"/>
  </cols>
  <sheetData>
    <row r="1" spans="1:17"/>
    <row r="2" spans="1:17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</row>
    <row r="3" spans="1:17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</row>
    <row r="4" spans="1:17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</row>
    <row r="5" spans="1:17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</row>
    <row r="6" spans="1:17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</row>
    <row r="7" spans="1:17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</row>
    <row r="8" spans="1:17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</row>
    <row r="9" spans="1:17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</row>
    <row r="10" spans="1:17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</row>
    <row r="11" spans="1:17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</row>
    <row r="12" spans="1:17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</row>
    <row r="13" spans="1:17" ht="16.5" customHeight="1"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</row>
    <row r="14" spans="1:17" ht="13.5" customHeight="1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</row>
    <row r="15" spans="1:17" ht="13.5" customHeight="1">
      <c r="A15" s="208"/>
      <c r="B15" s="208"/>
      <c r="C15" s="371" t="s">
        <v>583</v>
      </c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208"/>
      <c r="Q15" s="209"/>
    </row>
    <row r="16" spans="1:17" ht="13.5" customHeight="1">
      <c r="A16" s="209"/>
      <c r="B16" s="208"/>
      <c r="C16" s="371"/>
      <c r="D16" s="371"/>
      <c r="E16" s="371"/>
      <c r="F16" s="371"/>
      <c r="G16" s="371"/>
      <c r="H16" s="371"/>
      <c r="I16" s="371"/>
      <c r="J16" s="371"/>
      <c r="K16" s="371"/>
      <c r="L16" s="371"/>
      <c r="M16" s="371"/>
      <c r="N16" s="371"/>
      <c r="O16" s="371"/>
      <c r="P16" s="208"/>
      <c r="Q16" s="209"/>
    </row>
    <row r="17" spans="1:17" ht="13.5" customHeight="1">
      <c r="A17" s="209"/>
      <c r="B17" s="208"/>
      <c r="C17" s="371"/>
      <c r="D17" s="371"/>
      <c r="E17" s="371"/>
      <c r="F17" s="371"/>
      <c r="G17" s="371"/>
      <c r="H17" s="371"/>
      <c r="I17" s="371"/>
      <c r="J17" s="371"/>
      <c r="K17" s="371"/>
      <c r="L17" s="371"/>
      <c r="M17" s="371"/>
      <c r="N17" s="371"/>
      <c r="O17" s="371"/>
      <c r="P17" s="208"/>
      <c r="Q17" s="209"/>
    </row>
    <row r="18" spans="1:17" ht="13.5" customHeight="1">
      <c r="A18" s="209"/>
      <c r="B18" s="208"/>
      <c r="C18" s="371"/>
      <c r="D18" s="371"/>
      <c r="E18" s="371"/>
      <c r="F18" s="371"/>
      <c r="G18" s="371"/>
      <c r="H18" s="371"/>
      <c r="I18" s="371"/>
      <c r="J18" s="371"/>
      <c r="K18" s="371"/>
      <c r="L18" s="371"/>
      <c r="M18" s="371"/>
      <c r="N18" s="371"/>
      <c r="O18" s="371"/>
      <c r="P18" s="208"/>
      <c r="Q18" s="209"/>
    </row>
    <row r="19" spans="1:17" ht="13.5" customHeight="1">
      <c r="A19" s="209"/>
      <c r="B19" s="208"/>
      <c r="C19" s="371"/>
      <c r="D19" s="371"/>
      <c r="E19" s="371"/>
      <c r="F19" s="371"/>
      <c r="G19" s="371"/>
      <c r="H19" s="371"/>
      <c r="I19" s="371"/>
      <c r="J19" s="371"/>
      <c r="K19" s="371"/>
      <c r="L19" s="371"/>
      <c r="M19" s="371"/>
      <c r="N19" s="371"/>
      <c r="O19" s="371"/>
      <c r="P19" s="208"/>
      <c r="Q19" s="209"/>
    </row>
    <row r="20" spans="1:17" ht="13.5" customHeight="1">
      <c r="A20" s="209"/>
      <c r="B20" s="208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208"/>
      <c r="Q20" s="209"/>
    </row>
    <row r="21" spans="1:17" ht="13.5" customHeight="1">
      <c r="A21" s="209"/>
      <c r="B21" s="208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208"/>
      <c r="Q21" s="209"/>
    </row>
    <row r="22" spans="1:17" ht="13.5" customHeight="1">
      <c r="A22" s="209"/>
      <c r="B22" s="208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208"/>
      <c r="Q22" s="209"/>
    </row>
    <row r="23" spans="1:17" ht="13.5" customHeight="1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</row>
    <row r="24" spans="1:17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</row>
    <row r="25" spans="1:17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</row>
    <row r="26" spans="1:17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</row>
    <row r="31" spans="1:17" ht="13.5" customHeight="1">
      <c r="C31" s="66"/>
      <c r="D31" s="66"/>
      <c r="E31" s="66"/>
      <c r="F31" s="66"/>
      <c r="G31" s="66"/>
      <c r="H31" s="66"/>
      <c r="I31" s="66"/>
      <c r="J31" s="66"/>
    </row>
    <row r="32" spans="1:17" ht="13.5" customHeight="1">
      <c r="C32" s="134"/>
      <c r="D32" s="134"/>
      <c r="E32" s="134"/>
      <c r="F32" s="134"/>
      <c r="G32" s="134"/>
      <c r="H32" s="134"/>
      <c r="I32" s="134"/>
      <c r="J32" s="134"/>
    </row>
    <row r="37" spans="1:17" ht="13.5" customHeight="1">
      <c r="A37" s="367" t="s">
        <v>596</v>
      </c>
      <c r="B37" s="367"/>
      <c r="C37" s="367"/>
      <c r="D37" s="367"/>
      <c r="E37" s="367"/>
      <c r="F37" s="367"/>
      <c r="G37" s="367"/>
      <c r="H37" s="367"/>
      <c r="I37" s="367"/>
      <c r="J37" s="367"/>
      <c r="K37" s="367"/>
      <c r="L37" s="367"/>
      <c r="M37" s="367"/>
      <c r="N37" s="367"/>
      <c r="O37" s="367"/>
      <c r="P37" s="367"/>
      <c r="Q37" s="367"/>
    </row>
    <row r="38" spans="1:17" ht="13.5" customHeight="1">
      <c r="A38" s="367"/>
      <c r="B38" s="367"/>
      <c r="C38" s="367"/>
      <c r="D38" s="367"/>
      <c r="E38" s="367"/>
      <c r="F38" s="367"/>
      <c r="G38" s="367"/>
      <c r="H38" s="367"/>
      <c r="I38" s="367"/>
      <c r="J38" s="367"/>
      <c r="K38" s="367"/>
      <c r="L38" s="367"/>
      <c r="M38" s="367"/>
      <c r="N38" s="367"/>
      <c r="O38" s="367"/>
      <c r="P38" s="367"/>
      <c r="Q38" s="367"/>
    </row>
    <row r="40" spans="1:17" ht="13.5" customHeight="1">
      <c r="A40" s="39"/>
    </row>
    <row r="45" spans="1:17" ht="13.5" customHeight="1" thickBot="1">
      <c r="C45" s="40"/>
    </row>
    <row r="46" spans="1:17" ht="13.5" customHeight="1">
      <c r="C46" s="368" t="s">
        <v>586</v>
      </c>
      <c r="D46" s="368"/>
      <c r="E46" s="368"/>
      <c r="F46" s="368"/>
      <c r="G46" s="368"/>
      <c r="H46" s="368"/>
      <c r="I46" s="368"/>
      <c r="J46" s="368"/>
      <c r="K46" s="368"/>
      <c r="L46" s="368"/>
      <c r="M46" s="368"/>
      <c r="N46" s="368"/>
      <c r="O46" s="368"/>
    </row>
    <row r="47" spans="1:17" ht="13.5" customHeight="1">
      <c r="C47" s="369"/>
      <c r="D47" s="369"/>
      <c r="E47" s="369"/>
      <c r="F47" s="369"/>
      <c r="G47" s="369"/>
      <c r="H47" s="369"/>
      <c r="I47" s="369"/>
      <c r="J47" s="369"/>
      <c r="K47" s="369"/>
      <c r="L47" s="369"/>
      <c r="M47" s="369"/>
      <c r="N47" s="369"/>
      <c r="O47" s="369"/>
    </row>
    <row r="48" spans="1:17" ht="13.5" customHeight="1">
      <c r="C48" s="369"/>
      <c r="D48" s="369"/>
      <c r="E48" s="369"/>
      <c r="F48" s="369"/>
      <c r="G48" s="369"/>
      <c r="H48" s="369"/>
      <c r="I48" s="369"/>
      <c r="J48" s="369"/>
      <c r="K48" s="369"/>
      <c r="L48" s="369"/>
      <c r="M48" s="369"/>
      <c r="N48" s="369"/>
      <c r="O48" s="369"/>
    </row>
    <row r="49" spans="3:15" ht="13.5" customHeight="1">
      <c r="C49" s="369"/>
      <c r="D49" s="369"/>
      <c r="E49" s="369"/>
      <c r="F49" s="369"/>
      <c r="G49" s="369"/>
      <c r="H49" s="369"/>
      <c r="I49" s="369"/>
      <c r="J49" s="369"/>
      <c r="K49" s="369"/>
      <c r="L49" s="369"/>
      <c r="M49" s="369"/>
      <c r="N49" s="369"/>
      <c r="O49" s="369"/>
    </row>
    <row r="50" spans="3:15" ht="13.5" customHeight="1" thickBot="1">
      <c r="C50" s="370"/>
      <c r="D50" s="370"/>
      <c r="E50" s="370"/>
      <c r="F50" s="370"/>
      <c r="G50" s="370"/>
      <c r="H50" s="370"/>
      <c r="I50" s="370"/>
      <c r="J50" s="370"/>
      <c r="K50" s="370"/>
      <c r="L50" s="370"/>
      <c r="M50" s="370"/>
      <c r="N50" s="370"/>
      <c r="O50" s="370"/>
    </row>
  </sheetData>
  <mergeCells count="3">
    <mergeCell ref="A37:Q38"/>
    <mergeCell ref="C46:O50"/>
    <mergeCell ref="C15:O22"/>
  </mergeCells>
  <phoneticPr fontId="1" type="noConversion"/>
  <printOptions horizontalCentered="1" verticalCentered="1"/>
  <pageMargins left="0.39370078740157483" right="0.39370078740157483" top="0.59055118110236227" bottom="0.59055118110236227" header="0.19685039370078741" footer="0.19685039370078741"/>
  <pageSetup paperSize="9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pageSetUpPr fitToPage="1"/>
  </sheetPr>
  <dimension ref="A1:Q44"/>
  <sheetViews>
    <sheetView showGridLines="0" view="pageBreakPreview" zoomScale="85" zoomScaleNormal="85" zoomScaleSheetLayoutView="85" workbookViewId="0"/>
  </sheetViews>
  <sheetFormatPr defaultColWidth="9" defaultRowHeight="16.5"/>
  <cols>
    <col min="1" max="17" width="5.125" style="8" customWidth="1"/>
    <col min="18" max="16384" width="9" style="8"/>
  </cols>
  <sheetData>
    <row r="1" spans="1:17" s="5" customFormat="1" ht="13.5">
      <c r="A1" s="37"/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</row>
    <row r="2" spans="1:17" s="7" customFormat="1" ht="18" customHeight="1">
      <c r="A2" s="72" t="s">
        <v>148</v>
      </c>
      <c r="B2" s="72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</row>
    <row r="3" spans="1:17" s="7" customFormat="1" ht="5.0999999999999996" customHeight="1" thickBot="1"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ht="18" customHeight="1" thickBot="1">
      <c r="A4" s="389" t="s">
        <v>101</v>
      </c>
      <c r="B4" s="392"/>
      <c r="C4" s="388" t="s">
        <v>102</v>
      </c>
      <c r="D4" s="389"/>
      <c r="E4" s="392"/>
      <c r="F4" s="388" t="s">
        <v>103</v>
      </c>
      <c r="G4" s="389"/>
      <c r="H4" s="389"/>
      <c r="I4" s="389"/>
      <c r="J4" s="389"/>
      <c r="K4" s="389"/>
      <c r="L4" s="389"/>
      <c r="M4" s="392"/>
      <c r="N4" s="388" t="s">
        <v>104</v>
      </c>
      <c r="O4" s="389"/>
      <c r="P4" s="388" t="s">
        <v>79</v>
      </c>
      <c r="Q4" s="389"/>
    </row>
    <row r="5" spans="1:17" ht="16.5" customHeight="1">
      <c r="A5" s="384" t="s">
        <v>105</v>
      </c>
      <c r="B5" s="385"/>
      <c r="C5" s="386" t="s">
        <v>595</v>
      </c>
      <c r="D5" s="386"/>
      <c r="E5" s="386"/>
      <c r="F5" s="387" t="s">
        <v>7</v>
      </c>
      <c r="G5" s="387"/>
      <c r="H5" s="387"/>
      <c r="I5" s="387"/>
      <c r="J5" s="387"/>
      <c r="K5" s="387"/>
      <c r="L5" s="387"/>
      <c r="M5" s="387"/>
      <c r="N5" s="390" t="s">
        <v>106</v>
      </c>
      <c r="O5" s="390"/>
      <c r="P5" s="390"/>
      <c r="Q5" s="391"/>
    </row>
    <row r="6" spans="1:17">
      <c r="A6" s="372"/>
      <c r="B6" s="373"/>
      <c r="C6" s="374"/>
      <c r="D6" s="374"/>
      <c r="E6" s="374"/>
      <c r="F6" s="375"/>
      <c r="G6" s="375"/>
      <c r="H6" s="375"/>
      <c r="I6" s="375"/>
      <c r="J6" s="375"/>
      <c r="K6" s="375"/>
      <c r="L6" s="375"/>
      <c r="M6" s="375"/>
      <c r="N6" s="376"/>
      <c r="O6" s="376"/>
      <c r="P6" s="376"/>
      <c r="Q6" s="377"/>
    </row>
    <row r="7" spans="1:17">
      <c r="A7" s="372"/>
      <c r="B7" s="373"/>
      <c r="C7" s="374"/>
      <c r="D7" s="374"/>
      <c r="E7" s="374"/>
      <c r="F7" s="375"/>
      <c r="G7" s="375"/>
      <c r="H7" s="375"/>
      <c r="I7" s="375"/>
      <c r="J7" s="375"/>
      <c r="K7" s="375"/>
      <c r="L7" s="375"/>
      <c r="M7" s="375"/>
      <c r="N7" s="376"/>
      <c r="O7" s="376"/>
      <c r="P7" s="376"/>
      <c r="Q7" s="377"/>
    </row>
    <row r="8" spans="1:17">
      <c r="A8" s="372"/>
      <c r="B8" s="373"/>
      <c r="C8" s="374"/>
      <c r="D8" s="374"/>
      <c r="E8" s="374"/>
      <c r="F8" s="375"/>
      <c r="G8" s="375"/>
      <c r="H8" s="375"/>
      <c r="I8" s="375"/>
      <c r="J8" s="375"/>
      <c r="K8" s="375"/>
      <c r="L8" s="375"/>
      <c r="M8" s="375"/>
      <c r="N8" s="376"/>
      <c r="O8" s="376"/>
      <c r="P8" s="376"/>
      <c r="Q8" s="377"/>
    </row>
    <row r="9" spans="1:17">
      <c r="A9" s="372"/>
      <c r="B9" s="373"/>
      <c r="C9" s="374"/>
      <c r="D9" s="374"/>
      <c r="E9" s="374"/>
      <c r="F9" s="375"/>
      <c r="G9" s="375"/>
      <c r="H9" s="375"/>
      <c r="I9" s="375"/>
      <c r="J9" s="375"/>
      <c r="K9" s="375"/>
      <c r="L9" s="375"/>
      <c r="M9" s="375"/>
      <c r="N9" s="376"/>
      <c r="O9" s="376"/>
      <c r="P9" s="376"/>
      <c r="Q9" s="377"/>
    </row>
    <row r="10" spans="1:17">
      <c r="A10" s="372"/>
      <c r="B10" s="373"/>
      <c r="C10" s="374"/>
      <c r="D10" s="374"/>
      <c r="E10" s="374"/>
      <c r="F10" s="375"/>
      <c r="G10" s="375"/>
      <c r="H10" s="375"/>
      <c r="I10" s="375"/>
      <c r="J10" s="375"/>
      <c r="K10" s="375"/>
      <c r="L10" s="375"/>
      <c r="M10" s="375"/>
      <c r="N10" s="376"/>
      <c r="O10" s="376"/>
      <c r="P10" s="376"/>
      <c r="Q10" s="377"/>
    </row>
    <row r="11" spans="1:17">
      <c r="A11" s="372"/>
      <c r="B11" s="373"/>
      <c r="C11" s="374"/>
      <c r="D11" s="374"/>
      <c r="E11" s="374"/>
      <c r="F11" s="375"/>
      <c r="G11" s="375"/>
      <c r="H11" s="375"/>
      <c r="I11" s="375"/>
      <c r="J11" s="375"/>
      <c r="K11" s="375"/>
      <c r="L11" s="375"/>
      <c r="M11" s="375"/>
      <c r="N11" s="376"/>
      <c r="O11" s="376"/>
      <c r="P11" s="376"/>
      <c r="Q11" s="377"/>
    </row>
    <row r="12" spans="1:17">
      <c r="A12" s="372"/>
      <c r="B12" s="373"/>
      <c r="C12" s="374"/>
      <c r="D12" s="374"/>
      <c r="E12" s="374"/>
      <c r="F12" s="375"/>
      <c r="G12" s="375"/>
      <c r="H12" s="375"/>
      <c r="I12" s="375"/>
      <c r="J12" s="375"/>
      <c r="K12" s="375"/>
      <c r="L12" s="375"/>
      <c r="M12" s="375"/>
      <c r="N12" s="376"/>
      <c r="O12" s="376"/>
      <c r="P12" s="376"/>
      <c r="Q12" s="377"/>
    </row>
    <row r="13" spans="1:17">
      <c r="A13" s="372"/>
      <c r="B13" s="373"/>
      <c r="C13" s="374"/>
      <c r="D13" s="374"/>
      <c r="E13" s="374"/>
      <c r="F13" s="375"/>
      <c r="G13" s="375"/>
      <c r="H13" s="375"/>
      <c r="I13" s="375"/>
      <c r="J13" s="375"/>
      <c r="K13" s="375"/>
      <c r="L13" s="375"/>
      <c r="M13" s="375"/>
      <c r="N13" s="376"/>
      <c r="O13" s="376"/>
      <c r="P13" s="376"/>
      <c r="Q13" s="377"/>
    </row>
    <row r="14" spans="1:17">
      <c r="A14" s="372"/>
      <c r="B14" s="373"/>
      <c r="C14" s="374"/>
      <c r="D14" s="374"/>
      <c r="E14" s="374"/>
      <c r="F14" s="375"/>
      <c r="G14" s="375"/>
      <c r="H14" s="375"/>
      <c r="I14" s="375"/>
      <c r="J14" s="375"/>
      <c r="K14" s="375"/>
      <c r="L14" s="375"/>
      <c r="M14" s="375"/>
      <c r="N14" s="376"/>
      <c r="O14" s="376"/>
      <c r="P14" s="376"/>
      <c r="Q14" s="377"/>
    </row>
    <row r="15" spans="1:17">
      <c r="A15" s="372"/>
      <c r="B15" s="373"/>
      <c r="C15" s="374"/>
      <c r="D15" s="374"/>
      <c r="E15" s="374"/>
      <c r="F15" s="375"/>
      <c r="G15" s="375"/>
      <c r="H15" s="375"/>
      <c r="I15" s="375"/>
      <c r="J15" s="375"/>
      <c r="K15" s="375"/>
      <c r="L15" s="375"/>
      <c r="M15" s="375"/>
      <c r="N15" s="376"/>
      <c r="O15" s="376"/>
      <c r="P15" s="376"/>
      <c r="Q15" s="377"/>
    </row>
    <row r="16" spans="1:17">
      <c r="A16" s="372"/>
      <c r="B16" s="373"/>
      <c r="C16" s="374"/>
      <c r="D16" s="374"/>
      <c r="E16" s="374"/>
      <c r="F16" s="375"/>
      <c r="G16" s="375"/>
      <c r="H16" s="375"/>
      <c r="I16" s="375"/>
      <c r="J16" s="375"/>
      <c r="K16" s="375"/>
      <c r="L16" s="375"/>
      <c r="M16" s="375"/>
      <c r="N16" s="376"/>
      <c r="O16" s="376"/>
      <c r="P16" s="376"/>
      <c r="Q16" s="377"/>
    </row>
    <row r="17" spans="1:17">
      <c r="A17" s="372"/>
      <c r="B17" s="373"/>
      <c r="C17" s="374"/>
      <c r="D17" s="374"/>
      <c r="E17" s="374"/>
      <c r="F17" s="375"/>
      <c r="G17" s="375"/>
      <c r="H17" s="375"/>
      <c r="I17" s="375"/>
      <c r="J17" s="375"/>
      <c r="K17" s="375"/>
      <c r="L17" s="375"/>
      <c r="M17" s="375"/>
      <c r="N17" s="376"/>
      <c r="O17" s="376"/>
      <c r="P17" s="376"/>
      <c r="Q17" s="377"/>
    </row>
    <row r="18" spans="1:17">
      <c r="A18" s="372"/>
      <c r="B18" s="373"/>
      <c r="C18" s="374"/>
      <c r="D18" s="374"/>
      <c r="E18" s="374"/>
      <c r="F18" s="375"/>
      <c r="G18" s="375"/>
      <c r="H18" s="375"/>
      <c r="I18" s="375"/>
      <c r="J18" s="375"/>
      <c r="K18" s="375"/>
      <c r="L18" s="375"/>
      <c r="M18" s="375"/>
      <c r="N18" s="376"/>
      <c r="O18" s="376"/>
      <c r="P18" s="376"/>
      <c r="Q18" s="377"/>
    </row>
    <row r="19" spans="1:17">
      <c r="A19" s="372"/>
      <c r="B19" s="373"/>
      <c r="C19" s="374"/>
      <c r="D19" s="374"/>
      <c r="E19" s="374"/>
      <c r="F19" s="375"/>
      <c r="G19" s="375"/>
      <c r="H19" s="375"/>
      <c r="I19" s="375"/>
      <c r="J19" s="375"/>
      <c r="K19" s="375"/>
      <c r="L19" s="375"/>
      <c r="M19" s="375"/>
      <c r="N19" s="376"/>
      <c r="O19" s="376"/>
      <c r="P19" s="376"/>
      <c r="Q19" s="377"/>
    </row>
    <row r="20" spans="1:17">
      <c r="A20" s="372"/>
      <c r="B20" s="373"/>
      <c r="C20" s="374"/>
      <c r="D20" s="374"/>
      <c r="E20" s="374"/>
      <c r="F20" s="375"/>
      <c r="G20" s="375"/>
      <c r="H20" s="375"/>
      <c r="I20" s="375"/>
      <c r="J20" s="375"/>
      <c r="K20" s="375"/>
      <c r="L20" s="375"/>
      <c r="M20" s="375"/>
      <c r="N20" s="376"/>
      <c r="O20" s="376"/>
      <c r="P20" s="376"/>
      <c r="Q20" s="377"/>
    </row>
    <row r="21" spans="1:17">
      <c r="A21" s="372"/>
      <c r="B21" s="373"/>
      <c r="C21" s="374"/>
      <c r="D21" s="374"/>
      <c r="E21" s="374"/>
      <c r="F21" s="375"/>
      <c r="G21" s="375"/>
      <c r="H21" s="375"/>
      <c r="I21" s="375"/>
      <c r="J21" s="375"/>
      <c r="K21" s="375"/>
      <c r="L21" s="375"/>
      <c r="M21" s="375"/>
      <c r="N21" s="376"/>
      <c r="O21" s="376"/>
      <c r="P21" s="376"/>
      <c r="Q21" s="377"/>
    </row>
    <row r="22" spans="1:17">
      <c r="A22" s="372"/>
      <c r="B22" s="373"/>
      <c r="C22" s="374"/>
      <c r="D22" s="374"/>
      <c r="E22" s="374"/>
      <c r="F22" s="375"/>
      <c r="G22" s="375"/>
      <c r="H22" s="375"/>
      <c r="I22" s="375"/>
      <c r="J22" s="375"/>
      <c r="K22" s="375"/>
      <c r="L22" s="375"/>
      <c r="M22" s="375"/>
      <c r="N22" s="376"/>
      <c r="O22" s="376"/>
      <c r="P22" s="376"/>
      <c r="Q22" s="377"/>
    </row>
    <row r="23" spans="1:17">
      <c r="A23" s="372"/>
      <c r="B23" s="373"/>
      <c r="C23" s="374"/>
      <c r="D23" s="374"/>
      <c r="E23" s="374"/>
      <c r="F23" s="375"/>
      <c r="G23" s="375"/>
      <c r="H23" s="375"/>
      <c r="I23" s="375"/>
      <c r="J23" s="375"/>
      <c r="K23" s="375"/>
      <c r="L23" s="375"/>
      <c r="M23" s="375"/>
      <c r="N23" s="376"/>
      <c r="O23" s="376"/>
      <c r="P23" s="376"/>
      <c r="Q23" s="377"/>
    </row>
    <row r="24" spans="1:17">
      <c r="A24" s="372"/>
      <c r="B24" s="373"/>
      <c r="C24" s="374"/>
      <c r="D24" s="374"/>
      <c r="E24" s="374"/>
      <c r="F24" s="375"/>
      <c r="G24" s="375"/>
      <c r="H24" s="375"/>
      <c r="I24" s="375"/>
      <c r="J24" s="375"/>
      <c r="K24" s="375"/>
      <c r="L24" s="375"/>
      <c r="M24" s="375"/>
      <c r="N24" s="376"/>
      <c r="O24" s="376"/>
      <c r="P24" s="376"/>
      <c r="Q24" s="377"/>
    </row>
    <row r="25" spans="1:17">
      <c r="A25" s="372"/>
      <c r="B25" s="373"/>
      <c r="C25" s="374"/>
      <c r="D25" s="374"/>
      <c r="E25" s="374"/>
      <c r="F25" s="375"/>
      <c r="G25" s="375"/>
      <c r="H25" s="375"/>
      <c r="I25" s="375"/>
      <c r="J25" s="375"/>
      <c r="K25" s="375"/>
      <c r="L25" s="375"/>
      <c r="M25" s="375"/>
      <c r="N25" s="376"/>
      <c r="O25" s="376"/>
      <c r="P25" s="376"/>
      <c r="Q25" s="377"/>
    </row>
    <row r="26" spans="1:17">
      <c r="A26" s="372"/>
      <c r="B26" s="373"/>
      <c r="C26" s="374"/>
      <c r="D26" s="374"/>
      <c r="E26" s="374"/>
      <c r="F26" s="375"/>
      <c r="G26" s="375"/>
      <c r="H26" s="375"/>
      <c r="I26" s="375"/>
      <c r="J26" s="375"/>
      <c r="K26" s="375"/>
      <c r="L26" s="375"/>
      <c r="M26" s="375"/>
      <c r="N26" s="376"/>
      <c r="O26" s="376"/>
      <c r="P26" s="376"/>
      <c r="Q26" s="377"/>
    </row>
    <row r="27" spans="1:17">
      <c r="A27" s="372"/>
      <c r="B27" s="373"/>
      <c r="C27" s="374"/>
      <c r="D27" s="374"/>
      <c r="E27" s="374"/>
      <c r="F27" s="375"/>
      <c r="G27" s="375"/>
      <c r="H27" s="375"/>
      <c r="I27" s="375"/>
      <c r="J27" s="375"/>
      <c r="K27" s="375"/>
      <c r="L27" s="375"/>
      <c r="M27" s="375"/>
      <c r="N27" s="376"/>
      <c r="O27" s="376"/>
      <c r="P27" s="376"/>
      <c r="Q27" s="377"/>
    </row>
    <row r="28" spans="1:17">
      <c r="A28" s="372"/>
      <c r="B28" s="373"/>
      <c r="C28" s="374"/>
      <c r="D28" s="374"/>
      <c r="E28" s="374"/>
      <c r="F28" s="375"/>
      <c r="G28" s="375"/>
      <c r="H28" s="375"/>
      <c r="I28" s="375"/>
      <c r="J28" s="375"/>
      <c r="K28" s="375"/>
      <c r="L28" s="375"/>
      <c r="M28" s="375"/>
      <c r="N28" s="376"/>
      <c r="O28" s="376"/>
      <c r="P28" s="376"/>
      <c r="Q28" s="377"/>
    </row>
    <row r="29" spans="1:17">
      <c r="A29" s="372"/>
      <c r="B29" s="373"/>
      <c r="C29" s="374"/>
      <c r="D29" s="374"/>
      <c r="E29" s="374"/>
      <c r="F29" s="375"/>
      <c r="G29" s="375"/>
      <c r="H29" s="375"/>
      <c r="I29" s="375"/>
      <c r="J29" s="375"/>
      <c r="K29" s="375"/>
      <c r="L29" s="375"/>
      <c r="M29" s="375"/>
      <c r="N29" s="376"/>
      <c r="O29" s="376"/>
      <c r="P29" s="376"/>
      <c r="Q29" s="377"/>
    </row>
    <row r="30" spans="1:17">
      <c r="A30" s="372"/>
      <c r="B30" s="373"/>
      <c r="C30" s="374"/>
      <c r="D30" s="374"/>
      <c r="E30" s="374"/>
      <c r="F30" s="375"/>
      <c r="G30" s="375"/>
      <c r="H30" s="375"/>
      <c r="I30" s="375"/>
      <c r="J30" s="375"/>
      <c r="K30" s="375"/>
      <c r="L30" s="375"/>
      <c r="M30" s="375"/>
      <c r="N30" s="376"/>
      <c r="O30" s="376"/>
      <c r="P30" s="376"/>
      <c r="Q30" s="377"/>
    </row>
    <row r="31" spans="1:17">
      <c r="A31" s="372"/>
      <c r="B31" s="373"/>
      <c r="C31" s="374"/>
      <c r="D31" s="374"/>
      <c r="E31" s="374"/>
      <c r="F31" s="375"/>
      <c r="G31" s="375"/>
      <c r="H31" s="375"/>
      <c r="I31" s="375"/>
      <c r="J31" s="375"/>
      <c r="K31" s="375"/>
      <c r="L31" s="375"/>
      <c r="M31" s="375"/>
      <c r="N31" s="376"/>
      <c r="O31" s="376"/>
      <c r="P31" s="376"/>
      <c r="Q31" s="377"/>
    </row>
    <row r="32" spans="1:17">
      <c r="A32" s="372"/>
      <c r="B32" s="373"/>
      <c r="C32" s="374"/>
      <c r="D32" s="374"/>
      <c r="E32" s="374"/>
      <c r="F32" s="375"/>
      <c r="G32" s="375"/>
      <c r="H32" s="375"/>
      <c r="I32" s="375"/>
      <c r="J32" s="375"/>
      <c r="K32" s="375"/>
      <c r="L32" s="375"/>
      <c r="M32" s="375"/>
      <c r="N32" s="376"/>
      <c r="O32" s="376"/>
      <c r="P32" s="376"/>
      <c r="Q32" s="377"/>
    </row>
    <row r="33" spans="1:17">
      <c r="A33" s="372"/>
      <c r="B33" s="373"/>
      <c r="C33" s="374"/>
      <c r="D33" s="374"/>
      <c r="E33" s="374"/>
      <c r="F33" s="375"/>
      <c r="G33" s="375"/>
      <c r="H33" s="375"/>
      <c r="I33" s="375"/>
      <c r="J33" s="375"/>
      <c r="K33" s="375"/>
      <c r="L33" s="375"/>
      <c r="M33" s="375"/>
      <c r="N33" s="376"/>
      <c r="O33" s="376"/>
      <c r="P33" s="376"/>
      <c r="Q33" s="377"/>
    </row>
    <row r="34" spans="1:17">
      <c r="A34" s="372"/>
      <c r="B34" s="373"/>
      <c r="C34" s="374"/>
      <c r="D34" s="374"/>
      <c r="E34" s="374"/>
      <c r="F34" s="375"/>
      <c r="G34" s="375"/>
      <c r="H34" s="375"/>
      <c r="I34" s="375"/>
      <c r="J34" s="375"/>
      <c r="K34" s="375"/>
      <c r="L34" s="375"/>
      <c r="M34" s="375"/>
      <c r="N34" s="376"/>
      <c r="O34" s="376"/>
      <c r="P34" s="376"/>
      <c r="Q34" s="377"/>
    </row>
    <row r="35" spans="1:17">
      <c r="A35" s="372"/>
      <c r="B35" s="373"/>
      <c r="C35" s="374"/>
      <c r="D35" s="374"/>
      <c r="E35" s="374"/>
      <c r="F35" s="375"/>
      <c r="G35" s="375"/>
      <c r="H35" s="375"/>
      <c r="I35" s="375"/>
      <c r="J35" s="375"/>
      <c r="K35" s="375"/>
      <c r="L35" s="375"/>
      <c r="M35" s="375"/>
      <c r="N35" s="376"/>
      <c r="O35" s="376"/>
      <c r="P35" s="376"/>
      <c r="Q35" s="377"/>
    </row>
    <row r="36" spans="1:17">
      <c r="A36" s="372"/>
      <c r="B36" s="373"/>
      <c r="C36" s="374"/>
      <c r="D36" s="374"/>
      <c r="E36" s="374"/>
      <c r="F36" s="375"/>
      <c r="G36" s="375"/>
      <c r="H36" s="375"/>
      <c r="I36" s="375"/>
      <c r="J36" s="375"/>
      <c r="K36" s="375"/>
      <c r="L36" s="375"/>
      <c r="M36" s="375"/>
      <c r="N36" s="376"/>
      <c r="O36" s="376"/>
      <c r="P36" s="376"/>
      <c r="Q36" s="377"/>
    </row>
    <row r="37" spans="1:17">
      <c r="A37" s="372"/>
      <c r="B37" s="373"/>
      <c r="C37" s="374"/>
      <c r="D37" s="374"/>
      <c r="E37" s="374"/>
      <c r="F37" s="375"/>
      <c r="G37" s="375"/>
      <c r="H37" s="375"/>
      <c r="I37" s="375"/>
      <c r="J37" s="375"/>
      <c r="K37" s="375"/>
      <c r="L37" s="375"/>
      <c r="M37" s="375"/>
      <c r="N37" s="376"/>
      <c r="O37" s="376"/>
      <c r="P37" s="376"/>
      <c r="Q37" s="377"/>
    </row>
    <row r="38" spans="1:17">
      <c r="A38" s="372"/>
      <c r="B38" s="373"/>
      <c r="C38" s="374"/>
      <c r="D38" s="374"/>
      <c r="E38" s="374"/>
      <c r="F38" s="375"/>
      <c r="G38" s="375"/>
      <c r="H38" s="375"/>
      <c r="I38" s="375"/>
      <c r="J38" s="375"/>
      <c r="K38" s="375"/>
      <c r="L38" s="375"/>
      <c r="M38" s="375"/>
      <c r="N38" s="376"/>
      <c r="O38" s="376"/>
      <c r="P38" s="376"/>
      <c r="Q38" s="377"/>
    </row>
    <row r="39" spans="1:17">
      <c r="A39" s="372"/>
      <c r="B39" s="373"/>
      <c r="C39" s="374"/>
      <c r="D39" s="374"/>
      <c r="E39" s="374"/>
      <c r="F39" s="375"/>
      <c r="G39" s="375"/>
      <c r="H39" s="375"/>
      <c r="I39" s="375"/>
      <c r="J39" s="375"/>
      <c r="K39" s="375"/>
      <c r="L39" s="375"/>
      <c r="M39" s="375"/>
      <c r="N39" s="376"/>
      <c r="O39" s="376"/>
      <c r="P39" s="376"/>
      <c r="Q39" s="377"/>
    </row>
    <row r="40" spans="1:17">
      <c r="A40" s="372"/>
      <c r="B40" s="373"/>
      <c r="C40" s="374"/>
      <c r="D40" s="374"/>
      <c r="E40" s="374"/>
      <c r="F40" s="375"/>
      <c r="G40" s="375"/>
      <c r="H40" s="375"/>
      <c r="I40" s="375"/>
      <c r="J40" s="375"/>
      <c r="K40" s="375"/>
      <c r="L40" s="375"/>
      <c r="M40" s="375"/>
      <c r="N40" s="376"/>
      <c r="O40" s="376"/>
      <c r="P40" s="376"/>
      <c r="Q40" s="377"/>
    </row>
    <row r="41" spans="1:17">
      <c r="A41" s="372"/>
      <c r="B41" s="373"/>
      <c r="C41" s="374"/>
      <c r="D41" s="374"/>
      <c r="E41" s="374"/>
      <c r="F41" s="375"/>
      <c r="G41" s="375"/>
      <c r="H41" s="375"/>
      <c r="I41" s="375"/>
      <c r="J41" s="375"/>
      <c r="K41" s="375"/>
      <c r="L41" s="375"/>
      <c r="M41" s="375"/>
      <c r="N41" s="376"/>
      <c r="O41" s="376"/>
      <c r="P41" s="376"/>
      <c r="Q41" s="377"/>
    </row>
    <row r="42" spans="1:17">
      <c r="A42" s="372"/>
      <c r="B42" s="373"/>
      <c r="C42" s="374"/>
      <c r="D42" s="374"/>
      <c r="E42" s="374"/>
      <c r="F42" s="375"/>
      <c r="G42" s="375"/>
      <c r="H42" s="375"/>
      <c r="I42" s="375"/>
      <c r="J42" s="375"/>
      <c r="K42" s="375"/>
      <c r="L42" s="375"/>
      <c r="M42" s="375"/>
      <c r="N42" s="376"/>
      <c r="O42" s="376"/>
      <c r="P42" s="376"/>
      <c r="Q42" s="377"/>
    </row>
    <row r="43" spans="1:17">
      <c r="A43" s="372"/>
      <c r="B43" s="373"/>
      <c r="C43" s="374"/>
      <c r="D43" s="374"/>
      <c r="E43" s="374"/>
      <c r="F43" s="375"/>
      <c r="G43" s="375"/>
      <c r="H43" s="375"/>
      <c r="I43" s="375"/>
      <c r="J43" s="375"/>
      <c r="K43" s="375"/>
      <c r="L43" s="375"/>
      <c r="M43" s="375"/>
      <c r="N43" s="376"/>
      <c r="O43" s="376"/>
      <c r="P43" s="376"/>
      <c r="Q43" s="377"/>
    </row>
    <row r="44" spans="1:17" ht="17.25" thickBot="1">
      <c r="A44" s="378"/>
      <c r="B44" s="379"/>
      <c r="C44" s="380"/>
      <c r="D44" s="380"/>
      <c r="E44" s="380"/>
      <c r="F44" s="381"/>
      <c r="G44" s="381"/>
      <c r="H44" s="381"/>
      <c r="I44" s="381"/>
      <c r="J44" s="381"/>
      <c r="K44" s="381"/>
      <c r="L44" s="381"/>
      <c r="M44" s="381"/>
      <c r="N44" s="382"/>
      <c r="O44" s="382"/>
      <c r="P44" s="382"/>
      <c r="Q44" s="383"/>
    </row>
  </sheetData>
  <mergeCells count="205">
    <mergeCell ref="A5:B5"/>
    <mergeCell ref="C5:E5"/>
    <mergeCell ref="F5:M5"/>
    <mergeCell ref="N4:O4"/>
    <mergeCell ref="P4:Q4"/>
    <mergeCell ref="N5:O5"/>
    <mergeCell ref="P5:Q5"/>
    <mergeCell ref="A4:B4"/>
    <mergeCell ref="C4:E4"/>
    <mergeCell ref="F4:M4"/>
    <mergeCell ref="A20:B20"/>
    <mergeCell ref="C20:E20"/>
    <mergeCell ref="F20:M20"/>
    <mergeCell ref="N20:O20"/>
    <mergeCell ref="P20:Q20"/>
    <mergeCell ref="A21:B21"/>
    <mergeCell ref="C21:E21"/>
    <mergeCell ref="F21:M21"/>
    <mergeCell ref="N21:O21"/>
    <mergeCell ref="P21:Q21"/>
    <mergeCell ref="A22:B22"/>
    <mergeCell ref="C22:E22"/>
    <mergeCell ref="F22:M22"/>
    <mergeCell ref="N22:O22"/>
    <mergeCell ref="P22:Q22"/>
    <mergeCell ref="A23:B23"/>
    <mergeCell ref="C23:E23"/>
    <mergeCell ref="F23:M23"/>
    <mergeCell ref="N23:O23"/>
    <mergeCell ref="P23:Q23"/>
    <mergeCell ref="A24:B24"/>
    <mergeCell ref="C24:E24"/>
    <mergeCell ref="F24:M24"/>
    <mergeCell ref="N24:O24"/>
    <mergeCell ref="P24:Q24"/>
    <mergeCell ref="A25:B25"/>
    <mergeCell ref="C25:E25"/>
    <mergeCell ref="F25:M25"/>
    <mergeCell ref="N25:O25"/>
    <mergeCell ref="P25:Q25"/>
    <mergeCell ref="A26:B26"/>
    <mergeCell ref="C26:E26"/>
    <mergeCell ref="F26:M26"/>
    <mergeCell ref="N26:O26"/>
    <mergeCell ref="P26:Q26"/>
    <mergeCell ref="A27:B27"/>
    <mergeCell ref="C27:E27"/>
    <mergeCell ref="F27:M27"/>
    <mergeCell ref="N27:O27"/>
    <mergeCell ref="P27:Q27"/>
    <mergeCell ref="A28:B28"/>
    <mergeCell ref="C28:E28"/>
    <mergeCell ref="F28:M28"/>
    <mergeCell ref="N28:O28"/>
    <mergeCell ref="P28:Q28"/>
    <mergeCell ref="A29:B29"/>
    <mergeCell ref="C29:E29"/>
    <mergeCell ref="F29:M29"/>
    <mergeCell ref="N29:O29"/>
    <mergeCell ref="P29:Q29"/>
    <mergeCell ref="A30:B30"/>
    <mergeCell ref="C30:E30"/>
    <mergeCell ref="F30:M30"/>
    <mergeCell ref="N30:O30"/>
    <mergeCell ref="P30:Q30"/>
    <mergeCell ref="A31:B31"/>
    <mergeCell ref="C31:E31"/>
    <mergeCell ref="F31:M31"/>
    <mergeCell ref="N31:O31"/>
    <mergeCell ref="P31:Q31"/>
    <mergeCell ref="A32:B32"/>
    <mergeCell ref="C32:E32"/>
    <mergeCell ref="F32:M32"/>
    <mergeCell ref="N32:O32"/>
    <mergeCell ref="P32:Q32"/>
    <mergeCell ref="A33:B33"/>
    <mergeCell ref="C33:E33"/>
    <mergeCell ref="F33:M33"/>
    <mergeCell ref="N33:O33"/>
    <mergeCell ref="P33:Q33"/>
    <mergeCell ref="A34:B34"/>
    <mergeCell ref="C34:E34"/>
    <mergeCell ref="F34:M34"/>
    <mergeCell ref="N34:O34"/>
    <mergeCell ref="P34:Q34"/>
    <mergeCell ref="A35:B35"/>
    <mergeCell ref="C35:E35"/>
    <mergeCell ref="F35:M35"/>
    <mergeCell ref="N35:O35"/>
    <mergeCell ref="P35:Q35"/>
    <mergeCell ref="A36:B36"/>
    <mergeCell ref="C36:E36"/>
    <mergeCell ref="F36:M36"/>
    <mergeCell ref="N36:O36"/>
    <mergeCell ref="P36:Q36"/>
    <mergeCell ref="A37:B37"/>
    <mergeCell ref="C37:E37"/>
    <mergeCell ref="F37:M37"/>
    <mergeCell ref="N37:O37"/>
    <mergeCell ref="P37:Q37"/>
    <mergeCell ref="P40:Q40"/>
    <mergeCell ref="A41:B41"/>
    <mergeCell ref="C41:E41"/>
    <mergeCell ref="F41:M41"/>
    <mergeCell ref="N41:O41"/>
    <mergeCell ref="P41:Q41"/>
    <mergeCell ref="A38:B38"/>
    <mergeCell ref="C38:E38"/>
    <mergeCell ref="F38:M38"/>
    <mergeCell ref="N38:O38"/>
    <mergeCell ref="P38:Q38"/>
    <mergeCell ref="A39:B39"/>
    <mergeCell ref="C39:E39"/>
    <mergeCell ref="F39:M39"/>
    <mergeCell ref="N39:O39"/>
    <mergeCell ref="P39:Q39"/>
    <mergeCell ref="A44:B44"/>
    <mergeCell ref="C44:E44"/>
    <mergeCell ref="F44:M44"/>
    <mergeCell ref="N44:O44"/>
    <mergeCell ref="P44:Q44"/>
    <mergeCell ref="A6:B6"/>
    <mergeCell ref="C6:E6"/>
    <mergeCell ref="F6:M6"/>
    <mergeCell ref="N6:O6"/>
    <mergeCell ref="P6:Q6"/>
    <mergeCell ref="A42:B42"/>
    <mergeCell ref="C42:E42"/>
    <mergeCell ref="F42:M42"/>
    <mergeCell ref="N42:O42"/>
    <mergeCell ref="P42:Q42"/>
    <mergeCell ref="A43:B43"/>
    <mergeCell ref="C43:E43"/>
    <mergeCell ref="F43:M43"/>
    <mergeCell ref="N43:O43"/>
    <mergeCell ref="P43:Q43"/>
    <mergeCell ref="A40:B40"/>
    <mergeCell ref="C40:E40"/>
    <mergeCell ref="F40:M40"/>
    <mergeCell ref="N40:O40"/>
    <mergeCell ref="A7:B7"/>
    <mergeCell ref="C7:E7"/>
    <mergeCell ref="F7:M7"/>
    <mergeCell ref="N7:O7"/>
    <mergeCell ref="P7:Q7"/>
    <mergeCell ref="A8:B8"/>
    <mergeCell ref="C8:E8"/>
    <mergeCell ref="F8:M8"/>
    <mergeCell ref="N8:O8"/>
    <mergeCell ref="P8:Q8"/>
    <mergeCell ref="A9:B9"/>
    <mergeCell ref="C9:E9"/>
    <mergeCell ref="F9:M9"/>
    <mergeCell ref="N9:O9"/>
    <mergeCell ref="P9:Q9"/>
    <mergeCell ref="A10:B10"/>
    <mergeCell ref="C10:E10"/>
    <mergeCell ref="F10:M10"/>
    <mergeCell ref="N10:O10"/>
    <mergeCell ref="P10:Q10"/>
    <mergeCell ref="A11:B11"/>
    <mergeCell ref="C11:E11"/>
    <mergeCell ref="F11:M11"/>
    <mergeCell ref="N11:O11"/>
    <mergeCell ref="P11:Q11"/>
    <mergeCell ref="A12:B12"/>
    <mergeCell ref="C12:E12"/>
    <mergeCell ref="F12:M12"/>
    <mergeCell ref="N12:O12"/>
    <mergeCell ref="P12:Q12"/>
    <mergeCell ref="A13:B13"/>
    <mergeCell ref="C13:E13"/>
    <mergeCell ref="F13:M13"/>
    <mergeCell ref="N13:O13"/>
    <mergeCell ref="P13:Q13"/>
    <mergeCell ref="A14:B14"/>
    <mergeCell ref="C14:E14"/>
    <mergeCell ref="F14:M14"/>
    <mergeCell ref="N14:O14"/>
    <mergeCell ref="P14:Q14"/>
    <mergeCell ref="A15:B15"/>
    <mergeCell ref="C15:E15"/>
    <mergeCell ref="F15:M15"/>
    <mergeCell ref="N15:O15"/>
    <mergeCell ref="P15:Q15"/>
    <mergeCell ref="A16:B16"/>
    <mergeCell ref="C16:E16"/>
    <mergeCell ref="F16:M16"/>
    <mergeCell ref="N16:O16"/>
    <mergeCell ref="P16:Q16"/>
    <mergeCell ref="A19:B19"/>
    <mergeCell ref="C19:E19"/>
    <mergeCell ref="F19:M19"/>
    <mergeCell ref="N19:O19"/>
    <mergeCell ref="P19:Q19"/>
    <mergeCell ref="A17:B17"/>
    <mergeCell ref="C17:E17"/>
    <mergeCell ref="F17:M17"/>
    <mergeCell ref="N17:O17"/>
    <mergeCell ref="P17:Q17"/>
    <mergeCell ref="A18:B18"/>
    <mergeCell ref="C18:E18"/>
    <mergeCell ref="F18:M18"/>
    <mergeCell ref="N18:O18"/>
    <mergeCell ref="P18:Q18"/>
  </mergeCells>
  <phoneticPr fontId="5" type="noConversion"/>
  <printOptions horizontalCentered="1"/>
  <pageMargins left="0.39370078740157483" right="0.39370078740157483" top="0.59055118110236227" bottom="0.59055118110236227" header="0.19685039370078741" footer="0.19685039370078741"/>
  <pageSetup paperSize="9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Q65"/>
  <sheetViews>
    <sheetView showGridLines="0" view="pageBreakPreview" zoomScale="85" zoomScaleNormal="85" zoomScaleSheetLayoutView="85" workbookViewId="0"/>
  </sheetViews>
  <sheetFormatPr defaultColWidth="9" defaultRowHeight="16.5"/>
  <cols>
    <col min="1" max="17" width="5.125" style="8" customWidth="1"/>
    <col min="18" max="16384" width="9" style="8"/>
  </cols>
  <sheetData>
    <row r="1" spans="1:17" s="5" customFormat="1" ht="13.5">
      <c r="A1" s="4"/>
      <c r="B1" s="4"/>
      <c r="C1" s="4"/>
      <c r="D1" s="4"/>
      <c r="E1" s="4"/>
      <c r="F1" s="4"/>
      <c r="G1" s="4"/>
      <c r="H1" s="4"/>
      <c r="I1" s="4"/>
      <c r="J1" s="4"/>
      <c r="K1" s="37"/>
      <c r="L1" s="37"/>
      <c r="M1" s="37"/>
      <c r="N1" s="37"/>
      <c r="O1" s="37"/>
      <c r="P1" s="37"/>
      <c r="Q1" s="37"/>
    </row>
    <row r="2" spans="1:17" s="7" customFormat="1" ht="16.5" customHeight="1">
      <c r="A2" s="4"/>
      <c r="B2" s="72" t="s">
        <v>149</v>
      </c>
      <c r="C2" s="4"/>
      <c r="D2" s="4"/>
      <c r="E2" s="4"/>
      <c r="F2" s="4"/>
      <c r="G2" s="4"/>
      <c r="H2" s="4"/>
      <c r="I2" s="4"/>
      <c r="J2" s="4"/>
      <c r="K2" s="6"/>
      <c r="L2" s="6"/>
      <c r="M2" s="6"/>
      <c r="N2" s="6"/>
      <c r="O2" s="6"/>
      <c r="P2" s="6"/>
      <c r="Q2" s="6"/>
    </row>
    <row r="3" spans="1:17" s="7" customFormat="1" ht="5.0999999999999996" customHeight="1">
      <c r="A3" s="4"/>
      <c r="B3" s="46"/>
      <c r="C3" s="4"/>
      <c r="D3" s="4"/>
      <c r="E3" s="4"/>
      <c r="F3" s="4"/>
      <c r="G3" s="4"/>
      <c r="H3" s="4"/>
      <c r="I3" s="4"/>
      <c r="J3" s="4"/>
      <c r="K3" s="1"/>
      <c r="L3" s="1"/>
      <c r="M3" s="1"/>
      <c r="N3" s="1"/>
      <c r="O3" s="1"/>
      <c r="P3" s="1"/>
      <c r="Q3" s="1"/>
    </row>
    <row r="4" spans="1:17" ht="16.5" customHeight="1">
      <c r="A4" s="5"/>
      <c r="B4" s="65" t="s">
        <v>0</v>
      </c>
      <c r="C4" s="65"/>
      <c r="D4" s="65"/>
      <c r="E4" s="65"/>
      <c r="F4" s="65"/>
      <c r="G4" s="65"/>
      <c r="H4" s="65"/>
      <c r="I4" s="65"/>
      <c r="J4" s="65"/>
      <c r="K4" s="37"/>
      <c r="L4" s="37"/>
      <c r="M4" s="37"/>
      <c r="N4" s="37"/>
      <c r="O4" s="37"/>
      <c r="P4" s="37"/>
      <c r="Q4" s="37"/>
    </row>
    <row r="5" spans="1:17" ht="5.0999999999999996" customHeight="1">
      <c r="A5" s="5"/>
      <c r="B5" s="5"/>
      <c r="C5" s="66"/>
      <c r="D5" s="66"/>
      <c r="E5" s="66"/>
      <c r="F5" s="66"/>
      <c r="G5" s="66"/>
      <c r="H5" s="66"/>
      <c r="I5" s="66"/>
      <c r="J5" s="66"/>
      <c r="K5" s="37"/>
      <c r="L5" s="37"/>
      <c r="M5" s="37"/>
      <c r="N5" s="37"/>
      <c r="O5" s="37"/>
      <c r="P5" s="37"/>
      <c r="Q5" s="37"/>
    </row>
    <row r="6" spans="1:17" ht="16.5" customHeight="1">
      <c r="A6" s="5"/>
      <c r="B6" s="452" t="s">
        <v>541</v>
      </c>
      <c r="C6" s="452"/>
      <c r="D6" s="452"/>
      <c r="E6" s="452"/>
      <c r="F6" s="452"/>
      <c r="G6" s="452"/>
      <c r="H6" s="452"/>
      <c r="I6" s="452"/>
      <c r="J6" s="452"/>
      <c r="K6" s="452"/>
      <c r="L6" s="452"/>
      <c r="M6" s="452"/>
      <c r="N6" s="452"/>
      <c r="O6" s="452"/>
      <c r="P6" s="452"/>
      <c r="Q6" s="37"/>
    </row>
    <row r="7" spans="1:17" ht="16.5" customHeight="1">
      <c r="A7" s="5"/>
      <c r="B7" s="453"/>
      <c r="C7" s="453"/>
      <c r="D7" s="453"/>
      <c r="E7" s="453"/>
      <c r="F7" s="453"/>
      <c r="G7" s="453"/>
      <c r="H7" s="453"/>
      <c r="I7" s="453"/>
      <c r="J7" s="453"/>
      <c r="K7" s="453"/>
      <c r="L7" s="453"/>
      <c r="M7" s="453"/>
      <c r="N7" s="453"/>
      <c r="O7" s="453"/>
      <c r="P7" s="453"/>
      <c r="Q7" s="37"/>
    </row>
    <row r="8" spans="1:17" ht="16.5" customHeight="1">
      <c r="A8" s="5"/>
      <c r="B8" s="453"/>
      <c r="C8" s="453"/>
      <c r="D8" s="453"/>
      <c r="E8" s="453"/>
      <c r="F8" s="453"/>
      <c r="G8" s="453"/>
      <c r="H8" s="453"/>
      <c r="I8" s="453"/>
      <c r="J8" s="453"/>
      <c r="K8" s="453"/>
      <c r="L8" s="453"/>
      <c r="M8" s="453"/>
      <c r="N8" s="453"/>
      <c r="O8" s="453"/>
      <c r="P8" s="453"/>
      <c r="Q8" s="37"/>
    </row>
    <row r="9" spans="1:17" ht="13.5" customHeight="1">
      <c r="A9" s="5"/>
      <c r="B9" s="5"/>
      <c r="C9" s="5"/>
      <c r="D9" s="5"/>
      <c r="E9" s="5"/>
      <c r="F9" s="5"/>
      <c r="G9" s="5"/>
      <c r="H9" s="5"/>
      <c r="I9" s="5"/>
      <c r="J9" s="5"/>
      <c r="K9" s="37"/>
      <c r="L9" s="37"/>
      <c r="M9" s="37"/>
      <c r="N9" s="37"/>
      <c r="O9" s="37"/>
      <c r="P9" s="37"/>
      <c r="Q9" s="37"/>
    </row>
    <row r="10" spans="1:17" ht="16.5" customHeight="1">
      <c r="A10" s="5"/>
      <c r="B10" s="69" t="s">
        <v>542</v>
      </c>
      <c r="C10" s="69"/>
      <c r="D10" s="69"/>
      <c r="E10" s="69"/>
      <c r="F10" s="69"/>
      <c r="G10" s="69"/>
      <c r="H10" s="69"/>
      <c r="I10" s="69"/>
      <c r="J10" s="69"/>
      <c r="K10" s="135"/>
      <c r="L10" s="135"/>
      <c r="M10" s="135"/>
      <c r="N10" s="135"/>
      <c r="O10" s="135"/>
      <c r="P10" s="135"/>
      <c r="Q10" s="37"/>
    </row>
    <row r="11" spans="1:17" ht="5.0999999999999996" customHeight="1">
      <c r="A11" s="5"/>
      <c r="B11" s="5"/>
      <c r="C11" s="66"/>
      <c r="D11" s="66"/>
      <c r="E11" s="66"/>
      <c r="F11" s="66"/>
      <c r="G11" s="66"/>
      <c r="H11" s="66"/>
      <c r="I11" s="66"/>
      <c r="J11" s="66"/>
      <c r="K11" s="37"/>
      <c r="L11" s="37"/>
      <c r="M11" s="37"/>
      <c r="N11" s="37"/>
      <c r="O11" s="37"/>
      <c r="P11" s="37"/>
      <c r="Q11" s="37"/>
    </row>
    <row r="12" spans="1:17" ht="16.5" customHeight="1">
      <c r="A12" s="67"/>
      <c r="B12" s="132" t="s">
        <v>593</v>
      </c>
      <c r="C12" s="65"/>
      <c r="D12" s="65"/>
      <c r="E12" s="65"/>
      <c r="F12" s="65"/>
      <c r="G12" s="65"/>
      <c r="H12" s="65"/>
      <c r="I12" s="65"/>
      <c r="J12" s="5"/>
      <c r="K12" s="37"/>
      <c r="L12" s="37"/>
      <c r="M12" s="37"/>
      <c r="N12" s="37"/>
      <c r="O12" s="37"/>
      <c r="P12" s="37"/>
      <c r="Q12" s="37"/>
    </row>
    <row r="13" spans="1:17" ht="5.0999999999999996" customHeight="1" thickBot="1">
      <c r="A13" s="67"/>
      <c r="B13" s="132"/>
      <c r="C13" s="65"/>
      <c r="D13" s="65"/>
      <c r="E13" s="65"/>
      <c r="F13" s="65"/>
      <c r="G13" s="65"/>
      <c r="H13" s="65"/>
      <c r="I13" s="65"/>
      <c r="J13" s="5"/>
      <c r="K13" s="37"/>
      <c r="L13" s="37"/>
      <c r="M13" s="37"/>
      <c r="N13" s="37"/>
      <c r="O13" s="37"/>
      <c r="P13" s="37"/>
      <c r="Q13" s="37"/>
    </row>
    <row r="14" spans="1:17" ht="16.5" customHeight="1">
      <c r="A14" s="67"/>
      <c r="B14" s="5"/>
      <c r="C14" s="432" t="s">
        <v>594</v>
      </c>
      <c r="D14" s="432"/>
      <c r="E14" s="432"/>
      <c r="F14" s="432"/>
      <c r="G14" s="432"/>
      <c r="H14" s="432"/>
      <c r="I14" s="432"/>
      <c r="J14" s="432"/>
      <c r="K14" s="432"/>
      <c r="L14" s="432"/>
      <c r="M14" s="432"/>
      <c r="N14" s="432"/>
      <c r="O14" s="432"/>
      <c r="P14" s="37"/>
      <c r="Q14" s="37"/>
    </row>
    <row r="15" spans="1:17" ht="16.5" customHeight="1">
      <c r="A15" s="67"/>
      <c r="B15" s="5"/>
      <c r="C15" s="433"/>
      <c r="D15" s="433"/>
      <c r="E15" s="433"/>
      <c r="F15" s="433"/>
      <c r="G15" s="433"/>
      <c r="H15" s="433"/>
      <c r="I15" s="433"/>
      <c r="J15" s="433"/>
      <c r="K15" s="433"/>
      <c r="L15" s="433"/>
      <c r="M15" s="433"/>
      <c r="N15" s="433"/>
      <c r="O15" s="433"/>
      <c r="P15" s="37"/>
      <c r="Q15" s="37"/>
    </row>
    <row r="16" spans="1:17" ht="16.5" customHeight="1" thickBot="1">
      <c r="A16" s="67"/>
      <c r="B16" s="5"/>
      <c r="C16" s="434"/>
      <c r="D16" s="434"/>
      <c r="E16" s="434"/>
      <c r="F16" s="434"/>
      <c r="G16" s="434"/>
      <c r="H16" s="434"/>
      <c r="I16" s="434"/>
      <c r="J16" s="434"/>
      <c r="K16" s="434"/>
      <c r="L16" s="434"/>
      <c r="M16" s="434"/>
      <c r="N16" s="434"/>
      <c r="O16" s="434"/>
      <c r="P16" s="37"/>
      <c r="Q16" s="37"/>
    </row>
    <row r="17" spans="1:17" ht="16.5" customHeight="1">
      <c r="A17" s="67"/>
      <c r="B17" s="5"/>
      <c r="C17" s="435" t="s">
        <v>543</v>
      </c>
      <c r="D17" s="435"/>
      <c r="E17" s="435"/>
      <c r="F17" s="435"/>
      <c r="G17" s="435"/>
      <c r="H17" s="435"/>
      <c r="I17" s="435"/>
      <c r="J17" s="435"/>
      <c r="K17" s="435"/>
      <c r="L17" s="435"/>
      <c r="M17" s="435"/>
      <c r="N17" s="435"/>
      <c r="O17" s="435"/>
      <c r="P17" s="37"/>
      <c r="Q17" s="37"/>
    </row>
    <row r="18" spans="1:17" ht="16.5" customHeight="1">
      <c r="A18" s="67"/>
      <c r="B18" s="5"/>
      <c r="C18" s="436"/>
      <c r="D18" s="436"/>
      <c r="E18" s="436"/>
      <c r="F18" s="436"/>
      <c r="G18" s="436"/>
      <c r="H18" s="436"/>
      <c r="I18" s="436"/>
      <c r="J18" s="436"/>
      <c r="K18" s="436"/>
      <c r="L18" s="436"/>
      <c r="M18" s="436"/>
      <c r="N18" s="436"/>
      <c r="O18" s="436"/>
      <c r="P18" s="37"/>
      <c r="Q18" s="37"/>
    </row>
    <row r="19" spans="1:17" ht="16.5" customHeight="1" thickBot="1">
      <c r="A19" s="67"/>
      <c r="B19" s="5"/>
      <c r="C19" s="437"/>
      <c r="D19" s="437"/>
      <c r="E19" s="437"/>
      <c r="F19" s="437"/>
      <c r="G19" s="437"/>
      <c r="H19" s="437"/>
      <c r="I19" s="437"/>
      <c r="J19" s="437"/>
      <c r="K19" s="437"/>
      <c r="L19" s="437"/>
      <c r="M19" s="437"/>
      <c r="N19" s="437"/>
      <c r="O19" s="437"/>
      <c r="P19" s="37"/>
      <c r="Q19" s="37"/>
    </row>
    <row r="20" spans="1:17" ht="13.5" customHeight="1">
      <c r="A20" s="5"/>
      <c r="B20" s="5"/>
      <c r="C20" s="5"/>
      <c r="D20" s="5"/>
      <c r="E20" s="5"/>
      <c r="F20" s="5"/>
      <c r="G20" s="5"/>
      <c r="H20" s="5"/>
      <c r="I20" s="5"/>
      <c r="J20" s="5"/>
      <c r="K20" s="37"/>
      <c r="L20" s="37"/>
      <c r="M20" s="37"/>
      <c r="N20" s="37"/>
      <c r="O20" s="37"/>
      <c r="P20" s="37"/>
      <c r="Q20" s="37"/>
    </row>
    <row r="21" spans="1:17" ht="16.5" customHeight="1">
      <c r="A21" s="67"/>
      <c r="B21" s="132" t="s">
        <v>544</v>
      </c>
      <c r="C21" s="65"/>
      <c r="D21" s="65"/>
      <c r="E21" s="65"/>
      <c r="F21" s="65"/>
      <c r="G21" s="65"/>
      <c r="H21" s="65"/>
      <c r="I21" s="65"/>
      <c r="J21" s="5"/>
      <c r="K21" s="37"/>
      <c r="L21" s="37"/>
      <c r="M21" s="37"/>
      <c r="N21" s="37"/>
      <c r="O21" s="37"/>
      <c r="P21" s="37"/>
      <c r="Q21" s="37"/>
    </row>
    <row r="22" spans="1:17" ht="5.0999999999999996" customHeight="1" thickBot="1">
      <c r="A22" s="67"/>
      <c r="B22" s="132"/>
      <c r="C22" s="65"/>
      <c r="D22" s="65"/>
      <c r="E22" s="65"/>
      <c r="F22" s="65"/>
      <c r="G22" s="65"/>
      <c r="H22" s="65"/>
      <c r="I22" s="65"/>
      <c r="J22" s="5"/>
      <c r="K22" s="37"/>
      <c r="L22" s="37"/>
      <c r="M22" s="37"/>
      <c r="N22" s="37"/>
      <c r="O22" s="37"/>
      <c r="P22" s="37"/>
      <c r="Q22" s="37"/>
    </row>
    <row r="23" spans="1:17" ht="16.5" customHeight="1">
      <c r="A23" s="5"/>
      <c r="B23" s="443" t="s">
        <v>545</v>
      </c>
      <c r="C23" s="443"/>
      <c r="D23" s="443"/>
      <c r="E23" s="443"/>
      <c r="F23" s="454"/>
      <c r="G23" s="456" t="s">
        <v>546</v>
      </c>
      <c r="H23" s="457"/>
      <c r="I23" s="457"/>
      <c r="J23" s="457"/>
      <c r="K23" s="457"/>
      <c r="L23" s="457"/>
      <c r="M23" s="457"/>
      <c r="N23" s="457"/>
      <c r="O23" s="457"/>
      <c r="P23" s="457"/>
      <c r="Q23" s="37"/>
    </row>
    <row r="24" spans="1:17" ht="16.5" customHeight="1" thickBot="1">
      <c r="A24" s="5"/>
      <c r="B24" s="445"/>
      <c r="C24" s="445"/>
      <c r="D24" s="445"/>
      <c r="E24" s="445"/>
      <c r="F24" s="455"/>
      <c r="G24" s="441" t="s">
        <v>547</v>
      </c>
      <c r="H24" s="441"/>
      <c r="I24" s="458" t="s">
        <v>548</v>
      </c>
      <c r="J24" s="440"/>
      <c r="K24" s="458" t="s">
        <v>549</v>
      </c>
      <c r="L24" s="440"/>
      <c r="M24" s="458" t="s">
        <v>550</v>
      </c>
      <c r="N24" s="440"/>
      <c r="O24" s="441" t="s">
        <v>551</v>
      </c>
      <c r="P24" s="458"/>
      <c r="Q24" s="37"/>
    </row>
    <row r="25" spans="1:17" ht="16.5" customHeight="1">
      <c r="A25" s="67"/>
      <c r="B25" s="446" t="s">
        <v>4</v>
      </c>
      <c r="C25" s="446"/>
      <c r="D25" s="446"/>
      <c r="E25" s="446"/>
      <c r="F25" s="447"/>
      <c r="G25" s="449" t="s">
        <v>100</v>
      </c>
      <c r="H25" s="449"/>
      <c r="I25" s="449" t="s">
        <v>5</v>
      </c>
      <c r="J25" s="449"/>
      <c r="K25" s="449" t="s">
        <v>6</v>
      </c>
      <c r="L25" s="449"/>
      <c r="M25" s="449" t="s">
        <v>141</v>
      </c>
      <c r="N25" s="449"/>
      <c r="O25" s="449" t="s">
        <v>251</v>
      </c>
      <c r="P25" s="450"/>
      <c r="Q25" s="37"/>
    </row>
    <row r="26" spans="1:17" ht="16.5" customHeight="1">
      <c r="A26" s="67"/>
      <c r="B26" s="448"/>
      <c r="C26" s="448"/>
      <c r="D26" s="448"/>
      <c r="E26" s="448"/>
      <c r="F26" s="410"/>
      <c r="G26" s="395"/>
      <c r="H26" s="395"/>
      <c r="I26" s="395"/>
      <c r="J26" s="395"/>
      <c r="K26" s="395"/>
      <c r="L26" s="395"/>
      <c r="M26" s="395"/>
      <c r="N26" s="395"/>
      <c r="O26" s="395"/>
      <c r="P26" s="451"/>
      <c r="Q26" s="37"/>
    </row>
    <row r="27" spans="1:17" ht="16.5" customHeight="1">
      <c r="A27" s="67"/>
      <c r="B27" s="423" t="s">
        <v>552</v>
      </c>
      <c r="C27" s="423"/>
      <c r="D27" s="423"/>
      <c r="E27" s="423"/>
      <c r="F27" s="402"/>
      <c r="G27" s="426" t="s">
        <v>553</v>
      </c>
      <c r="H27" s="427"/>
      <c r="I27" s="426" t="s">
        <v>553</v>
      </c>
      <c r="J27" s="427"/>
      <c r="K27" s="426" t="s">
        <v>553</v>
      </c>
      <c r="L27" s="427"/>
      <c r="M27" s="426" t="s">
        <v>553</v>
      </c>
      <c r="N27" s="427"/>
      <c r="O27" s="426" t="s">
        <v>553</v>
      </c>
      <c r="P27" s="430"/>
      <c r="Q27" s="37"/>
    </row>
    <row r="28" spans="1:17" ht="16.5" customHeight="1">
      <c r="A28" s="67"/>
      <c r="B28" s="448"/>
      <c r="C28" s="448"/>
      <c r="D28" s="448"/>
      <c r="E28" s="448"/>
      <c r="F28" s="410"/>
      <c r="G28" s="418"/>
      <c r="H28" s="420"/>
      <c r="I28" s="418"/>
      <c r="J28" s="420"/>
      <c r="K28" s="418"/>
      <c r="L28" s="420"/>
      <c r="M28" s="418"/>
      <c r="N28" s="420"/>
      <c r="O28" s="418"/>
      <c r="P28" s="419"/>
      <c r="Q28" s="37"/>
    </row>
    <row r="29" spans="1:17" ht="16.5" customHeight="1">
      <c r="A29" s="67"/>
      <c r="B29" s="423" t="s">
        <v>142</v>
      </c>
      <c r="C29" s="423"/>
      <c r="D29" s="423"/>
      <c r="E29" s="423"/>
      <c r="F29" s="402"/>
      <c r="G29" s="426" t="s">
        <v>98</v>
      </c>
      <c r="H29" s="427"/>
      <c r="I29" s="426" t="s">
        <v>98</v>
      </c>
      <c r="J29" s="427"/>
      <c r="K29" s="426" t="s">
        <v>98</v>
      </c>
      <c r="L29" s="427"/>
      <c r="M29" s="426" t="s">
        <v>98</v>
      </c>
      <c r="N29" s="427"/>
      <c r="O29" s="426" t="s">
        <v>98</v>
      </c>
      <c r="P29" s="430"/>
      <c r="Q29" s="37"/>
    </row>
    <row r="30" spans="1:17" ht="16.5" customHeight="1" thickBot="1">
      <c r="A30" s="67"/>
      <c r="B30" s="424"/>
      <c r="C30" s="424"/>
      <c r="D30" s="424"/>
      <c r="E30" s="424"/>
      <c r="F30" s="425"/>
      <c r="G30" s="428"/>
      <c r="H30" s="429"/>
      <c r="I30" s="428"/>
      <c r="J30" s="429"/>
      <c r="K30" s="428"/>
      <c r="L30" s="429"/>
      <c r="M30" s="428"/>
      <c r="N30" s="429"/>
      <c r="O30" s="428"/>
      <c r="P30" s="431"/>
      <c r="Q30" s="37"/>
    </row>
    <row r="31" spans="1:17" ht="13.5" customHeight="1">
      <c r="A31" s="67"/>
      <c r="B31" s="5"/>
      <c r="C31" s="5"/>
      <c r="D31" s="5"/>
      <c r="E31" s="5"/>
      <c r="F31" s="67"/>
      <c r="G31" s="5"/>
      <c r="H31" s="5"/>
      <c r="I31" s="5"/>
      <c r="J31" s="5"/>
      <c r="K31" s="37"/>
      <c r="L31" s="37"/>
      <c r="M31" s="37"/>
      <c r="N31" s="37"/>
      <c r="O31" s="37"/>
      <c r="P31" s="37"/>
      <c r="Q31" s="37"/>
    </row>
    <row r="32" spans="1:17" ht="16.5" customHeight="1">
      <c r="A32" s="67"/>
      <c r="B32" s="132" t="s">
        <v>554</v>
      </c>
      <c r="C32" s="65"/>
      <c r="D32" s="65"/>
      <c r="E32" s="65"/>
      <c r="F32" s="65"/>
      <c r="G32" s="65"/>
      <c r="H32" s="65"/>
      <c r="I32" s="65"/>
      <c r="J32" s="5"/>
      <c r="K32" s="37"/>
      <c r="L32" s="37"/>
      <c r="M32" s="37"/>
      <c r="N32" s="37"/>
      <c r="O32" s="37"/>
      <c r="P32" s="37"/>
      <c r="Q32" s="37"/>
    </row>
    <row r="33" spans="1:17" ht="5.0999999999999996" customHeight="1" thickBot="1">
      <c r="A33" s="67"/>
      <c r="B33" s="132"/>
      <c r="C33" s="65"/>
      <c r="D33" s="65"/>
      <c r="E33" s="65"/>
      <c r="F33" s="65"/>
      <c r="G33" s="65"/>
      <c r="H33" s="65"/>
      <c r="I33" s="65"/>
      <c r="J33" s="5"/>
      <c r="K33" s="37"/>
      <c r="L33" s="37"/>
      <c r="M33" s="37"/>
      <c r="N33" s="37"/>
      <c r="O33" s="37"/>
      <c r="P33" s="37"/>
      <c r="Q33" s="37"/>
    </row>
    <row r="34" spans="1:17" ht="16.5" customHeight="1">
      <c r="A34" s="67"/>
      <c r="B34" s="5"/>
      <c r="C34" s="432" t="s">
        <v>555</v>
      </c>
      <c r="D34" s="432"/>
      <c r="E34" s="432"/>
      <c r="F34" s="432"/>
      <c r="G34" s="432"/>
      <c r="H34" s="432"/>
      <c r="I34" s="432"/>
      <c r="J34" s="432"/>
      <c r="K34" s="432"/>
      <c r="L34" s="432"/>
      <c r="M34" s="432"/>
      <c r="N34" s="432"/>
      <c r="O34" s="432"/>
      <c r="P34" s="37"/>
      <c r="Q34" s="37"/>
    </row>
    <row r="35" spans="1:17" ht="16.5" customHeight="1">
      <c r="A35" s="67"/>
      <c r="B35" s="5"/>
      <c r="C35" s="433"/>
      <c r="D35" s="433"/>
      <c r="E35" s="433"/>
      <c r="F35" s="433"/>
      <c r="G35" s="433"/>
      <c r="H35" s="433"/>
      <c r="I35" s="433"/>
      <c r="J35" s="433"/>
      <c r="K35" s="433"/>
      <c r="L35" s="433"/>
      <c r="M35" s="433"/>
      <c r="N35" s="433"/>
      <c r="O35" s="433"/>
      <c r="P35" s="37"/>
      <c r="Q35" s="37"/>
    </row>
    <row r="36" spans="1:17" ht="16.5" customHeight="1" thickBot="1">
      <c r="A36" s="67"/>
      <c r="B36" s="5"/>
      <c r="C36" s="434"/>
      <c r="D36" s="434"/>
      <c r="E36" s="434"/>
      <c r="F36" s="434"/>
      <c r="G36" s="434"/>
      <c r="H36" s="434"/>
      <c r="I36" s="434"/>
      <c r="J36" s="434"/>
      <c r="K36" s="434"/>
      <c r="L36" s="434"/>
      <c r="M36" s="434"/>
      <c r="N36" s="434"/>
      <c r="O36" s="434"/>
      <c r="P36" s="37"/>
      <c r="Q36" s="37"/>
    </row>
    <row r="37" spans="1:17" ht="16.5" customHeight="1">
      <c r="A37" s="67"/>
      <c r="B37" s="5"/>
      <c r="C37" s="435" t="s">
        <v>556</v>
      </c>
      <c r="D37" s="435"/>
      <c r="E37" s="435"/>
      <c r="F37" s="435"/>
      <c r="G37" s="435"/>
      <c r="H37" s="435"/>
      <c r="I37" s="435"/>
      <c r="J37" s="435"/>
      <c r="K37" s="435"/>
      <c r="L37" s="435"/>
      <c r="M37" s="435"/>
      <c r="N37" s="435"/>
      <c r="O37" s="435"/>
      <c r="P37" s="37"/>
      <c r="Q37" s="37"/>
    </row>
    <row r="38" spans="1:17" ht="16.5" customHeight="1">
      <c r="A38" s="67"/>
      <c r="B38" s="5"/>
      <c r="C38" s="436"/>
      <c r="D38" s="436"/>
      <c r="E38" s="436"/>
      <c r="F38" s="436"/>
      <c r="G38" s="436"/>
      <c r="H38" s="436"/>
      <c r="I38" s="436"/>
      <c r="J38" s="436"/>
      <c r="K38" s="436"/>
      <c r="L38" s="436"/>
      <c r="M38" s="436"/>
      <c r="N38" s="436"/>
      <c r="O38" s="436"/>
      <c r="P38" s="37"/>
      <c r="Q38" s="37"/>
    </row>
    <row r="39" spans="1:17" ht="16.5" customHeight="1" thickBot="1">
      <c r="A39" s="67"/>
      <c r="B39" s="5"/>
      <c r="C39" s="437"/>
      <c r="D39" s="437"/>
      <c r="E39" s="437"/>
      <c r="F39" s="437"/>
      <c r="G39" s="437"/>
      <c r="H39" s="437"/>
      <c r="I39" s="437"/>
      <c r="J39" s="437"/>
      <c r="K39" s="437"/>
      <c r="L39" s="437"/>
      <c r="M39" s="437"/>
      <c r="N39" s="437"/>
      <c r="O39" s="437"/>
      <c r="P39" s="37"/>
      <c r="Q39" s="37"/>
    </row>
    <row r="40" spans="1:17" ht="13.5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37"/>
      <c r="L40" s="37"/>
      <c r="M40" s="37"/>
      <c r="N40" s="37"/>
      <c r="O40" s="37"/>
      <c r="P40" s="37"/>
      <c r="Q40" s="37"/>
    </row>
    <row r="41" spans="1:17" ht="16.5" customHeight="1">
      <c r="A41" s="67"/>
      <c r="B41" s="132" t="s">
        <v>557</v>
      </c>
      <c r="C41" s="65"/>
      <c r="D41" s="65"/>
      <c r="E41" s="65"/>
      <c r="F41" s="65"/>
      <c r="G41" s="65"/>
      <c r="H41" s="65"/>
      <c r="I41" s="65"/>
      <c r="J41" s="5"/>
      <c r="K41" s="37"/>
      <c r="L41" s="37"/>
      <c r="M41" s="37"/>
      <c r="N41" s="37"/>
      <c r="O41" s="37"/>
      <c r="P41" s="37"/>
      <c r="Q41" s="37"/>
    </row>
    <row r="42" spans="1:17" ht="5.0999999999999996" customHeight="1" thickBot="1">
      <c r="A42" s="67"/>
      <c r="B42" s="132"/>
      <c r="C42" s="65"/>
      <c r="D42" s="65"/>
      <c r="E42" s="65"/>
      <c r="F42" s="65"/>
      <c r="G42" s="65"/>
      <c r="H42" s="65"/>
      <c r="I42" s="65"/>
      <c r="J42" s="5"/>
      <c r="K42" s="37"/>
      <c r="L42" s="37"/>
      <c r="M42" s="37"/>
      <c r="N42" s="37"/>
      <c r="O42" s="37"/>
      <c r="P42" s="37"/>
      <c r="Q42" s="37"/>
    </row>
    <row r="43" spans="1:17" ht="16.5" customHeight="1">
      <c r="A43" s="5"/>
      <c r="B43" s="438" t="s">
        <v>558</v>
      </c>
      <c r="C43" s="439"/>
      <c r="D43" s="439"/>
      <c r="E43" s="442" t="s">
        <v>559</v>
      </c>
      <c r="F43" s="443"/>
      <c r="G43" s="443"/>
      <c r="H43" s="443"/>
      <c r="I43" s="442" t="s">
        <v>560</v>
      </c>
      <c r="J43" s="443"/>
      <c r="K43" s="443"/>
      <c r="L43" s="443"/>
      <c r="M43" s="443"/>
      <c r="N43" s="443"/>
      <c r="O43" s="443"/>
      <c r="P43" s="443"/>
      <c r="Q43" s="37"/>
    </row>
    <row r="44" spans="1:17" ht="16.5" customHeight="1" thickBot="1">
      <c r="A44" s="5"/>
      <c r="B44" s="440"/>
      <c r="C44" s="441"/>
      <c r="D44" s="441"/>
      <c r="E44" s="444"/>
      <c r="F44" s="445"/>
      <c r="G44" s="445"/>
      <c r="H44" s="445"/>
      <c r="I44" s="444"/>
      <c r="J44" s="445"/>
      <c r="K44" s="445"/>
      <c r="L44" s="445"/>
      <c r="M44" s="445"/>
      <c r="N44" s="445"/>
      <c r="O44" s="445"/>
      <c r="P44" s="445"/>
      <c r="Q44" s="37"/>
    </row>
    <row r="45" spans="1:17" ht="16.5" customHeight="1">
      <c r="A45" s="67"/>
      <c r="B45" s="410" t="s">
        <v>561</v>
      </c>
      <c r="C45" s="411"/>
      <c r="D45" s="411"/>
      <c r="E45" s="412" t="s">
        <v>562</v>
      </c>
      <c r="F45" s="413"/>
      <c r="G45" s="413"/>
      <c r="H45" s="414"/>
      <c r="I45" s="421" t="s">
        <v>563</v>
      </c>
      <c r="J45" s="422"/>
      <c r="K45" s="422"/>
      <c r="L45" s="422"/>
      <c r="M45" s="422"/>
      <c r="N45" s="422"/>
      <c r="O45" s="422"/>
      <c r="P45" s="422"/>
      <c r="Q45" s="37"/>
    </row>
    <row r="46" spans="1:17" ht="16.5" customHeight="1">
      <c r="A46" s="67"/>
      <c r="B46" s="410"/>
      <c r="C46" s="411"/>
      <c r="D46" s="411"/>
      <c r="E46" s="415"/>
      <c r="F46" s="416"/>
      <c r="G46" s="416"/>
      <c r="H46" s="417"/>
      <c r="I46" s="398"/>
      <c r="J46" s="399"/>
      <c r="K46" s="399"/>
      <c r="L46" s="399"/>
      <c r="M46" s="399"/>
      <c r="N46" s="399"/>
      <c r="O46" s="399"/>
      <c r="P46" s="399"/>
      <c r="Q46" s="37"/>
    </row>
    <row r="47" spans="1:17" ht="16.5" customHeight="1">
      <c r="A47" s="67"/>
      <c r="B47" s="393"/>
      <c r="C47" s="394"/>
      <c r="D47" s="394"/>
      <c r="E47" s="418"/>
      <c r="F47" s="419"/>
      <c r="G47" s="419"/>
      <c r="H47" s="420"/>
      <c r="I47" s="400"/>
      <c r="J47" s="401"/>
      <c r="K47" s="401"/>
      <c r="L47" s="401"/>
      <c r="M47" s="401"/>
      <c r="N47" s="401"/>
      <c r="O47" s="401"/>
      <c r="P47" s="401"/>
      <c r="Q47" s="37"/>
    </row>
    <row r="48" spans="1:17" ht="16.5" customHeight="1">
      <c r="A48" s="67"/>
      <c r="B48" s="393" t="s">
        <v>107</v>
      </c>
      <c r="C48" s="394"/>
      <c r="D48" s="394"/>
      <c r="E48" s="395" t="s">
        <v>564</v>
      </c>
      <c r="F48" s="395"/>
      <c r="G48" s="395"/>
      <c r="H48" s="395"/>
      <c r="I48" s="396" t="s">
        <v>565</v>
      </c>
      <c r="J48" s="397"/>
      <c r="K48" s="397"/>
      <c r="L48" s="397"/>
      <c r="M48" s="397"/>
      <c r="N48" s="397"/>
      <c r="O48" s="397"/>
      <c r="P48" s="397"/>
      <c r="Q48" s="37"/>
    </row>
    <row r="49" spans="1:17" ht="16.5" customHeight="1">
      <c r="A49" s="67"/>
      <c r="B49" s="393"/>
      <c r="C49" s="394"/>
      <c r="D49" s="394"/>
      <c r="E49" s="395"/>
      <c r="F49" s="395"/>
      <c r="G49" s="395"/>
      <c r="H49" s="395"/>
      <c r="I49" s="398"/>
      <c r="J49" s="399"/>
      <c r="K49" s="399"/>
      <c r="L49" s="399"/>
      <c r="M49" s="399"/>
      <c r="N49" s="399"/>
      <c r="O49" s="399"/>
      <c r="P49" s="399"/>
      <c r="Q49" s="37"/>
    </row>
    <row r="50" spans="1:17" ht="16.5" customHeight="1">
      <c r="A50" s="67"/>
      <c r="B50" s="393"/>
      <c r="C50" s="394"/>
      <c r="D50" s="394"/>
      <c r="E50" s="395"/>
      <c r="F50" s="395"/>
      <c r="G50" s="395"/>
      <c r="H50" s="395"/>
      <c r="I50" s="400"/>
      <c r="J50" s="401"/>
      <c r="K50" s="401"/>
      <c r="L50" s="401"/>
      <c r="M50" s="401"/>
      <c r="N50" s="401"/>
      <c r="O50" s="401"/>
      <c r="P50" s="401"/>
      <c r="Q50" s="37"/>
    </row>
    <row r="51" spans="1:17" ht="16.5" customHeight="1">
      <c r="A51" s="67"/>
      <c r="B51" s="393" t="s">
        <v>566</v>
      </c>
      <c r="C51" s="394"/>
      <c r="D51" s="394"/>
      <c r="E51" s="395" t="s">
        <v>567</v>
      </c>
      <c r="F51" s="395"/>
      <c r="G51" s="395"/>
      <c r="H51" s="395"/>
      <c r="I51" s="396" t="s">
        <v>568</v>
      </c>
      <c r="J51" s="397"/>
      <c r="K51" s="397"/>
      <c r="L51" s="397"/>
      <c r="M51" s="397"/>
      <c r="N51" s="397"/>
      <c r="O51" s="397"/>
      <c r="P51" s="397"/>
      <c r="Q51" s="37"/>
    </row>
    <row r="52" spans="1:17" ht="16.5" customHeight="1">
      <c r="A52" s="67"/>
      <c r="B52" s="393"/>
      <c r="C52" s="394"/>
      <c r="D52" s="394"/>
      <c r="E52" s="395"/>
      <c r="F52" s="395"/>
      <c r="G52" s="395"/>
      <c r="H52" s="395"/>
      <c r="I52" s="398"/>
      <c r="J52" s="399"/>
      <c r="K52" s="399"/>
      <c r="L52" s="399"/>
      <c r="M52" s="399"/>
      <c r="N52" s="399"/>
      <c r="O52" s="399"/>
      <c r="P52" s="399"/>
      <c r="Q52" s="37"/>
    </row>
    <row r="53" spans="1:17" ht="16.5" customHeight="1">
      <c r="A53" s="67"/>
      <c r="B53" s="393"/>
      <c r="C53" s="394"/>
      <c r="D53" s="394"/>
      <c r="E53" s="395"/>
      <c r="F53" s="395"/>
      <c r="G53" s="395"/>
      <c r="H53" s="395"/>
      <c r="I53" s="400"/>
      <c r="J53" s="401"/>
      <c r="K53" s="401"/>
      <c r="L53" s="401"/>
      <c r="M53" s="401"/>
      <c r="N53" s="401"/>
      <c r="O53" s="401"/>
      <c r="P53" s="401"/>
      <c r="Q53" s="37"/>
    </row>
    <row r="54" spans="1:17" ht="16.5" customHeight="1">
      <c r="A54" s="67"/>
      <c r="B54" s="393" t="s">
        <v>585</v>
      </c>
      <c r="C54" s="394"/>
      <c r="D54" s="394"/>
      <c r="E54" s="395" t="s">
        <v>569</v>
      </c>
      <c r="F54" s="395"/>
      <c r="G54" s="395"/>
      <c r="H54" s="395"/>
      <c r="I54" s="396" t="s">
        <v>570</v>
      </c>
      <c r="J54" s="397"/>
      <c r="K54" s="397"/>
      <c r="L54" s="397"/>
      <c r="M54" s="397"/>
      <c r="N54" s="397"/>
      <c r="O54" s="397"/>
      <c r="P54" s="397"/>
      <c r="Q54" s="37"/>
    </row>
    <row r="55" spans="1:17" ht="16.5" customHeight="1">
      <c r="A55" s="67"/>
      <c r="B55" s="393"/>
      <c r="C55" s="394"/>
      <c r="D55" s="394"/>
      <c r="E55" s="395"/>
      <c r="F55" s="395"/>
      <c r="G55" s="395"/>
      <c r="H55" s="395"/>
      <c r="I55" s="398"/>
      <c r="J55" s="399"/>
      <c r="K55" s="399"/>
      <c r="L55" s="399"/>
      <c r="M55" s="399"/>
      <c r="N55" s="399"/>
      <c r="O55" s="399"/>
      <c r="P55" s="399"/>
      <c r="Q55" s="37"/>
    </row>
    <row r="56" spans="1:17" ht="16.5" customHeight="1">
      <c r="A56" s="67"/>
      <c r="B56" s="393"/>
      <c r="C56" s="394"/>
      <c r="D56" s="394"/>
      <c r="E56" s="395"/>
      <c r="F56" s="395"/>
      <c r="G56" s="395"/>
      <c r="H56" s="395"/>
      <c r="I56" s="400"/>
      <c r="J56" s="401"/>
      <c r="K56" s="401"/>
      <c r="L56" s="401"/>
      <c r="M56" s="401"/>
      <c r="N56" s="401"/>
      <c r="O56" s="401"/>
      <c r="P56" s="401"/>
      <c r="Q56" s="37"/>
    </row>
    <row r="57" spans="1:17" ht="16.5" customHeight="1">
      <c r="A57" s="67"/>
      <c r="B57" s="393" t="s">
        <v>38</v>
      </c>
      <c r="C57" s="394"/>
      <c r="D57" s="394"/>
      <c r="E57" s="395" t="s">
        <v>571</v>
      </c>
      <c r="F57" s="395"/>
      <c r="G57" s="395"/>
      <c r="H57" s="395"/>
      <c r="I57" s="396" t="s">
        <v>572</v>
      </c>
      <c r="J57" s="397"/>
      <c r="K57" s="397"/>
      <c r="L57" s="397"/>
      <c r="M57" s="397"/>
      <c r="N57" s="397"/>
      <c r="O57" s="397"/>
      <c r="P57" s="397"/>
      <c r="Q57" s="37"/>
    </row>
    <row r="58" spans="1:17" ht="16.5" customHeight="1">
      <c r="A58" s="67"/>
      <c r="B58" s="402"/>
      <c r="C58" s="403"/>
      <c r="D58" s="403"/>
      <c r="E58" s="406"/>
      <c r="F58" s="406"/>
      <c r="G58" s="406"/>
      <c r="H58" s="406"/>
      <c r="I58" s="398"/>
      <c r="J58" s="399"/>
      <c r="K58" s="399"/>
      <c r="L58" s="399"/>
      <c r="M58" s="399"/>
      <c r="N58" s="399"/>
      <c r="O58" s="399"/>
      <c r="P58" s="399"/>
      <c r="Q58" s="37"/>
    </row>
    <row r="59" spans="1:17" ht="16.5" customHeight="1" thickBot="1">
      <c r="A59" s="67"/>
      <c r="B59" s="404"/>
      <c r="C59" s="405"/>
      <c r="D59" s="405"/>
      <c r="E59" s="407"/>
      <c r="F59" s="407"/>
      <c r="G59" s="407"/>
      <c r="H59" s="407"/>
      <c r="I59" s="408"/>
      <c r="J59" s="409"/>
      <c r="K59" s="409"/>
      <c r="L59" s="409"/>
      <c r="M59" s="409"/>
      <c r="N59" s="409"/>
      <c r="O59" s="409"/>
      <c r="P59" s="409"/>
      <c r="Q59" s="37"/>
    </row>
    <row r="60" spans="1:17" ht="13.5" customHeight="1">
      <c r="A60" s="67"/>
      <c r="B60" s="5"/>
      <c r="C60" s="5"/>
      <c r="D60" s="5"/>
      <c r="E60" s="5"/>
      <c r="F60" s="67"/>
      <c r="G60" s="5"/>
      <c r="H60" s="5"/>
      <c r="I60" s="5"/>
      <c r="J60" s="5"/>
      <c r="K60" s="37"/>
      <c r="L60" s="37"/>
      <c r="M60" s="37"/>
      <c r="N60" s="37"/>
      <c r="O60" s="37"/>
      <c r="P60" s="37"/>
      <c r="Q60" s="37"/>
    </row>
    <row r="61" spans="1:17" ht="16.5" customHeight="1">
      <c r="A61" s="5"/>
      <c r="B61" s="70" t="s">
        <v>573</v>
      </c>
      <c r="C61" s="70"/>
      <c r="D61" s="71"/>
      <c r="E61" s="71"/>
      <c r="F61" s="71"/>
      <c r="G61" s="71"/>
      <c r="H61" s="71"/>
      <c r="I61" s="71"/>
      <c r="J61" s="5"/>
      <c r="K61" s="37"/>
      <c r="L61" s="37"/>
      <c r="M61" s="37"/>
      <c r="N61" s="37"/>
      <c r="O61" s="37"/>
      <c r="P61" s="37"/>
      <c r="Q61" s="37"/>
    </row>
    <row r="62" spans="1:17" ht="5.0999999999999996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37"/>
      <c r="L62" s="37"/>
      <c r="M62" s="37"/>
      <c r="N62" s="37"/>
      <c r="O62" s="37"/>
      <c r="P62" s="37"/>
      <c r="Q62" s="37"/>
    </row>
    <row r="63" spans="1:17" ht="16.5" customHeight="1">
      <c r="A63" s="5"/>
      <c r="B63" s="183" t="s">
        <v>472</v>
      </c>
      <c r="C63" s="180"/>
      <c r="D63" s="180"/>
      <c r="E63" s="180"/>
      <c r="F63" s="180"/>
      <c r="G63" s="180"/>
      <c r="H63" s="180"/>
      <c r="I63" s="180"/>
      <c r="J63" s="180"/>
      <c r="K63" s="180"/>
      <c r="L63" s="180"/>
      <c r="M63" s="180"/>
      <c r="N63" s="180"/>
      <c r="O63" s="180"/>
      <c r="P63" s="180"/>
    </row>
    <row r="64" spans="1:17" ht="16.5" customHeight="1">
      <c r="A64" s="5"/>
      <c r="B64" s="184" t="s">
        <v>471</v>
      </c>
      <c r="C64" s="182"/>
      <c r="D64" s="182"/>
      <c r="E64" s="182"/>
      <c r="F64" s="182"/>
      <c r="G64" s="182"/>
      <c r="H64" s="182"/>
      <c r="I64" s="182"/>
      <c r="J64" s="182"/>
      <c r="K64" s="182"/>
      <c r="L64" s="182"/>
      <c r="M64" s="182"/>
      <c r="N64" s="182"/>
      <c r="O64" s="182"/>
      <c r="P64" s="182"/>
    </row>
    <row r="65" ht="13.5" customHeight="1"/>
  </sheetData>
  <mergeCells count="48">
    <mergeCell ref="B6:P8"/>
    <mergeCell ref="C14:O16"/>
    <mergeCell ref="C17:O19"/>
    <mergeCell ref="B23:F24"/>
    <mergeCell ref="G23:P23"/>
    <mergeCell ref="G24:H24"/>
    <mergeCell ref="I24:J24"/>
    <mergeCell ref="K24:L24"/>
    <mergeCell ref="M24:N24"/>
    <mergeCell ref="O24:P24"/>
    <mergeCell ref="O27:P28"/>
    <mergeCell ref="B25:F26"/>
    <mergeCell ref="G25:H26"/>
    <mergeCell ref="I25:J26"/>
    <mergeCell ref="K25:L26"/>
    <mergeCell ref="M25:N26"/>
    <mergeCell ref="O25:P26"/>
    <mergeCell ref="B27:F28"/>
    <mergeCell ref="G27:H28"/>
    <mergeCell ref="I27:J28"/>
    <mergeCell ref="K27:L28"/>
    <mergeCell ref="M27:N28"/>
    <mergeCell ref="B45:D47"/>
    <mergeCell ref="E45:H47"/>
    <mergeCell ref="I45:P47"/>
    <mergeCell ref="B29:F30"/>
    <mergeCell ref="G29:H30"/>
    <mergeCell ref="I29:J30"/>
    <mergeCell ref="K29:L30"/>
    <mergeCell ref="M29:N30"/>
    <mergeCell ref="O29:P30"/>
    <mergeCell ref="C34:O36"/>
    <mergeCell ref="C37:O39"/>
    <mergeCell ref="B43:D44"/>
    <mergeCell ref="E43:H44"/>
    <mergeCell ref="I43:P44"/>
    <mergeCell ref="B48:D50"/>
    <mergeCell ref="E48:H50"/>
    <mergeCell ref="I48:P50"/>
    <mergeCell ref="B51:D53"/>
    <mergeCell ref="E51:H53"/>
    <mergeCell ref="I51:P53"/>
    <mergeCell ref="B54:D56"/>
    <mergeCell ref="E54:H56"/>
    <mergeCell ref="I54:P56"/>
    <mergeCell ref="B57:D59"/>
    <mergeCell ref="E57:H59"/>
    <mergeCell ref="I57:P59"/>
  </mergeCells>
  <phoneticPr fontId="1" type="noConversion"/>
  <printOptions horizontalCentered="1"/>
  <pageMargins left="0.39370078740157483" right="0.39370078740157483" top="0.59055118110236227" bottom="0.59055118110236227" header="0.19685039370078741" footer="0.19685039370078741"/>
  <pageSetup paperSize="9" fitToHeight="0" orientation="portrait" r:id="rId1"/>
  <rowBreaks count="1" manualBreakCount="1">
    <brk id="40" max="16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pageSetUpPr fitToPage="1"/>
  </sheetPr>
  <dimension ref="A1:V29"/>
  <sheetViews>
    <sheetView showGridLines="0" view="pageBreakPreview" zoomScale="85" zoomScaleNormal="100" zoomScaleSheetLayoutView="85" workbookViewId="0">
      <pane ySplit="6" topLeftCell="A7" activePane="bottomLeft" state="frozen"/>
      <selection pane="bottomLeft"/>
    </sheetView>
  </sheetViews>
  <sheetFormatPr defaultColWidth="9" defaultRowHeight="13.5"/>
  <cols>
    <col min="1" max="1" width="5.75" style="7" customWidth="1"/>
    <col min="2" max="5" width="19.75" style="7" customWidth="1"/>
    <col min="6" max="7" width="12.25" style="7" customWidth="1"/>
    <col min="8" max="10" width="3.625" style="7" customWidth="1"/>
    <col min="11" max="11" width="6.25" style="7" customWidth="1"/>
    <col min="12" max="12" width="12.25" style="7" customWidth="1"/>
    <col min="13" max="16384" width="9" style="7"/>
  </cols>
  <sheetData>
    <row r="1" spans="1:22" s="5" customFormat="1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</row>
    <row r="2" spans="1:22" ht="18" customHeight="1">
      <c r="A2" s="459" t="s">
        <v>599</v>
      </c>
      <c r="B2" s="459"/>
      <c r="C2" s="459"/>
      <c r="D2" s="459"/>
      <c r="E2" s="459"/>
      <c r="F2" s="459"/>
      <c r="G2" s="459"/>
      <c r="H2" s="459"/>
      <c r="I2" s="459"/>
      <c r="J2" s="459"/>
      <c r="K2" s="459"/>
      <c r="L2" s="459"/>
      <c r="M2" s="9"/>
      <c r="N2" s="10"/>
      <c r="O2" s="10"/>
      <c r="P2" s="10"/>
      <c r="Q2" s="10"/>
      <c r="R2" s="10"/>
      <c r="S2" s="10"/>
      <c r="T2" s="10"/>
      <c r="U2" s="10"/>
      <c r="V2" s="10"/>
    </row>
    <row r="3" spans="1:22" ht="5.0999999999999996" customHeight="1" thickBo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22" ht="17.25" thickBot="1">
      <c r="A4" s="1"/>
      <c r="B4" s="1"/>
      <c r="C4" s="1"/>
      <c r="D4" s="1"/>
      <c r="E4" s="1"/>
      <c r="F4" s="1"/>
      <c r="G4" s="1"/>
      <c r="H4" s="1"/>
      <c r="I4" s="1"/>
      <c r="J4" s="1"/>
      <c r="K4" s="73" t="s">
        <v>77</v>
      </c>
      <c r="L4" s="76">
        <v>4</v>
      </c>
    </row>
    <row r="5" spans="1:22" ht="16.5" customHeight="1">
      <c r="A5" s="361" t="s">
        <v>47</v>
      </c>
      <c r="B5" s="364" t="s">
        <v>48</v>
      </c>
      <c r="C5" s="463"/>
      <c r="D5" s="463"/>
      <c r="E5" s="463"/>
      <c r="F5" s="463"/>
      <c r="G5" s="361"/>
      <c r="H5" s="363" t="s">
        <v>78</v>
      </c>
      <c r="I5" s="363"/>
      <c r="J5" s="363"/>
      <c r="K5" s="460"/>
      <c r="L5" s="461" t="s">
        <v>79</v>
      </c>
    </row>
    <row r="6" spans="1:22" ht="14.25" thickBot="1">
      <c r="A6" s="362"/>
      <c r="B6" s="133" t="s">
        <v>145</v>
      </c>
      <c r="C6" s="75" t="s">
        <v>80</v>
      </c>
      <c r="D6" s="75" t="s">
        <v>8</v>
      </c>
      <c r="E6" s="75" t="s">
        <v>81</v>
      </c>
      <c r="F6" s="75" t="s">
        <v>123</v>
      </c>
      <c r="G6" s="75" t="s">
        <v>122</v>
      </c>
      <c r="H6" s="75" t="s">
        <v>82</v>
      </c>
      <c r="I6" s="75" t="s">
        <v>83</v>
      </c>
      <c r="J6" s="75" t="s">
        <v>84</v>
      </c>
      <c r="K6" s="75" t="s">
        <v>9</v>
      </c>
      <c r="L6" s="462"/>
    </row>
    <row r="7" spans="1:22">
      <c r="A7" s="272">
        <f ca="1">HYPERLINK("[" &amp; MID(CELL("filename"),SEARCH("[",CELL("filename"))+1, SEARCH("]",CELL("filename"))-SEARCH("[",CELL("filename"))-1) &amp; "]'요약 통계'!" &amp; ADDRESS(4,ROW()+5,1,TRUE),ROW()-6)</f>
        <v>1</v>
      </c>
      <c r="B7" s="80" t="s">
        <v>459</v>
      </c>
      <c r="C7" s="177" t="s">
        <v>460</v>
      </c>
      <c r="D7" s="80" t="s">
        <v>49</v>
      </c>
      <c r="E7" s="79" t="s">
        <v>54</v>
      </c>
      <c r="F7" s="79" t="s">
        <v>125</v>
      </c>
      <c r="G7" s="79" t="s">
        <v>127</v>
      </c>
      <c r="H7" s="79">
        <v>3</v>
      </c>
      <c r="I7" s="79">
        <v>3</v>
      </c>
      <c r="J7" s="79">
        <v>2</v>
      </c>
      <c r="K7" s="79" t="str">
        <f t="shared" ref="K7:K16" si="0">IF(H7+I7+J7&lt;=2,"-",IF(H7+I7+J7&gt;=7,"상",IF(H7+I7+J7&gt;=5,"중","하")))</f>
        <v>상</v>
      </c>
      <c r="L7" s="81"/>
    </row>
    <row r="8" spans="1:22">
      <c r="A8" s="271">
        <f t="shared" ref="A8:A29" ca="1" si="1">HYPERLINK("[" &amp; MID(CELL("filename"),SEARCH("[",CELL("filename"))+1, SEARCH("]",CELL("filename"))-SEARCH("[",CELL("filename"))-1) &amp; "]'요약 통계'!" &amp; ADDRESS(4,ROW()+5,1,TRUE),ROW()-6)</f>
        <v>2</v>
      </c>
      <c r="B8" s="83" t="s">
        <v>587</v>
      </c>
      <c r="C8" s="83" t="s">
        <v>461</v>
      </c>
      <c r="D8" s="83" t="s">
        <v>139</v>
      </c>
      <c r="E8" s="82" t="s">
        <v>140</v>
      </c>
      <c r="F8" s="82" t="s">
        <v>124</v>
      </c>
      <c r="G8" s="82" t="s">
        <v>126</v>
      </c>
      <c r="H8" s="82">
        <v>3</v>
      </c>
      <c r="I8" s="82">
        <v>3</v>
      </c>
      <c r="J8" s="82">
        <v>2</v>
      </c>
      <c r="K8" s="82" t="s">
        <v>33</v>
      </c>
      <c r="L8" s="84"/>
    </row>
    <row r="9" spans="1:22">
      <c r="A9" s="271">
        <f t="shared" ca="1" si="1"/>
        <v>3</v>
      </c>
      <c r="B9" s="83"/>
      <c r="C9" s="83"/>
      <c r="D9" s="83"/>
      <c r="E9" s="82"/>
      <c r="F9" s="82"/>
      <c r="G9" s="82"/>
      <c r="H9" s="82"/>
      <c r="I9" s="82"/>
      <c r="J9" s="82"/>
      <c r="K9" s="82" t="str">
        <f t="shared" si="0"/>
        <v>-</v>
      </c>
      <c r="L9" s="84"/>
    </row>
    <row r="10" spans="1:22">
      <c r="A10" s="271">
        <f t="shared" ca="1" si="1"/>
        <v>4</v>
      </c>
      <c r="B10" s="83"/>
      <c r="C10" s="83"/>
      <c r="D10" s="83"/>
      <c r="E10" s="82"/>
      <c r="F10" s="82"/>
      <c r="G10" s="82"/>
      <c r="H10" s="82"/>
      <c r="I10" s="82"/>
      <c r="J10" s="82"/>
      <c r="K10" s="82" t="str">
        <f t="shared" si="0"/>
        <v>-</v>
      </c>
      <c r="L10" s="84"/>
    </row>
    <row r="11" spans="1:22">
      <c r="A11" s="271">
        <f t="shared" ca="1" si="1"/>
        <v>5</v>
      </c>
      <c r="B11" s="83"/>
      <c r="C11" s="83"/>
      <c r="D11" s="83"/>
      <c r="E11" s="82"/>
      <c r="F11" s="82"/>
      <c r="G11" s="82"/>
      <c r="H11" s="82"/>
      <c r="I11" s="82"/>
      <c r="J11" s="82"/>
      <c r="K11" s="82" t="str">
        <f t="shared" si="0"/>
        <v>-</v>
      </c>
      <c r="L11" s="84"/>
    </row>
    <row r="12" spans="1:22">
      <c r="A12" s="271">
        <f t="shared" ca="1" si="1"/>
        <v>6</v>
      </c>
      <c r="B12" s="83"/>
      <c r="C12" s="83"/>
      <c r="D12" s="83"/>
      <c r="E12" s="82"/>
      <c r="F12" s="82"/>
      <c r="G12" s="82"/>
      <c r="H12" s="82"/>
      <c r="I12" s="82"/>
      <c r="J12" s="82"/>
      <c r="K12" s="82" t="str">
        <f t="shared" si="0"/>
        <v>-</v>
      </c>
      <c r="L12" s="84"/>
    </row>
    <row r="13" spans="1:22">
      <c r="A13" s="271">
        <f t="shared" ca="1" si="1"/>
        <v>7</v>
      </c>
      <c r="B13" s="83"/>
      <c r="C13" s="83"/>
      <c r="D13" s="83"/>
      <c r="E13" s="82"/>
      <c r="F13" s="82"/>
      <c r="G13" s="82"/>
      <c r="H13" s="82"/>
      <c r="I13" s="82"/>
      <c r="J13" s="82"/>
      <c r="K13" s="82" t="str">
        <f t="shared" si="0"/>
        <v>-</v>
      </c>
      <c r="L13" s="84"/>
    </row>
    <row r="14" spans="1:22">
      <c r="A14" s="271">
        <f t="shared" ca="1" si="1"/>
        <v>8</v>
      </c>
      <c r="B14" s="83"/>
      <c r="C14" s="83"/>
      <c r="D14" s="83"/>
      <c r="E14" s="82"/>
      <c r="F14" s="82"/>
      <c r="G14" s="82"/>
      <c r="H14" s="82"/>
      <c r="I14" s="82"/>
      <c r="J14" s="82"/>
      <c r="K14" s="82" t="str">
        <f t="shared" si="0"/>
        <v>-</v>
      </c>
      <c r="L14" s="84"/>
    </row>
    <row r="15" spans="1:22">
      <c r="A15" s="271">
        <f t="shared" ca="1" si="1"/>
        <v>9</v>
      </c>
      <c r="B15" s="83"/>
      <c r="C15" s="83"/>
      <c r="D15" s="83"/>
      <c r="E15" s="82"/>
      <c r="F15" s="82"/>
      <c r="G15" s="82"/>
      <c r="H15" s="82"/>
      <c r="I15" s="82"/>
      <c r="J15" s="82"/>
      <c r="K15" s="82" t="str">
        <f t="shared" si="0"/>
        <v>-</v>
      </c>
      <c r="L15" s="84"/>
    </row>
    <row r="16" spans="1:22">
      <c r="A16" s="271">
        <f t="shared" ca="1" si="1"/>
        <v>10</v>
      </c>
      <c r="B16" s="83"/>
      <c r="C16" s="83"/>
      <c r="D16" s="83"/>
      <c r="E16" s="82"/>
      <c r="F16" s="82"/>
      <c r="G16" s="82"/>
      <c r="H16" s="82"/>
      <c r="I16" s="82"/>
      <c r="J16" s="82"/>
      <c r="K16" s="82" t="str">
        <f t="shared" si="0"/>
        <v>-</v>
      </c>
      <c r="L16" s="84"/>
    </row>
    <row r="17" spans="1:12">
      <c r="A17" s="271">
        <f t="shared" ca="1" si="1"/>
        <v>11</v>
      </c>
      <c r="B17" s="83"/>
      <c r="C17" s="83"/>
      <c r="D17" s="83"/>
      <c r="E17" s="82"/>
      <c r="F17" s="82"/>
      <c r="G17" s="82"/>
      <c r="H17" s="82"/>
      <c r="I17" s="82"/>
      <c r="J17" s="82"/>
      <c r="K17" s="82" t="str">
        <f t="shared" ref="K17:K27" si="2">IF(H17+I17+J17&lt;=2,"-",IF(H17+I17+J17&gt;=7,"상",IF(H17+I17+J17&gt;=5,"중","하")))</f>
        <v>-</v>
      </c>
      <c r="L17" s="84"/>
    </row>
    <row r="18" spans="1:12">
      <c r="A18" s="271">
        <f t="shared" ca="1" si="1"/>
        <v>12</v>
      </c>
      <c r="B18" s="83"/>
      <c r="C18" s="83"/>
      <c r="D18" s="83"/>
      <c r="E18" s="82"/>
      <c r="F18" s="82"/>
      <c r="G18" s="82"/>
      <c r="H18" s="82"/>
      <c r="I18" s="82"/>
      <c r="J18" s="82"/>
      <c r="K18" s="82" t="str">
        <f t="shared" si="2"/>
        <v>-</v>
      </c>
      <c r="L18" s="84"/>
    </row>
    <row r="19" spans="1:12">
      <c r="A19" s="271">
        <f t="shared" ca="1" si="1"/>
        <v>13</v>
      </c>
      <c r="B19" s="83"/>
      <c r="C19" s="83"/>
      <c r="D19" s="83"/>
      <c r="E19" s="82"/>
      <c r="F19" s="82"/>
      <c r="G19" s="82"/>
      <c r="H19" s="82"/>
      <c r="I19" s="82"/>
      <c r="J19" s="82"/>
      <c r="K19" s="82" t="str">
        <f t="shared" si="2"/>
        <v>-</v>
      </c>
      <c r="L19" s="84"/>
    </row>
    <row r="20" spans="1:12">
      <c r="A20" s="271">
        <f t="shared" ca="1" si="1"/>
        <v>14</v>
      </c>
      <c r="B20" s="83"/>
      <c r="C20" s="83"/>
      <c r="D20" s="83"/>
      <c r="E20" s="82"/>
      <c r="F20" s="82"/>
      <c r="G20" s="82"/>
      <c r="H20" s="82"/>
      <c r="I20" s="82"/>
      <c r="J20" s="82"/>
      <c r="K20" s="82" t="str">
        <f t="shared" si="2"/>
        <v>-</v>
      </c>
      <c r="L20" s="84"/>
    </row>
    <row r="21" spans="1:12">
      <c r="A21" s="271">
        <f t="shared" ca="1" si="1"/>
        <v>15</v>
      </c>
      <c r="B21" s="83"/>
      <c r="C21" s="83"/>
      <c r="D21" s="83"/>
      <c r="E21" s="82"/>
      <c r="F21" s="82"/>
      <c r="G21" s="82"/>
      <c r="H21" s="82"/>
      <c r="I21" s="82"/>
      <c r="J21" s="82"/>
      <c r="K21" s="82" t="str">
        <f t="shared" si="2"/>
        <v>-</v>
      </c>
      <c r="L21" s="84"/>
    </row>
    <row r="22" spans="1:12">
      <c r="A22" s="271">
        <f t="shared" ca="1" si="1"/>
        <v>16</v>
      </c>
      <c r="B22" s="83"/>
      <c r="C22" s="83"/>
      <c r="D22" s="83"/>
      <c r="E22" s="82"/>
      <c r="F22" s="82"/>
      <c r="G22" s="82"/>
      <c r="H22" s="82"/>
      <c r="I22" s="82"/>
      <c r="J22" s="82"/>
      <c r="K22" s="82" t="str">
        <f t="shared" si="2"/>
        <v>-</v>
      </c>
      <c r="L22" s="84"/>
    </row>
    <row r="23" spans="1:12">
      <c r="A23" s="271">
        <f t="shared" ca="1" si="1"/>
        <v>17</v>
      </c>
      <c r="B23" s="83"/>
      <c r="C23" s="83"/>
      <c r="D23" s="83"/>
      <c r="E23" s="82"/>
      <c r="F23" s="82"/>
      <c r="G23" s="82"/>
      <c r="H23" s="82"/>
      <c r="I23" s="82"/>
      <c r="J23" s="82"/>
      <c r="K23" s="82" t="str">
        <f t="shared" si="2"/>
        <v>-</v>
      </c>
      <c r="L23" s="84"/>
    </row>
    <row r="24" spans="1:12">
      <c r="A24" s="271">
        <f t="shared" ca="1" si="1"/>
        <v>18</v>
      </c>
      <c r="B24" s="83"/>
      <c r="C24" s="83"/>
      <c r="D24" s="83"/>
      <c r="E24" s="82"/>
      <c r="F24" s="82"/>
      <c r="G24" s="82"/>
      <c r="H24" s="82"/>
      <c r="I24" s="82"/>
      <c r="J24" s="82"/>
      <c r="K24" s="82" t="str">
        <f t="shared" si="2"/>
        <v>-</v>
      </c>
      <c r="L24" s="84"/>
    </row>
    <row r="25" spans="1:12">
      <c r="A25" s="271">
        <f t="shared" ca="1" si="1"/>
        <v>19</v>
      </c>
      <c r="B25" s="83"/>
      <c r="C25" s="83"/>
      <c r="D25" s="83"/>
      <c r="E25" s="82"/>
      <c r="F25" s="82"/>
      <c r="G25" s="82"/>
      <c r="H25" s="82"/>
      <c r="I25" s="82"/>
      <c r="J25" s="82"/>
      <c r="K25" s="82" t="str">
        <f t="shared" si="2"/>
        <v>-</v>
      </c>
      <c r="L25" s="84"/>
    </row>
    <row r="26" spans="1:12">
      <c r="A26" s="271">
        <f t="shared" ca="1" si="1"/>
        <v>20</v>
      </c>
      <c r="B26" s="83"/>
      <c r="C26" s="83"/>
      <c r="D26" s="83"/>
      <c r="E26" s="82"/>
      <c r="F26" s="82"/>
      <c r="G26" s="82"/>
      <c r="H26" s="82"/>
      <c r="I26" s="82"/>
      <c r="J26" s="82"/>
      <c r="K26" s="82" t="str">
        <f t="shared" si="2"/>
        <v>-</v>
      </c>
      <c r="L26" s="84"/>
    </row>
    <row r="27" spans="1:12">
      <c r="A27" s="271">
        <f t="shared" ca="1" si="1"/>
        <v>21</v>
      </c>
      <c r="B27" s="83"/>
      <c r="C27" s="83"/>
      <c r="D27" s="83"/>
      <c r="E27" s="82"/>
      <c r="F27" s="82"/>
      <c r="G27" s="82"/>
      <c r="H27" s="82"/>
      <c r="I27" s="82"/>
      <c r="J27" s="82"/>
      <c r="K27" s="82" t="str">
        <f t="shared" si="2"/>
        <v>-</v>
      </c>
      <c r="L27" s="84"/>
    </row>
    <row r="28" spans="1:12">
      <c r="A28" s="271">
        <f t="shared" ca="1" si="1"/>
        <v>22</v>
      </c>
      <c r="B28" s="83"/>
      <c r="C28" s="83"/>
      <c r="D28" s="83"/>
      <c r="E28" s="82"/>
      <c r="F28" s="82"/>
      <c r="G28" s="82"/>
      <c r="H28" s="82"/>
      <c r="I28" s="82"/>
      <c r="J28" s="82"/>
      <c r="K28" s="82" t="str">
        <f>IF(H28+I28+J28&lt;=2,"-",IF(H28+I28+J28&gt;=7,"상",IF(H28+I28+J28&gt;=5,"중","하")))</f>
        <v>-</v>
      </c>
      <c r="L28" s="84"/>
    </row>
    <row r="29" spans="1:12" ht="14.25" thickBot="1">
      <c r="A29" s="273">
        <f t="shared" ca="1" si="1"/>
        <v>23</v>
      </c>
      <c r="B29" s="274"/>
      <c r="C29" s="274"/>
      <c r="D29" s="274"/>
      <c r="E29" s="275"/>
      <c r="F29" s="275"/>
      <c r="G29" s="275"/>
      <c r="H29" s="275"/>
      <c r="I29" s="275"/>
      <c r="J29" s="275"/>
      <c r="K29" s="275" t="str">
        <f>IF(H29+I29+J29&lt;=2,"-",IF(H29+I29+J29&gt;=7,"상",IF(H29+I29+J29&gt;=5,"중","하")))</f>
        <v>-</v>
      </c>
      <c r="L29" s="276"/>
    </row>
  </sheetData>
  <mergeCells count="5">
    <mergeCell ref="A2:L2"/>
    <mergeCell ref="A5:A6"/>
    <mergeCell ref="H5:K5"/>
    <mergeCell ref="L5:L6"/>
    <mergeCell ref="B5:G5"/>
  </mergeCells>
  <phoneticPr fontId="1" type="noConversion"/>
  <dataValidations disablePrompts="1" count="1">
    <dataValidation type="list" showInputMessage="1" showErrorMessage="1" sqref="L4 L65513 L131049 L196585 L262121 L327657 L393193 L458729 L524265 L589801 L655337 L720873 L786409 L851945 L917481 L983017" xr:uid="{00000000-0002-0000-0600-000000000000}">
      <formula1>"-,1,2,3,4,5,6,7,8,9"</formula1>
    </dataValidation>
  </dataValidations>
  <printOptions horizontalCentered="1"/>
  <pageMargins left="0.39370078740157483" right="0.39370078740157483" top="0.59055118110236227" bottom="0.59055118110236227" header="0.19685039370078741" footer="0.19685039370078741"/>
  <pageSetup paperSize="9" scale="92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sheets_copy">
                <anchor moveWithCells="1" sizeWithCells="1">
                  <from>
                    <xdr:col>9</xdr:col>
                    <xdr:colOff>266700</xdr:colOff>
                    <xdr:row>0</xdr:row>
                    <xdr:rowOff>0</xdr:rowOff>
                  </from>
                  <to>
                    <xdr:col>11</xdr:col>
                    <xdr:colOff>942975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pageSetUpPr fitToPage="1"/>
  </sheetPr>
  <dimension ref="A1:J42"/>
  <sheetViews>
    <sheetView showGridLines="0" view="pageBreakPreview" zoomScale="85" zoomScaleNormal="85" zoomScaleSheetLayoutView="85" workbookViewId="0"/>
  </sheetViews>
  <sheetFormatPr defaultColWidth="9" defaultRowHeight="13.5" customHeight="1"/>
  <cols>
    <col min="1" max="2" width="12.5" style="5" customWidth="1"/>
    <col min="3" max="10" width="9.5" style="5" customWidth="1"/>
    <col min="11" max="16384" width="9" style="5"/>
  </cols>
  <sheetData>
    <row r="1" spans="1:10">
      <c r="A1" s="4"/>
      <c r="B1" s="4"/>
      <c r="C1" s="4"/>
      <c r="D1" s="4"/>
      <c r="E1" s="4"/>
      <c r="F1" s="4"/>
      <c r="G1" s="4"/>
      <c r="H1" s="4"/>
      <c r="I1" s="4"/>
      <c r="J1" s="4"/>
    </row>
    <row r="2" spans="1:10" ht="17.25">
      <c r="A2" s="459" t="s">
        <v>574</v>
      </c>
      <c r="B2" s="464"/>
      <c r="C2" s="464"/>
      <c r="D2" s="464"/>
      <c r="E2" s="464"/>
      <c r="F2" s="464"/>
      <c r="G2" s="464"/>
      <c r="H2" s="464"/>
      <c r="I2" s="464"/>
      <c r="J2" s="464"/>
    </row>
    <row r="3" spans="1:10" ht="4.5" customHeight="1" thickBot="1">
      <c r="A3" s="465"/>
      <c r="B3" s="465"/>
      <c r="C3" s="465"/>
      <c r="D3" s="465"/>
      <c r="E3" s="465"/>
      <c r="F3" s="465"/>
      <c r="G3" s="465"/>
      <c r="H3" s="465"/>
      <c r="I3" s="465"/>
      <c r="J3" s="465"/>
    </row>
    <row r="4" spans="1:10" ht="17.25" customHeight="1" thickBot="1">
      <c r="A4" s="466" t="s">
        <v>470</v>
      </c>
      <c r="B4" s="467"/>
      <c r="C4" s="196" t="s">
        <v>575</v>
      </c>
      <c r="D4" s="196" t="s">
        <v>576</v>
      </c>
      <c r="E4" s="196" t="s">
        <v>107</v>
      </c>
      <c r="F4" s="196" t="s">
        <v>24</v>
      </c>
      <c r="G4" s="196" t="s">
        <v>577</v>
      </c>
      <c r="H4" s="197" t="s">
        <v>578</v>
      </c>
      <c r="I4" s="198" t="s">
        <v>579</v>
      </c>
      <c r="J4" s="198" t="s">
        <v>580</v>
      </c>
    </row>
    <row r="5" spans="1:10" ht="16.5" customHeight="1" thickBot="1">
      <c r="A5" s="468" t="s">
        <v>581</v>
      </c>
      <c r="B5" s="469"/>
      <c r="C5" s="199">
        <f ca="1">MAX(점검대상!$A:$A)</f>
        <v>23</v>
      </c>
      <c r="D5" s="199">
        <f ca="1">'요약 통계'!$G48</f>
        <v>84</v>
      </c>
      <c r="E5" s="199">
        <f ca="1">'요약 통계'!$H48</f>
        <v>0</v>
      </c>
      <c r="F5" s="199">
        <f ca="1">'요약 통계'!$I48</f>
        <v>1</v>
      </c>
      <c r="G5" s="199" cm="1">
        <f t="array" aca="1" ref="G5" ca="1">SUMPRODUCT(('요약 통계'!$E$6:$E$47)*('요약 통계'!$G$6:$G$47))</f>
        <v>318</v>
      </c>
      <c r="H5" s="199" cm="1">
        <f t="array" aca="1" ref="H5" ca="1">SUMPRODUCT(('요약 통계'!$E$6:$E$47)*('요약 통계'!$H$6:$H$47))</f>
        <v>0</v>
      </c>
      <c r="I5" s="200">
        <f ca="1">IF(G5=0,"N/A",H5/G5)</f>
        <v>0</v>
      </c>
      <c r="J5" s="201" t="str">
        <f ca="1">IF($I$5&gt;=0.9,"우수",IF($I$5&gt;=0.8,"양호",IF($I$5&gt;=0.7,"보통",IF($I$5&gt;=0.6,"미흡","취약"))))</f>
        <v>취약</v>
      </c>
    </row>
    <row r="6" spans="1:10">
      <c r="A6" s="48"/>
      <c r="B6" s="4"/>
      <c r="C6" s="4"/>
      <c r="D6" s="4"/>
      <c r="E6" s="4"/>
      <c r="F6" s="4"/>
      <c r="G6" s="4"/>
      <c r="H6" s="4"/>
      <c r="I6" s="4"/>
      <c r="J6" s="4"/>
    </row>
    <row r="7" spans="1:10" ht="17.25">
      <c r="A7" s="459" t="s">
        <v>150</v>
      </c>
      <c r="B7" s="464"/>
      <c r="C7" s="464"/>
      <c r="D7" s="464"/>
      <c r="E7" s="464"/>
      <c r="F7" s="464"/>
      <c r="G7" s="464"/>
      <c r="H7" s="464"/>
      <c r="I7" s="464"/>
      <c r="J7" s="464"/>
    </row>
    <row r="8" spans="1:10" ht="4.5" customHeight="1" thickBot="1">
      <c r="A8" s="465"/>
      <c r="B8" s="465"/>
      <c r="C8" s="465"/>
      <c r="D8" s="465"/>
      <c r="E8" s="465"/>
      <c r="F8" s="465"/>
      <c r="G8" s="465"/>
      <c r="H8" s="465"/>
      <c r="I8" s="465"/>
      <c r="J8" s="465"/>
    </row>
    <row r="9" spans="1:10">
      <c r="A9" s="474" t="s">
        <v>20</v>
      </c>
      <c r="B9" s="475"/>
      <c r="C9" s="475" t="s">
        <v>21</v>
      </c>
      <c r="D9" s="475"/>
      <c r="E9" s="475"/>
      <c r="F9" s="475"/>
      <c r="G9" s="475"/>
      <c r="H9" s="475" t="s">
        <v>99</v>
      </c>
      <c r="I9" s="475"/>
      <c r="J9" s="478"/>
    </row>
    <row r="10" spans="1:10" ht="14.25" thickBot="1">
      <c r="A10" s="476"/>
      <c r="B10" s="477"/>
      <c r="C10" s="63" t="s">
        <v>22</v>
      </c>
      <c r="D10" s="63" t="s">
        <v>17</v>
      </c>
      <c r="E10" s="63" t="s">
        <v>23</v>
      </c>
      <c r="F10" s="63" t="s">
        <v>24</v>
      </c>
      <c r="G10" s="63" t="s">
        <v>25</v>
      </c>
      <c r="H10" s="63" t="s">
        <v>26</v>
      </c>
      <c r="I10" s="63" t="s">
        <v>582</v>
      </c>
      <c r="J10" s="64" t="s">
        <v>27</v>
      </c>
    </row>
    <row r="11" spans="1:10">
      <c r="A11" s="487" t="s">
        <v>243</v>
      </c>
      <c r="B11" s="488"/>
      <c r="C11" s="85">
        <f>COUNTIF('통합 점검결과'!$I:$I,'보안수준 통계'!$A11)</f>
        <v>1</v>
      </c>
      <c r="D11" s="85">
        <f>C11-G11</f>
        <v>1</v>
      </c>
      <c r="E11" s="85">
        <f>COUNTIFS('통합 점검결과'!$I:$I,'보안수준 통계'!$A11,'통합 점검결과'!$M:$M,$E$10)</f>
        <v>0</v>
      </c>
      <c r="F11" s="85">
        <f>COUNTIFS('통합 점검결과'!$I:$I,'보안수준 통계'!$A11,'통합 점검결과'!$M:$M,$F$10)</f>
        <v>1</v>
      </c>
      <c r="G11" s="85">
        <f>COUNTIFS('통합 점검결과'!$I:$I,'보안수준 통계'!$A11,'통합 점검결과'!$M:$M,"N/A")</f>
        <v>0</v>
      </c>
      <c r="H11" s="85" cm="1">
        <f t="array" aca="1" ref="H11" ca="1">SUMPRODUCT(('요약 통계'!$A$6:$A$47=$A11)*('요약 통계'!$E$6:$E$47)*('요약 통계'!$G$6:$G$47))</f>
        <v>274</v>
      </c>
      <c r="I11" s="85" cm="1">
        <f t="array" aca="1" ref="I11" ca="1">SUMPRODUCT(('요약 통계'!$A$6:$A$47=$A11)*('요약 통계'!$E$6:$E$47)*('요약 통계'!$H$6:$H$47))</f>
        <v>0</v>
      </c>
      <c r="J11" s="202">
        <f ca="1">IF(H11=0,"N/A",I11/H11)</f>
        <v>0</v>
      </c>
    </row>
    <row r="12" spans="1:10">
      <c r="A12" s="485" t="s">
        <v>244</v>
      </c>
      <c r="B12" s="486"/>
      <c r="C12" s="86">
        <f>COUNTIF('통합 점검결과'!$I:$I,'보안수준 통계'!$A12)</f>
        <v>0</v>
      </c>
      <c r="D12" s="86">
        <f>C12-G12</f>
        <v>0</v>
      </c>
      <c r="E12" s="86">
        <f>COUNTIFS('통합 점검결과'!$I:$I,'보안수준 통계'!$A12,'통합 점검결과'!$M:$M,$E$10)</f>
        <v>0</v>
      </c>
      <c r="F12" s="86">
        <f>COUNTIFS('통합 점검결과'!$I:$I,'보안수준 통계'!$A12,'통합 점검결과'!$M:$M,$F$10)</f>
        <v>0</v>
      </c>
      <c r="G12" s="86">
        <f>COUNTIFS('통합 점검결과'!$I:$I,'보안수준 통계'!$A12,'통합 점검결과'!$M:$M,"N/A")</f>
        <v>0</v>
      </c>
      <c r="H12" s="86" cm="1">
        <f t="array" aca="1" ref="H12" ca="1">SUMPRODUCT(('요약 통계'!$A$6:$A$47=$A12)*('요약 통계'!$E$6:$E$47)*('요약 통계'!$G$6:$G$47))</f>
        <v>34</v>
      </c>
      <c r="I12" s="87" cm="1">
        <f t="array" aca="1" ref="I12" ca="1">SUMPRODUCT(('요약 통계'!$A$6:$A$47=$A12)*('요약 통계'!$E$6:$E$47)*('요약 통계'!$H$6:$H$47))</f>
        <v>0</v>
      </c>
      <c r="J12" s="203">
        <f ca="1">IF(H12=0,"N/A",I12/H12)</f>
        <v>0</v>
      </c>
    </row>
    <row r="13" spans="1:10" ht="14.25" thickBot="1">
      <c r="A13" s="485" t="s">
        <v>28</v>
      </c>
      <c r="B13" s="486"/>
      <c r="C13" s="86">
        <f>COUNTIF('통합 점검결과'!$I:$I,'보안수준 통계'!$A13)</f>
        <v>0</v>
      </c>
      <c r="D13" s="86">
        <f>C13-G13</f>
        <v>0</v>
      </c>
      <c r="E13" s="86">
        <f>COUNTIFS('통합 점검결과'!$I:$I,'보안수준 통계'!$A13,'통합 점검결과'!$M:$M,$E$10)</f>
        <v>0</v>
      </c>
      <c r="F13" s="86">
        <f>COUNTIFS('통합 점검결과'!$I:$I,'보안수준 통계'!$A13,'통합 점검결과'!$M:$M,$F$10)</f>
        <v>0</v>
      </c>
      <c r="G13" s="86">
        <f>COUNTIFS('통합 점검결과'!$I:$I,'보안수준 통계'!$A13,'통합 점검결과'!$M:$M,"N/A")</f>
        <v>0</v>
      </c>
      <c r="H13" s="86" cm="1">
        <f t="array" aca="1" ref="H13" ca="1">SUMPRODUCT(('요약 통계'!$A$6:$A$47=$A13)*('요약 통계'!$E$6:$E$47)*('요약 통계'!$G$6:$G$47))</f>
        <v>10</v>
      </c>
      <c r="I13" s="87" cm="1">
        <f t="array" aca="1" ref="I13" ca="1">SUMPRODUCT(('요약 통계'!$A$6:$A$47=$A13)*('요약 통계'!$E$6:$E$47)*('요약 통계'!$H$6:$H$47))</f>
        <v>0</v>
      </c>
      <c r="J13" s="203">
        <f ca="1">IF(H13=0,"N/A",I13/H13)</f>
        <v>0</v>
      </c>
    </row>
    <row r="14" spans="1:10" ht="14.25" thickBot="1">
      <c r="A14" s="470" t="s">
        <v>29</v>
      </c>
      <c r="B14" s="471"/>
      <c r="C14" s="116">
        <f t="shared" ref="C14:H14" si="0">SUM(C11:C13)</f>
        <v>1</v>
      </c>
      <c r="D14" s="116">
        <f t="shared" si="0"/>
        <v>1</v>
      </c>
      <c r="E14" s="116">
        <f t="shared" si="0"/>
        <v>0</v>
      </c>
      <c r="F14" s="116">
        <f t="shared" si="0"/>
        <v>1</v>
      </c>
      <c r="G14" s="116">
        <f t="shared" si="0"/>
        <v>0</v>
      </c>
      <c r="H14" s="116">
        <f t="shared" ca="1" si="0"/>
        <v>318</v>
      </c>
      <c r="I14" s="116">
        <f ca="1">SUM(I11:I13)</f>
        <v>0</v>
      </c>
      <c r="J14" s="204">
        <f ca="1">IF(H14=0,"N/A",I14/H14)</f>
        <v>0</v>
      </c>
    </row>
    <row r="15" spans="1:10">
      <c r="A15" s="48"/>
      <c r="B15" s="4"/>
      <c r="C15" s="4"/>
      <c r="D15" s="4"/>
      <c r="E15" s="4"/>
      <c r="F15" s="4"/>
      <c r="G15" s="4"/>
      <c r="H15" s="4"/>
      <c r="I15" s="4"/>
      <c r="J15" s="4"/>
    </row>
    <row r="16" spans="1:10" ht="17.25" customHeight="1">
      <c r="A16" s="472" t="s">
        <v>153</v>
      </c>
      <c r="B16" s="472"/>
      <c r="C16" s="472"/>
      <c r="D16" s="472"/>
      <c r="E16" s="472"/>
      <c r="F16" s="472"/>
      <c r="G16" s="472"/>
      <c r="H16" s="472"/>
      <c r="I16" s="472"/>
      <c r="J16" s="472"/>
    </row>
    <row r="17" spans="1:10" ht="4.5" customHeight="1">
      <c r="H17" s="34"/>
      <c r="I17" s="34"/>
      <c r="J17" s="34"/>
    </row>
    <row r="18" spans="1:10">
      <c r="A18" s="4"/>
      <c r="B18" s="4"/>
      <c r="C18" s="4"/>
      <c r="D18" s="4"/>
      <c r="E18" s="4"/>
      <c r="F18" s="4"/>
      <c r="G18" s="4"/>
      <c r="H18" s="34"/>
      <c r="I18" s="34"/>
      <c r="J18" s="34"/>
    </row>
    <row r="19" spans="1:10">
      <c r="A19" s="4"/>
      <c r="B19" s="4"/>
      <c r="C19" s="4"/>
      <c r="D19" s="4"/>
      <c r="E19" s="4"/>
      <c r="F19" s="4"/>
      <c r="G19" s="4"/>
      <c r="H19" s="34"/>
      <c r="I19" s="34"/>
      <c r="J19" s="34"/>
    </row>
    <row r="20" spans="1:10">
      <c r="H20" s="34"/>
      <c r="I20" s="34"/>
      <c r="J20" s="34"/>
    </row>
    <row r="21" spans="1:10">
      <c r="H21" s="34"/>
      <c r="I21" s="34"/>
      <c r="J21" s="34"/>
    </row>
    <row r="22" spans="1:10">
      <c r="H22" s="34"/>
      <c r="I22" s="34"/>
      <c r="J22" s="34"/>
    </row>
    <row r="23" spans="1:10">
      <c r="H23" s="34"/>
      <c r="I23" s="34"/>
      <c r="J23" s="34"/>
    </row>
    <row r="24" spans="1:10">
      <c r="H24" s="34"/>
      <c r="I24" s="34"/>
      <c r="J24" s="34"/>
    </row>
    <row r="25" spans="1:10">
      <c r="H25" s="34"/>
      <c r="I25" s="34"/>
      <c r="J25" s="34"/>
    </row>
    <row r="26" spans="1:10">
      <c r="H26" s="34"/>
      <c r="I26" s="34"/>
      <c r="J26" s="34"/>
    </row>
    <row r="27" spans="1:10">
      <c r="H27" s="34"/>
      <c r="I27" s="34"/>
      <c r="J27" s="34"/>
    </row>
    <row r="28" spans="1:10">
      <c r="H28" s="34"/>
      <c r="I28" s="34"/>
      <c r="J28" s="34"/>
    </row>
    <row r="29" spans="1:10">
      <c r="H29" s="34"/>
      <c r="I29" s="34"/>
      <c r="J29" s="34"/>
    </row>
    <row r="30" spans="1:10">
      <c r="H30" s="34"/>
      <c r="I30" s="34"/>
      <c r="J30" s="34"/>
    </row>
    <row r="31" spans="1:10">
      <c r="H31" s="34"/>
      <c r="I31" s="34"/>
      <c r="J31" s="34"/>
    </row>
    <row r="32" spans="1:10">
      <c r="H32" s="34"/>
      <c r="I32" s="34"/>
      <c r="J32" s="34"/>
    </row>
    <row r="33" spans="1:10">
      <c r="H33" s="34"/>
      <c r="I33" s="34"/>
      <c r="J33" s="34"/>
    </row>
    <row r="34" spans="1:10">
      <c r="A34" s="4"/>
      <c r="B34" s="4"/>
      <c r="C34" s="4"/>
      <c r="D34" s="4"/>
      <c r="E34" s="4"/>
      <c r="F34" s="4"/>
      <c r="G34" s="4"/>
      <c r="H34" s="4"/>
    </row>
    <row r="35" spans="1:10" ht="17.25">
      <c r="A35" s="459" t="s">
        <v>151</v>
      </c>
      <c r="B35" s="473"/>
      <c r="C35" s="473"/>
      <c r="D35" s="473"/>
      <c r="E35" s="473"/>
      <c r="F35" s="473"/>
      <c r="G35" s="473"/>
      <c r="H35" s="473"/>
      <c r="I35" s="473"/>
      <c r="J35" s="473"/>
    </row>
    <row r="36" spans="1:10" ht="4.5" customHeight="1" thickBot="1">
      <c r="A36" s="465"/>
      <c r="B36" s="465"/>
      <c r="C36" s="465"/>
      <c r="D36" s="465"/>
      <c r="E36" s="465"/>
      <c r="F36" s="465"/>
      <c r="G36" s="465"/>
      <c r="H36" s="465"/>
      <c r="I36" s="465"/>
      <c r="J36" s="465"/>
    </row>
    <row r="37" spans="1:10">
      <c r="A37" s="474" t="s">
        <v>30</v>
      </c>
      <c r="B37" s="475"/>
      <c r="C37" s="475" t="s">
        <v>21</v>
      </c>
      <c r="D37" s="475"/>
      <c r="E37" s="475"/>
      <c r="F37" s="475"/>
      <c r="G37" s="475"/>
      <c r="H37" s="475" t="s">
        <v>99</v>
      </c>
      <c r="I37" s="475"/>
      <c r="J37" s="478"/>
    </row>
    <row r="38" spans="1:10" ht="14.25" thickBot="1">
      <c r="A38" s="476"/>
      <c r="B38" s="477"/>
      <c r="C38" s="63" t="s">
        <v>22</v>
      </c>
      <c r="D38" s="63" t="s">
        <v>17</v>
      </c>
      <c r="E38" s="63" t="s">
        <v>23</v>
      </c>
      <c r="F38" s="63" t="s">
        <v>24</v>
      </c>
      <c r="G38" s="63" t="s">
        <v>25</v>
      </c>
      <c r="H38" s="63" t="s">
        <v>26</v>
      </c>
      <c r="I38" s="63" t="s">
        <v>582</v>
      </c>
      <c r="J38" s="64" t="s">
        <v>27</v>
      </c>
    </row>
    <row r="39" spans="1:10" ht="14.25" customHeight="1">
      <c r="A39" s="479" t="str">
        <f ca="1">INDIRECT(ADDRESS(ROW()-32,2,1,TRUE,"점검대상"))</f>
        <v>SS(샘플)</v>
      </c>
      <c r="B39" s="480"/>
      <c r="C39" s="114">
        <f ca="1">COUNTIF('통합 점검결과'!$B:$B,$A39)</f>
        <v>1</v>
      </c>
      <c r="D39" s="114">
        <f ca="1">C39-G39</f>
        <v>1</v>
      </c>
      <c r="E39" s="114">
        <f ca="1">COUNTIFS('통합 점검결과'!$B:$B,$A39,'통합 점검결과'!$M:$M,$E$38)</f>
        <v>0</v>
      </c>
      <c r="F39" s="114">
        <f ca="1">COUNTIFS('통합 점검결과'!$B:$B,$A39,'통합 점검결과'!$M:$M,$F$38)</f>
        <v>1</v>
      </c>
      <c r="G39" s="114">
        <f ca="1">COUNTIFS('통합 점검결과'!$B:$B,$A39,'통합 점검결과'!$M:$M,"N/A")</f>
        <v>0</v>
      </c>
      <c r="H39" s="114">
        <f ca="1">SUMIFS('통합 점검결과'!$L:$L,'통합 점검결과'!$B:$B,'보안수준 통계'!$A39)-SUMIFS('통합 점검결과'!$L:$L,'통합 점검결과'!$B:$B,'보안수준 통계'!$A39,'통합 점검결과'!$M:$M,"N/A")</f>
        <v>4</v>
      </c>
      <c r="I39" s="115">
        <f ca="1">SUMIFS('통합 점검결과'!$L:$L,'통합 점검결과'!$B:$B,'보안수준 통계'!$A39,'통합 점검결과'!$M:$M,"양호")</f>
        <v>0</v>
      </c>
      <c r="J39" s="202">
        <f ca="1">IF(H39=0,"N/A",I39/H39)</f>
        <v>0</v>
      </c>
    </row>
    <row r="40" spans="1:10" ht="14.25" customHeight="1">
      <c r="A40" s="481" t="str">
        <f ca="1">INDIRECT(ADDRESS(ROW()-32,2,1,TRUE,"점검대상"))</f>
        <v>SS(샘플)_이행</v>
      </c>
      <c r="B40" s="482"/>
      <c r="C40" s="86">
        <f ca="1">COUNTIF('통합 점검결과'!$B:$B,$A40)</f>
        <v>0</v>
      </c>
      <c r="D40" s="86">
        <f ca="1">C40-G40</f>
        <v>0</v>
      </c>
      <c r="E40" s="86">
        <f ca="1">COUNTIFS('통합 점검결과'!$B:$B,$A40,'통합 점검결과'!$M:$M,$E$38)</f>
        <v>0</v>
      </c>
      <c r="F40" s="86">
        <f ca="1">COUNTIFS('통합 점검결과'!$B:$B,$A40,'통합 점검결과'!$M:$M,$F$38)</f>
        <v>0</v>
      </c>
      <c r="G40" s="86">
        <f ca="1">COUNTIFS('통합 점검결과'!$B:$B,$A40,'통합 점검결과'!$M:$M,"N/A")</f>
        <v>0</v>
      </c>
      <c r="H40" s="86">
        <f ca="1">SUMIFS('통합 점검결과'!$L:$L,'통합 점검결과'!$B:$B,'보안수준 통계'!$A40)-SUMIFS('통합 점검결과'!$L:$L,'통합 점검결과'!$B:$B,'보안수준 통계'!$A40,'통합 점검결과'!$M:$M,"N/A")</f>
        <v>0</v>
      </c>
      <c r="I40" s="87">
        <f ca="1">SUMIFS('통합 점검결과'!$L:$L,'통합 점검결과'!$B:$B,'보안수준 통계'!$A40,'통합 점검결과'!$M:$M,"양호")</f>
        <v>0</v>
      </c>
      <c r="J40" s="203" t="str">
        <f ca="1">IF(H40=0,"N/A",I40/H40)</f>
        <v>N/A</v>
      </c>
    </row>
    <row r="41" spans="1:10" ht="14.25" customHeight="1" thickBot="1">
      <c r="A41" s="483">
        <f ca="1">INDIRECT(ADDRESS(ROW()-32,2,1,TRUE,"점검대상"))</f>
        <v>0</v>
      </c>
      <c r="B41" s="484"/>
      <c r="C41" s="86">
        <f ca="1">COUNTIF('통합 점검결과'!$B:$B,$A41)</f>
        <v>0</v>
      </c>
      <c r="D41" s="86">
        <f ca="1">C41-G41</f>
        <v>0</v>
      </c>
      <c r="E41" s="86">
        <f ca="1">COUNTIFS('통합 점검결과'!$B:$B,$A41,'통합 점검결과'!$M:$M,$E$38)</f>
        <v>0</v>
      </c>
      <c r="F41" s="86">
        <f ca="1">COUNTIFS('통합 점검결과'!$B:$B,$A41,'통합 점검결과'!$M:$M,$F$38)</f>
        <v>0</v>
      </c>
      <c r="G41" s="86">
        <f ca="1">COUNTIFS('통합 점검결과'!$B:$B,$A41,'통합 점검결과'!$M:$M,"N/A")</f>
        <v>0</v>
      </c>
      <c r="H41" s="86">
        <f ca="1">SUMIFS('통합 점검결과'!$L:$L,'통합 점검결과'!$B:$B,'보안수준 통계'!$A41)-SUMIFS('통합 점검결과'!$L:$L,'통합 점검결과'!$B:$B,'보안수준 통계'!$A41,'통합 점검결과'!$M:$M,"N/A")</f>
        <v>0</v>
      </c>
      <c r="I41" s="87">
        <f ca="1">SUMIFS('통합 점검결과'!$L:$L,'통합 점검결과'!$B:$B,'보안수준 통계'!$A41,'통합 점검결과'!$M:$M,"양호")</f>
        <v>0</v>
      </c>
      <c r="J41" s="203" t="str">
        <f ca="1">IF(H41=0,"N/A",I41/H41)</f>
        <v>N/A</v>
      </c>
    </row>
    <row r="42" spans="1:10" ht="14.25" thickBot="1">
      <c r="A42" s="470" t="s">
        <v>29</v>
      </c>
      <c r="B42" s="471"/>
      <c r="C42" s="116">
        <f t="shared" ref="C42:G42" ca="1" si="1">SUM(C39:C41)</f>
        <v>1</v>
      </c>
      <c r="D42" s="116">
        <f t="shared" ca="1" si="1"/>
        <v>1</v>
      </c>
      <c r="E42" s="116">
        <f t="shared" ca="1" si="1"/>
        <v>0</v>
      </c>
      <c r="F42" s="116">
        <f t="shared" ca="1" si="1"/>
        <v>1</v>
      </c>
      <c r="G42" s="116">
        <f t="shared" ca="1" si="1"/>
        <v>0</v>
      </c>
      <c r="H42" s="116">
        <f ca="1">SUM(H39:H41)</f>
        <v>4</v>
      </c>
      <c r="I42" s="116">
        <f ca="1">SUM(I39:I41)</f>
        <v>0</v>
      </c>
      <c r="J42" s="204">
        <f ca="1">IF(H42=0,"N/A",I42/H42)</f>
        <v>0</v>
      </c>
    </row>
  </sheetData>
  <mergeCells count="23">
    <mergeCell ref="A12:B12"/>
    <mergeCell ref="A13:B13"/>
    <mergeCell ref="A8:J8"/>
    <mergeCell ref="A9:B10"/>
    <mergeCell ref="C9:G9"/>
    <mergeCell ref="H9:J9"/>
    <mergeCell ref="A11:B11"/>
    <mergeCell ref="A2:J2"/>
    <mergeCell ref="A3:J3"/>
    <mergeCell ref="A4:B4"/>
    <mergeCell ref="A5:B5"/>
    <mergeCell ref="A42:B42"/>
    <mergeCell ref="A16:J16"/>
    <mergeCell ref="A35:J35"/>
    <mergeCell ref="A36:J36"/>
    <mergeCell ref="A37:B38"/>
    <mergeCell ref="C37:G37"/>
    <mergeCell ref="H37:J37"/>
    <mergeCell ref="A39:B39"/>
    <mergeCell ref="A40:B40"/>
    <mergeCell ref="A41:B41"/>
    <mergeCell ref="A14:B14"/>
    <mergeCell ref="A7:J7"/>
  </mergeCells>
  <phoneticPr fontId="1" type="noConversion"/>
  <printOptions horizontalCentered="1"/>
  <pageMargins left="0.39370078740157483" right="0.39370078740157483" top="0.59055118110236227" bottom="0.59055118110236227" header="0.19685039370078741" footer="0.19685039370078741"/>
  <pageSetup paperSize="9" scale="86" fitToHeight="0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>
    <pageSetUpPr fitToPage="1"/>
  </sheetPr>
  <dimension ref="A1:O103"/>
  <sheetViews>
    <sheetView showGridLines="0" view="pageBreakPreview" zoomScale="85" zoomScaleNormal="85" zoomScaleSheetLayoutView="85" workbookViewId="0">
      <pane ySplit="5" topLeftCell="A6" activePane="bottomLeft" state="frozen"/>
      <selection pane="bottomLeft"/>
    </sheetView>
  </sheetViews>
  <sheetFormatPr defaultRowHeight="16.5"/>
  <cols>
    <col min="1" max="1" width="9.25" style="8" bestFit="1" customWidth="1"/>
    <col min="2" max="2" width="9" style="8"/>
    <col min="3" max="3" width="40.5" style="8" customWidth="1"/>
    <col min="4" max="5" width="6.125" style="8" customWidth="1"/>
    <col min="6" max="10" width="6.75" style="8" customWidth="1"/>
    <col min="11" max="11" width="9.25" style="8" hidden="1" customWidth="1"/>
    <col min="12" max="14" width="9.25" style="8" customWidth="1"/>
    <col min="15" max="15" width="2.625" style="8" customWidth="1"/>
    <col min="16" max="208" width="9" style="8"/>
    <col min="209" max="209" width="2.625" style="8" customWidth="1"/>
    <col min="210" max="210" width="9.25" style="8" bestFit="1" customWidth="1"/>
    <col min="211" max="211" width="9" style="8"/>
    <col min="212" max="212" width="40.5" style="8" customWidth="1"/>
    <col min="213" max="214" width="6.125" style="8" customWidth="1"/>
    <col min="215" max="220" width="6.75" style="8" customWidth="1"/>
    <col min="221" max="270" width="9.25" style="8" customWidth="1"/>
    <col min="271" max="271" width="2.625" style="8" customWidth="1"/>
    <col min="272" max="464" width="9" style="8"/>
    <col min="465" max="465" width="2.625" style="8" customWidth="1"/>
    <col min="466" max="466" width="9.25" style="8" bestFit="1" customWidth="1"/>
    <col min="467" max="467" width="9" style="8"/>
    <col min="468" max="468" width="40.5" style="8" customWidth="1"/>
    <col min="469" max="470" width="6.125" style="8" customWidth="1"/>
    <col min="471" max="476" width="6.75" style="8" customWidth="1"/>
    <col min="477" max="526" width="9.25" style="8" customWidth="1"/>
    <col min="527" max="527" width="2.625" style="8" customWidth="1"/>
    <col min="528" max="720" width="9" style="8"/>
    <col min="721" max="721" width="2.625" style="8" customWidth="1"/>
    <col min="722" max="722" width="9.25" style="8" bestFit="1" customWidth="1"/>
    <col min="723" max="723" width="9" style="8"/>
    <col min="724" max="724" width="40.5" style="8" customWidth="1"/>
    <col min="725" max="726" width="6.125" style="8" customWidth="1"/>
    <col min="727" max="732" width="6.75" style="8" customWidth="1"/>
    <col min="733" max="782" width="9.25" style="8" customWidth="1"/>
    <col min="783" max="783" width="2.625" style="8" customWidth="1"/>
    <col min="784" max="976" width="9" style="8"/>
    <col min="977" max="977" width="2.625" style="8" customWidth="1"/>
    <col min="978" max="978" width="9.25" style="8" bestFit="1" customWidth="1"/>
    <col min="979" max="979" width="9" style="8"/>
    <col min="980" max="980" width="40.5" style="8" customWidth="1"/>
    <col min="981" max="982" width="6.125" style="8" customWidth="1"/>
    <col min="983" max="988" width="6.75" style="8" customWidth="1"/>
    <col min="989" max="1038" width="9.25" style="8" customWidth="1"/>
    <col min="1039" max="1039" width="2.625" style="8" customWidth="1"/>
    <col min="1040" max="1232" width="9" style="8"/>
    <col min="1233" max="1233" width="2.625" style="8" customWidth="1"/>
    <col min="1234" max="1234" width="9.25" style="8" bestFit="1" customWidth="1"/>
    <col min="1235" max="1235" width="9" style="8"/>
    <col min="1236" max="1236" width="40.5" style="8" customWidth="1"/>
    <col min="1237" max="1238" width="6.125" style="8" customWidth="1"/>
    <col min="1239" max="1244" width="6.75" style="8" customWidth="1"/>
    <col min="1245" max="1294" width="9.25" style="8" customWidth="1"/>
    <col min="1295" max="1295" width="2.625" style="8" customWidth="1"/>
    <col min="1296" max="1488" width="9" style="8"/>
    <col min="1489" max="1489" width="2.625" style="8" customWidth="1"/>
    <col min="1490" max="1490" width="9.25" style="8" bestFit="1" customWidth="1"/>
    <col min="1491" max="1491" width="9" style="8"/>
    <col min="1492" max="1492" width="40.5" style="8" customWidth="1"/>
    <col min="1493" max="1494" width="6.125" style="8" customWidth="1"/>
    <col min="1495" max="1500" width="6.75" style="8" customWidth="1"/>
    <col min="1501" max="1550" width="9.25" style="8" customWidth="1"/>
    <col min="1551" max="1551" width="2.625" style="8" customWidth="1"/>
    <col min="1552" max="1744" width="9" style="8"/>
    <col min="1745" max="1745" width="2.625" style="8" customWidth="1"/>
    <col min="1746" max="1746" width="9.25" style="8" bestFit="1" customWidth="1"/>
    <col min="1747" max="1747" width="9" style="8"/>
    <col min="1748" max="1748" width="40.5" style="8" customWidth="1"/>
    <col min="1749" max="1750" width="6.125" style="8" customWidth="1"/>
    <col min="1751" max="1756" width="6.75" style="8" customWidth="1"/>
    <col min="1757" max="1806" width="9.25" style="8" customWidth="1"/>
    <col min="1807" max="1807" width="2.625" style="8" customWidth="1"/>
    <col min="1808" max="2000" width="9" style="8"/>
    <col min="2001" max="2001" width="2.625" style="8" customWidth="1"/>
    <col min="2002" max="2002" width="9.25" style="8" bestFit="1" customWidth="1"/>
    <col min="2003" max="2003" width="9" style="8"/>
    <col min="2004" max="2004" width="40.5" style="8" customWidth="1"/>
    <col min="2005" max="2006" width="6.125" style="8" customWidth="1"/>
    <col min="2007" max="2012" width="6.75" style="8" customWidth="1"/>
    <col min="2013" max="2062" width="9.25" style="8" customWidth="1"/>
    <col min="2063" max="2063" width="2.625" style="8" customWidth="1"/>
    <col min="2064" max="2256" width="9" style="8"/>
    <col min="2257" max="2257" width="2.625" style="8" customWidth="1"/>
    <col min="2258" max="2258" width="9.25" style="8" bestFit="1" customWidth="1"/>
    <col min="2259" max="2259" width="9" style="8"/>
    <col min="2260" max="2260" width="40.5" style="8" customWidth="1"/>
    <col min="2261" max="2262" width="6.125" style="8" customWidth="1"/>
    <col min="2263" max="2268" width="6.75" style="8" customWidth="1"/>
    <col min="2269" max="2318" width="9.25" style="8" customWidth="1"/>
    <col min="2319" max="2319" width="2.625" style="8" customWidth="1"/>
    <col min="2320" max="2512" width="9" style="8"/>
    <col min="2513" max="2513" width="2.625" style="8" customWidth="1"/>
    <col min="2514" max="2514" width="9.25" style="8" bestFit="1" customWidth="1"/>
    <col min="2515" max="2515" width="9" style="8"/>
    <col min="2516" max="2516" width="40.5" style="8" customWidth="1"/>
    <col min="2517" max="2518" width="6.125" style="8" customWidth="1"/>
    <col min="2519" max="2524" width="6.75" style="8" customWidth="1"/>
    <col min="2525" max="2574" width="9.25" style="8" customWidth="1"/>
    <col min="2575" max="2575" width="2.625" style="8" customWidth="1"/>
    <col min="2576" max="2768" width="9" style="8"/>
    <col min="2769" max="2769" width="2.625" style="8" customWidth="1"/>
    <col min="2770" max="2770" width="9.25" style="8" bestFit="1" customWidth="1"/>
    <col min="2771" max="2771" width="9" style="8"/>
    <col min="2772" max="2772" width="40.5" style="8" customWidth="1"/>
    <col min="2773" max="2774" width="6.125" style="8" customWidth="1"/>
    <col min="2775" max="2780" width="6.75" style="8" customWidth="1"/>
    <col min="2781" max="2830" width="9.25" style="8" customWidth="1"/>
    <col min="2831" max="2831" width="2.625" style="8" customWidth="1"/>
    <col min="2832" max="3024" width="9" style="8"/>
    <col min="3025" max="3025" width="2.625" style="8" customWidth="1"/>
    <col min="3026" max="3026" width="9.25" style="8" bestFit="1" customWidth="1"/>
    <col min="3027" max="3027" width="9" style="8"/>
    <col min="3028" max="3028" width="40.5" style="8" customWidth="1"/>
    <col min="3029" max="3030" width="6.125" style="8" customWidth="1"/>
    <col min="3031" max="3036" width="6.75" style="8" customWidth="1"/>
    <col min="3037" max="3086" width="9.25" style="8" customWidth="1"/>
    <col min="3087" max="3087" width="2.625" style="8" customWidth="1"/>
    <col min="3088" max="3280" width="9" style="8"/>
    <col min="3281" max="3281" width="2.625" style="8" customWidth="1"/>
    <col min="3282" max="3282" width="9.25" style="8" bestFit="1" customWidth="1"/>
    <col min="3283" max="3283" width="9" style="8"/>
    <col min="3284" max="3284" width="40.5" style="8" customWidth="1"/>
    <col min="3285" max="3286" width="6.125" style="8" customWidth="1"/>
    <col min="3287" max="3292" width="6.75" style="8" customWidth="1"/>
    <col min="3293" max="3342" width="9.25" style="8" customWidth="1"/>
    <col min="3343" max="3343" width="2.625" style="8" customWidth="1"/>
    <col min="3344" max="3536" width="9" style="8"/>
    <col min="3537" max="3537" width="2.625" style="8" customWidth="1"/>
    <col min="3538" max="3538" width="9.25" style="8" bestFit="1" customWidth="1"/>
    <col min="3539" max="3539" width="9" style="8"/>
    <col min="3540" max="3540" width="40.5" style="8" customWidth="1"/>
    <col min="3541" max="3542" width="6.125" style="8" customWidth="1"/>
    <col min="3543" max="3548" width="6.75" style="8" customWidth="1"/>
    <col min="3549" max="3598" width="9.25" style="8" customWidth="1"/>
    <col min="3599" max="3599" width="2.625" style="8" customWidth="1"/>
    <col min="3600" max="3792" width="9" style="8"/>
    <col min="3793" max="3793" width="2.625" style="8" customWidth="1"/>
    <col min="3794" max="3794" width="9.25" style="8" bestFit="1" customWidth="1"/>
    <col min="3795" max="3795" width="9" style="8"/>
    <col min="3796" max="3796" width="40.5" style="8" customWidth="1"/>
    <col min="3797" max="3798" width="6.125" style="8" customWidth="1"/>
    <col min="3799" max="3804" width="6.75" style="8" customWidth="1"/>
    <col min="3805" max="3854" width="9.25" style="8" customWidth="1"/>
    <col min="3855" max="3855" width="2.625" style="8" customWidth="1"/>
    <col min="3856" max="4048" width="9" style="8"/>
    <col min="4049" max="4049" width="2.625" style="8" customWidth="1"/>
    <col min="4050" max="4050" width="9.25" style="8" bestFit="1" customWidth="1"/>
    <col min="4051" max="4051" width="9" style="8"/>
    <col min="4052" max="4052" width="40.5" style="8" customWidth="1"/>
    <col min="4053" max="4054" width="6.125" style="8" customWidth="1"/>
    <col min="4055" max="4060" width="6.75" style="8" customWidth="1"/>
    <col min="4061" max="4110" width="9.25" style="8" customWidth="1"/>
    <col min="4111" max="4111" width="2.625" style="8" customWidth="1"/>
    <col min="4112" max="4304" width="9" style="8"/>
    <col min="4305" max="4305" width="2.625" style="8" customWidth="1"/>
    <col min="4306" max="4306" width="9.25" style="8" bestFit="1" customWidth="1"/>
    <col min="4307" max="4307" width="9" style="8"/>
    <col min="4308" max="4308" width="40.5" style="8" customWidth="1"/>
    <col min="4309" max="4310" width="6.125" style="8" customWidth="1"/>
    <col min="4311" max="4316" width="6.75" style="8" customWidth="1"/>
    <col min="4317" max="4366" width="9.25" style="8" customWidth="1"/>
    <col min="4367" max="4367" width="2.625" style="8" customWidth="1"/>
    <col min="4368" max="4560" width="9" style="8"/>
    <col min="4561" max="4561" width="2.625" style="8" customWidth="1"/>
    <col min="4562" max="4562" width="9.25" style="8" bestFit="1" customWidth="1"/>
    <col min="4563" max="4563" width="9" style="8"/>
    <col min="4564" max="4564" width="40.5" style="8" customWidth="1"/>
    <col min="4565" max="4566" width="6.125" style="8" customWidth="1"/>
    <col min="4567" max="4572" width="6.75" style="8" customWidth="1"/>
    <col min="4573" max="4622" width="9.25" style="8" customWidth="1"/>
    <col min="4623" max="4623" width="2.625" style="8" customWidth="1"/>
    <col min="4624" max="4816" width="9" style="8"/>
    <col min="4817" max="4817" width="2.625" style="8" customWidth="1"/>
    <col min="4818" max="4818" width="9.25" style="8" bestFit="1" customWidth="1"/>
    <col min="4819" max="4819" width="9" style="8"/>
    <col min="4820" max="4820" width="40.5" style="8" customWidth="1"/>
    <col min="4821" max="4822" width="6.125" style="8" customWidth="1"/>
    <col min="4823" max="4828" width="6.75" style="8" customWidth="1"/>
    <col min="4829" max="4878" width="9.25" style="8" customWidth="1"/>
    <col min="4879" max="4879" width="2.625" style="8" customWidth="1"/>
    <col min="4880" max="5072" width="9" style="8"/>
    <col min="5073" max="5073" width="2.625" style="8" customWidth="1"/>
    <col min="5074" max="5074" width="9.25" style="8" bestFit="1" customWidth="1"/>
    <col min="5075" max="5075" width="9" style="8"/>
    <col min="5076" max="5076" width="40.5" style="8" customWidth="1"/>
    <col min="5077" max="5078" width="6.125" style="8" customWidth="1"/>
    <col min="5079" max="5084" width="6.75" style="8" customWidth="1"/>
    <col min="5085" max="5134" width="9.25" style="8" customWidth="1"/>
    <col min="5135" max="5135" width="2.625" style="8" customWidth="1"/>
    <col min="5136" max="5328" width="9" style="8"/>
    <col min="5329" max="5329" width="2.625" style="8" customWidth="1"/>
    <col min="5330" max="5330" width="9.25" style="8" bestFit="1" customWidth="1"/>
    <col min="5331" max="5331" width="9" style="8"/>
    <col min="5332" max="5332" width="40.5" style="8" customWidth="1"/>
    <col min="5333" max="5334" width="6.125" style="8" customWidth="1"/>
    <col min="5335" max="5340" width="6.75" style="8" customWidth="1"/>
    <col min="5341" max="5390" width="9.25" style="8" customWidth="1"/>
    <col min="5391" max="5391" width="2.625" style="8" customWidth="1"/>
    <col min="5392" max="5584" width="9" style="8"/>
    <col min="5585" max="5585" width="2.625" style="8" customWidth="1"/>
    <col min="5586" max="5586" width="9.25" style="8" bestFit="1" customWidth="1"/>
    <col min="5587" max="5587" width="9" style="8"/>
    <col min="5588" max="5588" width="40.5" style="8" customWidth="1"/>
    <col min="5589" max="5590" width="6.125" style="8" customWidth="1"/>
    <col min="5591" max="5596" width="6.75" style="8" customWidth="1"/>
    <col min="5597" max="5646" width="9.25" style="8" customWidth="1"/>
    <col min="5647" max="5647" width="2.625" style="8" customWidth="1"/>
    <col min="5648" max="5840" width="9" style="8"/>
    <col min="5841" max="5841" width="2.625" style="8" customWidth="1"/>
    <col min="5842" max="5842" width="9.25" style="8" bestFit="1" customWidth="1"/>
    <col min="5843" max="5843" width="9" style="8"/>
    <col min="5844" max="5844" width="40.5" style="8" customWidth="1"/>
    <col min="5845" max="5846" width="6.125" style="8" customWidth="1"/>
    <col min="5847" max="5852" width="6.75" style="8" customWidth="1"/>
    <col min="5853" max="5902" width="9.25" style="8" customWidth="1"/>
    <col min="5903" max="5903" width="2.625" style="8" customWidth="1"/>
    <col min="5904" max="6096" width="9" style="8"/>
    <col min="6097" max="6097" width="2.625" style="8" customWidth="1"/>
    <col min="6098" max="6098" width="9.25" style="8" bestFit="1" customWidth="1"/>
    <col min="6099" max="6099" width="9" style="8"/>
    <col min="6100" max="6100" width="40.5" style="8" customWidth="1"/>
    <col min="6101" max="6102" width="6.125" style="8" customWidth="1"/>
    <col min="6103" max="6108" width="6.75" style="8" customWidth="1"/>
    <col min="6109" max="6158" width="9.25" style="8" customWidth="1"/>
    <col min="6159" max="6159" width="2.625" style="8" customWidth="1"/>
    <col min="6160" max="6352" width="9" style="8"/>
    <col min="6353" max="6353" width="2.625" style="8" customWidth="1"/>
    <col min="6354" max="6354" width="9.25" style="8" bestFit="1" customWidth="1"/>
    <col min="6355" max="6355" width="9" style="8"/>
    <col min="6356" max="6356" width="40.5" style="8" customWidth="1"/>
    <col min="6357" max="6358" width="6.125" style="8" customWidth="1"/>
    <col min="6359" max="6364" width="6.75" style="8" customWidth="1"/>
    <col min="6365" max="6414" width="9.25" style="8" customWidth="1"/>
    <col min="6415" max="6415" width="2.625" style="8" customWidth="1"/>
    <col min="6416" max="6608" width="9" style="8"/>
    <col min="6609" max="6609" width="2.625" style="8" customWidth="1"/>
    <col min="6610" max="6610" width="9.25" style="8" bestFit="1" customWidth="1"/>
    <col min="6611" max="6611" width="9" style="8"/>
    <col min="6612" max="6612" width="40.5" style="8" customWidth="1"/>
    <col min="6613" max="6614" width="6.125" style="8" customWidth="1"/>
    <col min="6615" max="6620" width="6.75" style="8" customWidth="1"/>
    <col min="6621" max="6670" width="9.25" style="8" customWidth="1"/>
    <col min="6671" max="6671" width="2.625" style="8" customWidth="1"/>
    <col min="6672" max="6864" width="9" style="8"/>
    <col min="6865" max="6865" width="2.625" style="8" customWidth="1"/>
    <col min="6866" max="6866" width="9.25" style="8" bestFit="1" customWidth="1"/>
    <col min="6867" max="6867" width="9" style="8"/>
    <col min="6868" max="6868" width="40.5" style="8" customWidth="1"/>
    <col min="6869" max="6870" width="6.125" style="8" customWidth="1"/>
    <col min="6871" max="6876" width="6.75" style="8" customWidth="1"/>
    <col min="6877" max="6926" width="9.25" style="8" customWidth="1"/>
    <col min="6927" max="6927" width="2.625" style="8" customWidth="1"/>
    <col min="6928" max="7120" width="9" style="8"/>
    <col min="7121" max="7121" width="2.625" style="8" customWidth="1"/>
    <col min="7122" max="7122" width="9.25" style="8" bestFit="1" customWidth="1"/>
    <col min="7123" max="7123" width="9" style="8"/>
    <col min="7124" max="7124" width="40.5" style="8" customWidth="1"/>
    <col min="7125" max="7126" width="6.125" style="8" customWidth="1"/>
    <col min="7127" max="7132" width="6.75" style="8" customWidth="1"/>
    <col min="7133" max="7182" width="9.25" style="8" customWidth="1"/>
    <col min="7183" max="7183" width="2.625" style="8" customWidth="1"/>
    <col min="7184" max="7376" width="9" style="8"/>
    <col min="7377" max="7377" width="2.625" style="8" customWidth="1"/>
    <col min="7378" max="7378" width="9.25" style="8" bestFit="1" customWidth="1"/>
    <col min="7379" max="7379" width="9" style="8"/>
    <col min="7380" max="7380" width="40.5" style="8" customWidth="1"/>
    <col min="7381" max="7382" width="6.125" style="8" customWidth="1"/>
    <col min="7383" max="7388" width="6.75" style="8" customWidth="1"/>
    <col min="7389" max="7438" width="9.25" style="8" customWidth="1"/>
    <col min="7439" max="7439" width="2.625" style="8" customWidth="1"/>
    <col min="7440" max="7632" width="9" style="8"/>
    <col min="7633" max="7633" width="2.625" style="8" customWidth="1"/>
    <col min="7634" max="7634" width="9.25" style="8" bestFit="1" customWidth="1"/>
    <col min="7635" max="7635" width="9" style="8"/>
    <col min="7636" max="7636" width="40.5" style="8" customWidth="1"/>
    <col min="7637" max="7638" width="6.125" style="8" customWidth="1"/>
    <col min="7639" max="7644" width="6.75" style="8" customWidth="1"/>
    <col min="7645" max="7694" width="9.25" style="8" customWidth="1"/>
    <col min="7695" max="7695" width="2.625" style="8" customWidth="1"/>
    <col min="7696" max="7888" width="9" style="8"/>
    <col min="7889" max="7889" width="2.625" style="8" customWidth="1"/>
    <col min="7890" max="7890" width="9.25" style="8" bestFit="1" customWidth="1"/>
    <col min="7891" max="7891" width="9" style="8"/>
    <col min="7892" max="7892" width="40.5" style="8" customWidth="1"/>
    <col min="7893" max="7894" width="6.125" style="8" customWidth="1"/>
    <col min="7895" max="7900" width="6.75" style="8" customWidth="1"/>
    <col min="7901" max="7950" width="9.25" style="8" customWidth="1"/>
    <col min="7951" max="7951" width="2.625" style="8" customWidth="1"/>
    <col min="7952" max="8144" width="9" style="8"/>
    <col min="8145" max="8145" width="2.625" style="8" customWidth="1"/>
    <col min="8146" max="8146" width="9.25" style="8" bestFit="1" customWidth="1"/>
    <col min="8147" max="8147" width="9" style="8"/>
    <col min="8148" max="8148" width="40.5" style="8" customWidth="1"/>
    <col min="8149" max="8150" width="6.125" style="8" customWidth="1"/>
    <col min="8151" max="8156" width="6.75" style="8" customWidth="1"/>
    <col min="8157" max="8206" width="9.25" style="8" customWidth="1"/>
    <col min="8207" max="8207" width="2.625" style="8" customWidth="1"/>
    <col min="8208" max="8400" width="9" style="8"/>
    <col min="8401" max="8401" width="2.625" style="8" customWidth="1"/>
    <col min="8402" max="8402" width="9.25" style="8" bestFit="1" customWidth="1"/>
    <col min="8403" max="8403" width="9" style="8"/>
    <col min="8404" max="8404" width="40.5" style="8" customWidth="1"/>
    <col min="8405" max="8406" width="6.125" style="8" customWidth="1"/>
    <col min="8407" max="8412" width="6.75" style="8" customWidth="1"/>
    <col min="8413" max="8462" width="9.25" style="8" customWidth="1"/>
    <col min="8463" max="8463" width="2.625" style="8" customWidth="1"/>
    <col min="8464" max="8656" width="9" style="8"/>
    <col min="8657" max="8657" width="2.625" style="8" customWidth="1"/>
    <col min="8658" max="8658" width="9.25" style="8" bestFit="1" customWidth="1"/>
    <col min="8659" max="8659" width="9" style="8"/>
    <col min="8660" max="8660" width="40.5" style="8" customWidth="1"/>
    <col min="8661" max="8662" width="6.125" style="8" customWidth="1"/>
    <col min="8663" max="8668" width="6.75" style="8" customWidth="1"/>
    <col min="8669" max="8718" width="9.25" style="8" customWidth="1"/>
    <col min="8719" max="8719" width="2.625" style="8" customWidth="1"/>
    <col min="8720" max="8912" width="9" style="8"/>
    <col min="8913" max="8913" width="2.625" style="8" customWidth="1"/>
    <col min="8914" max="8914" width="9.25" style="8" bestFit="1" customWidth="1"/>
    <col min="8915" max="8915" width="9" style="8"/>
    <col min="8916" max="8916" width="40.5" style="8" customWidth="1"/>
    <col min="8917" max="8918" width="6.125" style="8" customWidth="1"/>
    <col min="8919" max="8924" width="6.75" style="8" customWidth="1"/>
    <col min="8925" max="8974" width="9.25" style="8" customWidth="1"/>
    <col min="8975" max="8975" width="2.625" style="8" customWidth="1"/>
    <col min="8976" max="9168" width="9" style="8"/>
    <col min="9169" max="9169" width="2.625" style="8" customWidth="1"/>
    <col min="9170" max="9170" width="9.25" style="8" bestFit="1" customWidth="1"/>
    <col min="9171" max="9171" width="9" style="8"/>
    <col min="9172" max="9172" width="40.5" style="8" customWidth="1"/>
    <col min="9173" max="9174" width="6.125" style="8" customWidth="1"/>
    <col min="9175" max="9180" width="6.75" style="8" customWidth="1"/>
    <col min="9181" max="9230" width="9.25" style="8" customWidth="1"/>
    <col min="9231" max="9231" width="2.625" style="8" customWidth="1"/>
    <col min="9232" max="9424" width="9" style="8"/>
    <col min="9425" max="9425" width="2.625" style="8" customWidth="1"/>
    <col min="9426" max="9426" width="9.25" style="8" bestFit="1" customWidth="1"/>
    <col min="9427" max="9427" width="9" style="8"/>
    <col min="9428" max="9428" width="40.5" style="8" customWidth="1"/>
    <col min="9429" max="9430" width="6.125" style="8" customWidth="1"/>
    <col min="9431" max="9436" width="6.75" style="8" customWidth="1"/>
    <col min="9437" max="9486" width="9.25" style="8" customWidth="1"/>
    <col min="9487" max="9487" width="2.625" style="8" customWidth="1"/>
    <col min="9488" max="9680" width="9" style="8"/>
    <col min="9681" max="9681" width="2.625" style="8" customWidth="1"/>
    <col min="9682" max="9682" width="9.25" style="8" bestFit="1" customWidth="1"/>
    <col min="9683" max="9683" width="9" style="8"/>
    <col min="9684" max="9684" width="40.5" style="8" customWidth="1"/>
    <col min="9685" max="9686" width="6.125" style="8" customWidth="1"/>
    <col min="9687" max="9692" width="6.75" style="8" customWidth="1"/>
    <col min="9693" max="9742" width="9.25" style="8" customWidth="1"/>
    <col min="9743" max="9743" width="2.625" style="8" customWidth="1"/>
    <col min="9744" max="9936" width="9" style="8"/>
    <col min="9937" max="9937" width="2.625" style="8" customWidth="1"/>
    <col min="9938" max="9938" width="9.25" style="8" bestFit="1" customWidth="1"/>
    <col min="9939" max="9939" width="9" style="8"/>
    <col min="9940" max="9940" width="40.5" style="8" customWidth="1"/>
    <col min="9941" max="9942" width="6.125" style="8" customWidth="1"/>
    <col min="9943" max="9948" width="6.75" style="8" customWidth="1"/>
    <col min="9949" max="9998" width="9.25" style="8" customWidth="1"/>
    <col min="9999" max="9999" width="2.625" style="8" customWidth="1"/>
    <col min="10000" max="10192" width="9" style="8"/>
    <col min="10193" max="10193" width="2.625" style="8" customWidth="1"/>
    <col min="10194" max="10194" width="9.25" style="8" bestFit="1" customWidth="1"/>
    <col min="10195" max="10195" width="9" style="8"/>
    <col min="10196" max="10196" width="40.5" style="8" customWidth="1"/>
    <col min="10197" max="10198" width="6.125" style="8" customWidth="1"/>
    <col min="10199" max="10204" width="6.75" style="8" customWidth="1"/>
    <col min="10205" max="10254" width="9.25" style="8" customWidth="1"/>
    <col min="10255" max="10255" width="2.625" style="8" customWidth="1"/>
    <col min="10256" max="10448" width="9" style="8"/>
    <col min="10449" max="10449" width="2.625" style="8" customWidth="1"/>
    <col min="10450" max="10450" width="9.25" style="8" bestFit="1" customWidth="1"/>
    <col min="10451" max="10451" width="9" style="8"/>
    <col min="10452" max="10452" width="40.5" style="8" customWidth="1"/>
    <col min="10453" max="10454" width="6.125" style="8" customWidth="1"/>
    <col min="10455" max="10460" width="6.75" style="8" customWidth="1"/>
    <col min="10461" max="10510" width="9.25" style="8" customWidth="1"/>
    <col min="10511" max="10511" width="2.625" style="8" customWidth="1"/>
    <col min="10512" max="10704" width="9" style="8"/>
    <col min="10705" max="10705" width="2.625" style="8" customWidth="1"/>
    <col min="10706" max="10706" width="9.25" style="8" bestFit="1" customWidth="1"/>
    <col min="10707" max="10707" width="9" style="8"/>
    <col min="10708" max="10708" width="40.5" style="8" customWidth="1"/>
    <col min="10709" max="10710" width="6.125" style="8" customWidth="1"/>
    <col min="10711" max="10716" width="6.75" style="8" customWidth="1"/>
    <col min="10717" max="10766" width="9.25" style="8" customWidth="1"/>
    <col min="10767" max="10767" width="2.625" style="8" customWidth="1"/>
    <col min="10768" max="10960" width="9" style="8"/>
    <col min="10961" max="10961" width="2.625" style="8" customWidth="1"/>
    <col min="10962" max="10962" width="9.25" style="8" bestFit="1" customWidth="1"/>
    <col min="10963" max="10963" width="9" style="8"/>
    <col min="10964" max="10964" width="40.5" style="8" customWidth="1"/>
    <col min="10965" max="10966" width="6.125" style="8" customWidth="1"/>
    <col min="10967" max="10972" width="6.75" style="8" customWidth="1"/>
    <col min="10973" max="11022" width="9.25" style="8" customWidth="1"/>
    <col min="11023" max="11023" width="2.625" style="8" customWidth="1"/>
    <col min="11024" max="11216" width="9" style="8"/>
    <col min="11217" max="11217" width="2.625" style="8" customWidth="1"/>
    <col min="11218" max="11218" width="9.25" style="8" bestFit="1" customWidth="1"/>
    <col min="11219" max="11219" width="9" style="8"/>
    <col min="11220" max="11220" width="40.5" style="8" customWidth="1"/>
    <col min="11221" max="11222" width="6.125" style="8" customWidth="1"/>
    <col min="11223" max="11228" width="6.75" style="8" customWidth="1"/>
    <col min="11229" max="11278" width="9.25" style="8" customWidth="1"/>
    <col min="11279" max="11279" width="2.625" style="8" customWidth="1"/>
    <col min="11280" max="11472" width="9" style="8"/>
    <col min="11473" max="11473" width="2.625" style="8" customWidth="1"/>
    <col min="11474" max="11474" width="9.25" style="8" bestFit="1" customWidth="1"/>
    <col min="11475" max="11475" width="9" style="8"/>
    <col min="11476" max="11476" width="40.5" style="8" customWidth="1"/>
    <col min="11477" max="11478" width="6.125" style="8" customWidth="1"/>
    <col min="11479" max="11484" width="6.75" style="8" customWidth="1"/>
    <col min="11485" max="11534" width="9.25" style="8" customWidth="1"/>
    <col min="11535" max="11535" width="2.625" style="8" customWidth="1"/>
    <col min="11536" max="11728" width="9" style="8"/>
    <col min="11729" max="11729" width="2.625" style="8" customWidth="1"/>
    <col min="11730" max="11730" width="9.25" style="8" bestFit="1" customWidth="1"/>
    <col min="11731" max="11731" width="9" style="8"/>
    <col min="11732" max="11732" width="40.5" style="8" customWidth="1"/>
    <col min="11733" max="11734" width="6.125" style="8" customWidth="1"/>
    <col min="11735" max="11740" width="6.75" style="8" customWidth="1"/>
    <col min="11741" max="11790" width="9.25" style="8" customWidth="1"/>
    <col min="11791" max="11791" width="2.625" style="8" customWidth="1"/>
    <col min="11792" max="11984" width="9" style="8"/>
    <col min="11985" max="11985" width="2.625" style="8" customWidth="1"/>
    <col min="11986" max="11986" width="9.25" style="8" bestFit="1" customWidth="1"/>
    <col min="11987" max="11987" width="9" style="8"/>
    <col min="11988" max="11988" width="40.5" style="8" customWidth="1"/>
    <col min="11989" max="11990" width="6.125" style="8" customWidth="1"/>
    <col min="11991" max="11996" width="6.75" style="8" customWidth="1"/>
    <col min="11997" max="12046" width="9.25" style="8" customWidth="1"/>
    <col min="12047" max="12047" width="2.625" style="8" customWidth="1"/>
    <col min="12048" max="12240" width="9" style="8"/>
    <col min="12241" max="12241" width="2.625" style="8" customWidth="1"/>
    <col min="12242" max="12242" width="9.25" style="8" bestFit="1" customWidth="1"/>
    <col min="12243" max="12243" width="9" style="8"/>
    <col min="12244" max="12244" width="40.5" style="8" customWidth="1"/>
    <col min="12245" max="12246" width="6.125" style="8" customWidth="1"/>
    <col min="12247" max="12252" width="6.75" style="8" customWidth="1"/>
    <col min="12253" max="12302" width="9.25" style="8" customWidth="1"/>
    <col min="12303" max="12303" width="2.625" style="8" customWidth="1"/>
    <col min="12304" max="12496" width="9" style="8"/>
    <col min="12497" max="12497" width="2.625" style="8" customWidth="1"/>
    <col min="12498" max="12498" width="9.25" style="8" bestFit="1" customWidth="1"/>
    <col min="12499" max="12499" width="9" style="8"/>
    <col min="12500" max="12500" width="40.5" style="8" customWidth="1"/>
    <col min="12501" max="12502" width="6.125" style="8" customWidth="1"/>
    <col min="12503" max="12508" width="6.75" style="8" customWidth="1"/>
    <col min="12509" max="12558" width="9.25" style="8" customWidth="1"/>
    <col min="12559" max="12559" width="2.625" style="8" customWidth="1"/>
    <col min="12560" max="12752" width="9" style="8"/>
    <col min="12753" max="12753" width="2.625" style="8" customWidth="1"/>
    <col min="12754" max="12754" width="9.25" style="8" bestFit="1" customWidth="1"/>
    <col min="12755" max="12755" width="9" style="8"/>
    <col min="12756" max="12756" width="40.5" style="8" customWidth="1"/>
    <col min="12757" max="12758" width="6.125" style="8" customWidth="1"/>
    <col min="12759" max="12764" width="6.75" style="8" customWidth="1"/>
    <col min="12765" max="12814" width="9.25" style="8" customWidth="1"/>
    <col min="12815" max="12815" width="2.625" style="8" customWidth="1"/>
    <col min="12816" max="13008" width="9" style="8"/>
    <col min="13009" max="13009" width="2.625" style="8" customWidth="1"/>
    <col min="13010" max="13010" width="9.25" style="8" bestFit="1" customWidth="1"/>
    <col min="13011" max="13011" width="9" style="8"/>
    <col min="13012" max="13012" width="40.5" style="8" customWidth="1"/>
    <col min="13013" max="13014" width="6.125" style="8" customWidth="1"/>
    <col min="13015" max="13020" width="6.75" style="8" customWidth="1"/>
    <col min="13021" max="13070" width="9.25" style="8" customWidth="1"/>
    <col min="13071" max="13071" width="2.625" style="8" customWidth="1"/>
    <col min="13072" max="13264" width="9" style="8"/>
    <col min="13265" max="13265" width="2.625" style="8" customWidth="1"/>
    <col min="13266" max="13266" width="9.25" style="8" bestFit="1" customWidth="1"/>
    <col min="13267" max="13267" width="9" style="8"/>
    <col min="13268" max="13268" width="40.5" style="8" customWidth="1"/>
    <col min="13269" max="13270" width="6.125" style="8" customWidth="1"/>
    <col min="13271" max="13276" width="6.75" style="8" customWidth="1"/>
    <col min="13277" max="13326" width="9.25" style="8" customWidth="1"/>
    <col min="13327" max="13327" width="2.625" style="8" customWidth="1"/>
    <col min="13328" max="13520" width="9" style="8"/>
    <col min="13521" max="13521" width="2.625" style="8" customWidth="1"/>
    <col min="13522" max="13522" width="9.25" style="8" bestFit="1" customWidth="1"/>
    <col min="13523" max="13523" width="9" style="8"/>
    <col min="13524" max="13524" width="40.5" style="8" customWidth="1"/>
    <col min="13525" max="13526" width="6.125" style="8" customWidth="1"/>
    <col min="13527" max="13532" width="6.75" style="8" customWidth="1"/>
    <col min="13533" max="13582" width="9.25" style="8" customWidth="1"/>
    <col min="13583" max="13583" width="2.625" style="8" customWidth="1"/>
    <col min="13584" max="13776" width="9" style="8"/>
    <col min="13777" max="13777" width="2.625" style="8" customWidth="1"/>
    <col min="13778" max="13778" width="9.25" style="8" bestFit="1" customWidth="1"/>
    <col min="13779" max="13779" width="9" style="8"/>
    <col min="13780" max="13780" width="40.5" style="8" customWidth="1"/>
    <col min="13781" max="13782" width="6.125" style="8" customWidth="1"/>
    <col min="13783" max="13788" width="6.75" style="8" customWidth="1"/>
    <col min="13789" max="13838" width="9.25" style="8" customWidth="1"/>
    <col min="13839" max="13839" width="2.625" style="8" customWidth="1"/>
    <col min="13840" max="14032" width="9" style="8"/>
    <col min="14033" max="14033" width="2.625" style="8" customWidth="1"/>
    <col min="14034" max="14034" width="9.25" style="8" bestFit="1" customWidth="1"/>
    <col min="14035" max="14035" width="9" style="8"/>
    <col min="14036" max="14036" width="40.5" style="8" customWidth="1"/>
    <col min="14037" max="14038" width="6.125" style="8" customWidth="1"/>
    <col min="14039" max="14044" width="6.75" style="8" customWidth="1"/>
    <col min="14045" max="14094" width="9.25" style="8" customWidth="1"/>
    <col min="14095" max="14095" width="2.625" style="8" customWidth="1"/>
    <col min="14096" max="14288" width="9" style="8"/>
    <col min="14289" max="14289" width="2.625" style="8" customWidth="1"/>
    <col min="14290" max="14290" width="9.25" style="8" bestFit="1" customWidth="1"/>
    <col min="14291" max="14291" width="9" style="8"/>
    <col min="14292" max="14292" width="40.5" style="8" customWidth="1"/>
    <col min="14293" max="14294" width="6.125" style="8" customWidth="1"/>
    <col min="14295" max="14300" width="6.75" style="8" customWidth="1"/>
    <col min="14301" max="14350" width="9.25" style="8" customWidth="1"/>
    <col min="14351" max="14351" width="2.625" style="8" customWidth="1"/>
    <col min="14352" max="14544" width="9" style="8"/>
    <col min="14545" max="14545" width="2.625" style="8" customWidth="1"/>
    <col min="14546" max="14546" width="9.25" style="8" bestFit="1" customWidth="1"/>
    <col min="14547" max="14547" width="9" style="8"/>
    <col min="14548" max="14548" width="40.5" style="8" customWidth="1"/>
    <col min="14549" max="14550" width="6.125" style="8" customWidth="1"/>
    <col min="14551" max="14556" width="6.75" style="8" customWidth="1"/>
    <col min="14557" max="14606" width="9.25" style="8" customWidth="1"/>
    <col min="14607" max="14607" width="2.625" style="8" customWidth="1"/>
    <col min="14608" max="14800" width="9" style="8"/>
    <col min="14801" max="14801" width="2.625" style="8" customWidth="1"/>
    <col min="14802" max="14802" width="9.25" style="8" bestFit="1" customWidth="1"/>
    <col min="14803" max="14803" width="9" style="8"/>
    <col min="14804" max="14804" width="40.5" style="8" customWidth="1"/>
    <col min="14805" max="14806" width="6.125" style="8" customWidth="1"/>
    <col min="14807" max="14812" width="6.75" style="8" customWidth="1"/>
    <col min="14813" max="14862" width="9.25" style="8" customWidth="1"/>
    <col min="14863" max="14863" width="2.625" style="8" customWidth="1"/>
    <col min="14864" max="15056" width="9" style="8"/>
    <col min="15057" max="15057" width="2.625" style="8" customWidth="1"/>
    <col min="15058" max="15058" width="9.25" style="8" bestFit="1" customWidth="1"/>
    <col min="15059" max="15059" width="9" style="8"/>
    <col min="15060" max="15060" width="40.5" style="8" customWidth="1"/>
    <col min="15061" max="15062" width="6.125" style="8" customWidth="1"/>
    <col min="15063" max="15068" width="6.75" style="8" customWidth="1"/>
    <col min="15069" max="15118" width="9.25" style="8" customWidth="1"/>
    <col min="15119" max="15119" width="2.625" style="8" customWidth="1"/>
    <col min="15120" max="15312" width="9" style="8"/>
    <col min="15313" max="15313" width="2.625" style="8" customWidth="1"/>
    <col min="15314" max="15314" width="9.25" style="8" bestFit="1" customWidth="1"/>
    <col min="15315" max="15315" width="9" style="8"/>
    <col min="15316" max="15316" width="40.5" style="8" customWidth="1"/>
    <col min="15317" max="15318" width="6.125" style="8" customWidth="1"/>
    <col min="15319" max="15324" width="6.75" style="8" customWidth="1"/>
    <col min="15325" max="15374" width="9.25" style="8" customWidth="1"/>
    <col min="15375" max="15375" width="2.625" style="8" customWidth="1"/>
    <col min="15376" max="15568" width="9" style="8"/>
    <col min="15569" max="15569" width="2.625" style="8" customWidth="1"/>
    <col min="15570" max="15570" width="9.25" style="8" bestFit="1" customWidth="1"/>
    <col min="15571" max="15571" width="9" style="8"/>
    <col min="15572" max="15572" width="40.5" style="8" customWidth="1"/>
    <col min="15573" max="15574" width="6.125" style="8" customWidth="1"/>
    <col min="15575" max="15580" width="6.75" style="8" customWidth="1"/>
    <col min="15581" max="15630" width="9.25" style="8" customWidth="1"/>
    <col min="15631" max="15631" width="2.625" style="8" customWidth="1"/>
    <col min="15632" max="15824" width="9" style="8"/>
    <col min="15825" max="15825" width="2.625" style="8" customWidth="1"/>
    <col min="15826" max="15826" width="9.25" style="8" bestFit="1" customWidth="1"/>
    <col min="15827" max="15827" width="9" style="8"/>
    <col min="15828" max="15828" width="40.5" style="8" customWidth="1"/>
    <col min="15829" max="15830" width="6.125" style="8" customWidth="1"/>
    <col min="15831" max="15836" width="6.75" style="8" customWidth="1"/>
    <col min="15837" max="15886" width="9.25" style="8" customWidth="1"/>
    <col min="15887" max="15887" width="2.625" style="8" customWidth="1"/>
    <col min="15888" max="16080" width="9" style="8"/>
    <col min="16081" max="16081" width="2.625" style="8" customWidth="1"/>
    <col min="16082" max="16082" width="9.25" style="8" bestFit="1" customWidth="1"/>
    <col min="16083" max="16083" width="9" style="8"/>
    <col min="16084" max="16084" width="40.5" style="8" customWidth="1"/>
    <col min="16085" max="16086" width="6.125" style="8" customWidth="1"/>
    <col min="16087" max="16092" width="6.75" style="8" customWidth="1"/>
    <col min="16093" max="16142" width="9.25" style="8" customWidth="1"/>
    <col min="16143" max="16143" width="2.625" style="8" customWidth="1"/>
    <col min="16144" max="16384" width="9" style="8"/>
  </cols>
  <sheetData>
    <row r="1" spans="1:15" s="5" customFormat="1" ht="13.5">
      <c r="K1" s="41"/>
      <c r="L1" s="41"/>
    </row>
    <row r="2" spans="1:15" s="7" customFormat="1" ht="18" customHeight="1">
      <c r="A2" s="72" t="s">
        <v>537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</row>
    <row r="3" spans="1:15" s="7" customFormat="1" ht="5.0999999999999996" customHeight="1" thickBot="1"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5" ht="18" customHeight="1">
      <c r="A4" s="361" t="s">
        <v>56</v>
      </c>
      <c r="B4" s="363"/>
      <c r="C4" s="363"/>
      <c r="D4" s="363" t="s">
        <v>57</v>
      </c>
      <c r="E4" s="363" t="s">
        <v>58</v>
      </c>
      <c r="F4" s="363" t="s">
        <v>12</v>
      </c>
      <c r="G4" s="363"/>
      <c r="H4" s="363"/>
      <c r="I4" s="363"/>
      <c r="J4" s="363"/>
      <c r="K4" s="507"/>
      <c r="L4" s="507" t="str">
        <f t="shared" ref="L4:N4" ca="1" si="0">HYPERLINK("[" &amp; MID(CELL("filename"),SEARCH("[",CELL("filename"))+1, SEARCH("]",CELL("filename"))-SEARCH("[",CELL("filename"))-1) &amp; "]'" &amp; INDIRECT(ADDRESS(COLUMN()-5,2,1,TRUE,"점검대상")) &amp; "'!A1",INDIRECT(ADDRESS(COLUMN()-5,2,1,TRUE,"점검대상")))</f>
        <v>SS(샘플)</v>
      </c>
      <c r="M4" s="505" t="str">
        <f t="shared" ca="1" si="0"/>
        <v>SS(샘플)_이행</v>
      </c>
      <c r="N4" s="505">
        <f t="shared" ca="1" si="0"/>
        <v>0</v>
      </c>
      <c r="O4" s="504"/>
    </row>
    <row r="5" spans="1:15" ht="17.25" thickBot="1">
      <c r="A5" s="74" t="s">
        <v>85</v>
      </c>
      <c r="B5" s="75" t="s">
        <v>108</v>
      </c>
      <c r="C5" s="75" t="s">
        <v>15</v>
      </c>
      <c r="D5" s="509"/>
      <c r="E5" s="509"/>
      <c r="F5" s="75" t="s">
        <v>61</v>
      </c>
      <c r="G5" s="75" t="s">
        <v>17</v>
      </c>
      <c r="H5" s="75" t="s">
        <v>62</v>
      </c>
      <c r="I5" s="75" t="s">
        <v>63</v>
      </c>
      <c r="J5" s="75" t="s">
        <v>39</v>
      </c>
      <c r="K5" s="508"/>
      <c r="L5" s="508"/>
      <c r="M5" s="506"/>
      <c r="N5" s="506"/>
      <c r="O5" s="504"/>
    </row>
    <row r="6" spans="1:15" ht="16.5" customHeight="1">
      <c r="A6" s="171" t="s">
        <v>241</v>
      </c>
      <c r="B6" s="94" t="s">
        <v>253</v>
      </c>
      <c r="C6" s="88" t="s">
        <v>294</v>
      </c>
      <c r="D6" s="77" t="s">
        <v>33</v>
      </c>
      <c r="E6" s="77">
        <v>4</v>
      </c>
      <c r="F6" s="77">
        <f ca="1">COUNTA($K6:INDIRECT(ADDRESS(ROW(),MATCH("",$4:$4,-1),1,1)))</f>
        <v>2</v>
      </c>
      <c r="G6" s="77">
        <f t="shared" ref="G6:G47" ca="1" si="1">F6-J6</f>
        <v>2</v>
      </c>
      <c r="H6" s="77">
        <f ca="1">COUNTIF($K6:INDIRECT(ADDRESS(ROW(),MATCH("",$4:$4,-1),1,1)),H$5)</f>
        <v>0</v>
      </c>
      <c r="I6" s="77">
        <f ca="1">COUNTIF($K6:INDIRECT(ADDRESS(ROW(),MATCH("",$4:$4,-1),1,1)),I$5)</f>
        <v>1</v>
      </c>
      <c r="J6" s="77">
        <f ca="1">COUNTIF($K6:INDIRECT(ADDRESS(ROW(),MATCH("",$4:$4,-1),1,1)),"N/A")</f>
        <v>0</v>
      </c>
      <c r="K6" s="89"/>
      <c r="L6" s="89" t="str" cm="1">
        <f t="array" aca="1" ref="L6" ca="1">IFERROR(INDEX('통합 점검결과'!$M:$M,MATCH(1,('통합 점검결과'!$B:$B=L$4)*('통합 점검결과'!$J:$J=$B6),0)),"")</f>
        <v>취약</v>
      </c>
      <c r="M6" s="90" t="str" cm="1">
        <f t="array" aca="1" ref="M6" ca="1">IFERROR(INDEX('통합 점검결과'!$M:$M,MATCH(1,('통합 점검결과'!$B:$B=M$4)*('통합 점검결과'!$J:$J=$B6),0)),"")</f>
        <v/>
      </c>
      <c r="N6" s="90" t="str" cm="1">
        <f t="array" aca="1" ref="N6" ca="1">IFERROR(INDEX('통합 점검결과'!$M:$M,MATCH(1,('통합 점검결과'!$B:$B=N$4)*('통합 점검결과'!$J:$J=$B6),0)),"")</f>
        <v/>
      </c>
    </row>
    <row r="7" spans="1:15" ht="16.5" customHeight="1">
      <c r="A7" s="172" t="s">
        <v>241</v>
      </c>
      <c r="B7" s="95" t="s">
        <v>254</v>
      </c>
      <c r="C7" s="91" t="s">
        <v>295</v>
      </c>
      <c r="D7" s="78" t="s">
        <v>34</v>
      </c>
      <c r="E7" s="78">
        <v>3</v>
      </c>
      <c r="F7" s="78">
        <f ca="1">COUNTA($K7:INDIRECT(ADDRESS(ROW(),MATCH("",$4:$4,-1),1,1)))</f>
        <v>2</v>
      </c>
      <c r="G7" s="78">
        <f t="shared" ca="1" si="1"/>
        <v>2</v>
      </c>
      <c r="H7" s="78">
        <f ca="1">COUNTIF($K7:INDIRECT(ADDRESS(ROW(),MATCH("",$4:$4,-1),1,1)),H$5)</f>
        <v>0</v>
      </c>
      <c r="I7" s="78">
        <f ca="1">COUNTIF($K7:INDIRECT(ADDRESS(ROW(),MATCH("",$4:$4,-1),1,1)),I$5)</f>
        <v>0</v>
      </c>
      <c r="J7" s="78">
        <f ca="1">COUNTIF($K7:INDIRECT(ADDRESS(ROW(),MATCH("",$4:$4,-1),1,1)),"N/A")</f>
        <v>0</v>
      </c>
      <c r="K7" s="92"/>
      <c r="L7" s="92" t="str" cm="1">
        <f t="array" aca="1" ref="L7" ca="1">IFERROR(INDEX('통합 점검결과'!$M:$M,MATCH(1,('통합 점검결과'!$B:$B=L$4)*('통합 점검결과'!$J:$J=$B7),0)),"")</f>
        <v/>
      </c>
      <c r="M7" s="93" t="str" cm="1">
        <f t="array" aca="1" ref="M7" ca="1">IFERROR(INDEX('통합 점검결과'!$M:$M,MATCH(1,('통합 점검결과'!$B:$B=M$4)*('통합 점검결과'!$J:$J=$B7),0)),"")</f>
        <v/>
      </c>
      <c r="N7" s="93" t="str" cm="1">
        <f t="array" aca="1" ref="N7" ca="1">IFERROR(INDEX('통합 점검결과'!$M:$M,MATCH(1,('통합 점검결과'!$B:$B=N$4)*('통합 점검결과'!$J:$J=$B7),0)),"")</f>
        <v/>
      </c>
    </row>
    <row r="8" spans="1:15" ht="16.5" customHeight="1">
      <c r="A8" s="172" t="s">
        <v>241</v>
      </c>
      <c r="B8" s="95" t="s">
        <v>255</v>
      </c>
      <c r="C8" s="91" t="s">
        <v>296</v>
      </c>
      <c r="D8" s="78" t="s">
        <v>33</v>
      </c>
      <c r="E8" s="78">
        <v>4</v>
      </c>
      <c r="F8" s="78">
        <f ca="1">COUNTA($K8:INDIRECT(ADDRESS(ROW(),MATCH("",$4:$4,-1),1,1)))</f>
        <v>2</v>
      </c>
      <c r="G8" s="78">
        <f t="shared" ca="1" si="1"/>
        <v>2</v>
      </c>
      <c r="H8" s="78">
        <f ca="1">COUNTIF($K8:INDIRECT(ADDRESS(ROW(),MATCH("",$4:$4,-1),1,1)),H$5)</f>
        <v>0</v>
      </c>
      <c r="I8" s="78">
        <f ca="1">COUNTIF($K8:INDIRECT(ADDRESS(ROW(),MATCH("",$4:$4,-1),1,1)),I$5)</f>
        <v>0</v>
      </c>
      <c r="J8" s="78">
        <f ca="1">COUNTIF($K8:INDIRECT(ADDRESS(ROW(),MATCH("",$4:$4,-1),1,1)),"N/A")</f>
        <v>0</v>
      </c>
      <c r="K8" s="92"/>
      <c r="L8" s="92" t="str" cm="1">
        <f t="array" aca="1" ref="L8" ca="1">IFERROR(INDEX('통합 점검결과'!$M:$M,MATCH(1,('통합 점검결과'!$B:$B=L$4)*('통합 점검결과'!$J:$J=$B8),0)),"")</f>
        <v/>
      </c>
      <c r="M8" s="93" t="str" cm="1">
        <f t="array" aca="1" ref="M8" ca="1">IFERROR(INDEX('통합 점검결과'!$M:$M,MATCH(1,('통합 점검결과'!$B:$B=M$4)*('통합 점검결과'!$J:$J=$B8),0)),"")</f>
        <v/>
      </c>
      <c r="N8" s="93" t="str" cm="1">
        <f t="array" aca="1" ref="N8" ca="1">IFERROR(INDEX('통합 점검결과'!$M:$M,MATCH(1,('통합 점검결과'!$B:$B=N$4)*('통합 점검결과'!$J:$J=$B8),0)),"")</f>
        <v/>
      </c>
    </row>
    <row r="9" spans="1:15" ht="16.5" customHeight="1">
      <c r="A9" s="172" t="s">
        <v>241</v>
      </c>
      <c r="B9" s="95" t="s">
        <v>256</v>
      </c>
      <c r="C9" s="91" t="s">
        <v>297</v>
      </c>
      <c r="D9" s="78" t="s">
        <v>33</v>
      </c>
      <c r="E9" s="78">
        <v>4</v>
      </c>
      <c r="F9" s="78">
        <f ca="1">COUNTA($K9:INDIRECT(ADDRESS(ROW(),MATCH("",$4:$4,-1),1,1)))</f>
        <v>2</v>
      </c>
      <c r="G9" s="78">
        <f t="shared" ca="1" si="1"/>
        <v>2</v>
      </c>
      <c r="H9" s="78">
        <f ca="1">COUNTIF($K9:INDIRECT(ADDRESS(ROW(),MATCH("",$4:$4,-1),1,1)),H$5)</f>
        <v>0</v>
      </c>
      <c r="I9" s="78">
        <f ca="1">COUNTIF($K9:INDIRECT(ADDRESS(ROW(),MATCH("",$4:$4,-1),1,1)),I$5)</f>
        <v>0</v>
      </c>
      <c r="J9" s="78">
        <f ca="1">COUNTIF($K9:INDIRECT(ADDRESS(ROW(),MATCH("",$4:$4,-1),1,1)),"N/A")</f>
        <v>0</v>
      </c>
      <c r="K9" s="92"/>
      <c r="L9" s="92" t="str" cm="1">
        <f t="array" aca="1" ref="L9" ca="1">IFERROR(INDEX('통합 점검결과'!$M:$M,MATCH(1,('통합 점검결과'!$B:$B=L$4)*('통합 점검결과'!$J:$J=$B9),0)),"")</f>
        <v/>
      </c>
      <c r="M9" s="93" t="str" cm="1">
        <f t="array" aca="1" ref="M9" ca="1">IFERROR(INDEX('통합 점검결과'!$M:$M,MATCH(1,('통합 점검결과'!$B:$B=M$4)*('통합 점검결과'!$J:$J=$B9),0)),"")</f>
        <v/>
      </c>
      <c r="N9" s="93" t="str" cm="1">
        <f t="array" aca="1" ref="N9" ca="1">IFERROR(INDEX('통합 점검결과'!$M:$M,MATCH(1,('통합 점검결과'!$B:$B=N$4)*('통합 점검결과'!$J:$J=$B9),0)),"")</f>
        <v/>
      </c>
    </row>
    <row r="10" spans="1:15" ht="16.5" customHeight="1">
      <c r="A10" s="172" t="s">
        <v>233</v>
      </c>
      <c r="B10" s="95" t="s">
        <v>257</v>
      </c>
      <c r="C10" s="91" t="s">
        <v>298</v>
      </c>
      <c r="D10" s="78" t="s">
        <v>33</v>
      </c>
      <c r="E10" s="78">
        <v>5</v>
      </c>
      <c r="F10" s="78">
        <f ca="1">COUNTA($K10:INDIRECT(ADDRESS(ROW(),MATCH("",$4:$4,-1),1,1)))</f>
        <v>2</v>
      </c>
      <c r="G10" s="78">
        <f t="shared" ca="1" si="1"/>
        <v>2</v>
      </c>
      <c r="H10" s="78">
        <f ca="1">COUNTIF($K10:INDIRECT(ADDRESS(ROW(),MATCH("",$4:$4,-1),1,1)),H$5)</f>
        <v>0</v>
      </c>
      <c r="I10" s="78">
        <f ca="1">COUNTIF($K10:INDIRECT(ADDRESS(ROW(),MATCH("",$4:$4,-1),1,1)),I$5)</f>
        <v>0</v>
      </c>
      <c r="J10" s="78">
        <f ca="1">COUNTIF($K10:INDIRECT(ADDRESS(ROW(),MATCH("",$4:$4,-1),1,1)),"N/A")</f>
        <v>0</v>
      </c>
      <c r="K10" s="92"/>
      <c r="L10" s="92" t="str" cm="1">
        <f t="array" aca="1" ref="L10" ca="1">IFERROR(INDEX('통합 점검결과'!$M:$M,MATCH(1,('통합 점검결과'!$B:$B=L$4)*('통합 점검결과'!$J:$J=$B10),0)),"")</f>
        <v/>
      </c>
      <c r="M10" s="93" t="str" cm="1">
        <f t="array" aca="1" ref="M10" ca="1">IFERROR(INDEX('통합 점검결과'!$M:$M,MATCH(1,('통합 점검결과'!$B:$B=M$4)*('통합 점검결과'!$J:$J=$B10),0)),"")</f>
        <v/>
      </c>
      <c r="N10" s="93" t="str" cm="1">
        <f t="array" aca="1" ref="N10" ca="1">IFERROR(INDEX('통합 점검결과'!$M:$M,MATCH(1,('통합 점검결과'!$B:$B=N$4)*('통합 점검결과'!$J:$J=$B10),0)),"")</f>
        <v/>
      </c>
    </row>
    <row r="11" spans="1:15" ht="16.5" customHeight="1">
      <c r="A11" s="172" t="s">
        <v>241</v>
      </c>
      <c r="B11" s="95" t="s">
        <v>258</v>
      </c>
      <c r="C11" s="91" t="s">
        <v>299</v>
      </c>
      <c r="D11" s="78" t="s">
        <v>33</v>
      </c>
      <c r="E11" s="78">
        <v>4</v>
      </c>
      <c r="F11" s="78">
        <f ca="1">COUNTA($K11:INDIRECT(ADDRESS(ROW(),MATCH("",$4:$4,-1),1,1)))</f>
        <v>2</v>
      </c>
      <c r="G11" s="78">
        <f t="shared" ca="1" si="1"/>
        <v>2</v>
      </c>
      <c r="H11" s="78">
        <f ca="1">COUNTIF($K11:INDIRECT(ADDRESS(ROW(),MATCH("",$4:$4,-1),1,1)),H$5)</f>
        <v>0</v>
      </c>
      <c r="I11" s="78">
        <f ca="1">COUNTIF($K11:INDIRECT(ADDRESS(ROW(),MATCH("",$4:$4,-1),1,1)),I$5)</f>
        <v>0</v>
      </c>
      <c r="J11" s="78">
        <f ca="1">COUNTIF($K11:INDIRECT(ADDRESS(ROW(),MATCH("",$4:$4,-1),1,1)),"N/A")</f>
        <v>0</v>
      </c>
      <c r="K11" s="92"/>
      <c r="L11" s="92" t="str" cm="1">
        <f t="array" aca="1" ref="L11" ca="1">IFERROR(INDEX('통합 점검결과'!$M:$M,MATCH(1,('통합 점검결과'!$B:$B=L$4)*('통합 점검결과'!$J:$J=$B11),0)),"")</f>
        <v/>
      </c>
      <c r="M11" s="93" t="str" cm="1">
        <f t="array" aca="1" ref="M11" ca="1">IFERROR(INDEX('통합 점검결과'!$M:$M,MATCH(1,('통합 점검결과'!$B:$B=M$4)*('통합 점검결과'!$J:$J=$B11),0)),"")</f>
        <v/>
      </c>
      <c r="N11" s="93" t="str" cm="1">
        <f t="array" aca="1" ref="N11" ca="1">IFERROR(INDEX('통합 점검결과'!$M:$M,MATCH(1,('통합 점검결과'!$B:$B=N$4)*('통합 점검결과'!$J:$J=$B11),0)),"")</f>
        <v/>
      </c>
    </row>
    <row r="12" spans="1:15" ht="16.5" customHeight="1">
      <c r="A12" s="172" t="s">
        <v>241</v>
      </c>
      <c r="B12" s="95" t="s">
        <v>259</v>
      </c>
      <c r="C12" s="91" t="s">
        <v>300</v>
      </c>
      <c r="D12" s="78" t="s">
        <v>33</v>
      </c>
      <c r="E12" s="78">
        <v>4</v>
      </c>
      <c r="F12" s="78">
        <f ca="1">COUNTA($K12:INDIRECT(ADDRESS(ROW(),MATCH("",$4:$4,-1),1,1)))</f>
        <v>2</v>
      </c>
      <c r="G12" s="78">
        <f t="shared" ca="1" si="1"/>
        <v>2</v>
      </c>
      <c r="H12" s="78">
        <f ca="1">COUNTIF($K12:INDIRECT(ADDRESS(ROW(),MATCH("",$4:$4,-1),1,1)),H$5)</f>
        <v>0</v>
      </c>
      <c r="I12" s="78">
        <f ca="1">COUNTIF($K12:INDIRECT(ADDRESS(ROW(),MATCH("",$4:$4,-1),1,1)),I$5)</f>
        <v>0</v>
      </c>
      <c r="J12" s="78">
        <f ca="1">COUNTIF($K12:INDIRECT(ADDRESS(ROW(),MATCH("",$4:$4,-1),1,1)),"N/A")</f>
        <v>0</v>
      </c>
      <c r="K12" s="92"/>
      <c r="L12" s="92" t="str" cm="1">
        <f t="array" aca="1" ref="L12" ca="1">IFERROR(INDEX('통합 점검결과'!$M:$M,MATCH(1,('통합 점검결과'!$B:$B=L$4)*('통합 점검결과'!$J:$J=$B12),0)),"")</f>
        <v/>
      </c>
      <c r="M12" s="93" t="str" cm="1">
        <f t="array" aca="1" ref="M12" ca="1">IFERROR(INDEX('통합 점검결과'!$M:$M,MATCH(1,('통합 점검결과'!$B:$B=M$4)*('통합 점검결과'!$J:$J=$B12),0)),"")</f>
        <v/>
      </c>
      <c r="N12" s="93" t="str" cm="1">
        <f t="array" aca="1" ref="N12" ca="1">IFERROR(INDEX('통합 점검결과'!$M:$M,MATCH(1,('통합 점검결과'!$B:$B=N$4)*('통합 점검결과'!$J:$J=$B12),0)),"")</f>
        <v/>
      </c>
    </row>
    <row r="13" spans="1:15" ht="16.5" customHeight="1">
      <c r="A13" s="172" t="s">
        <v>241</v>
      </c>
      <c r="B13" s="95" t="s">
        <v>260</v>
      </c>
      <c r="C13" s="91" t="s">
        <v>301</v>
      </c>
      <c r="D13" s="78" t="s">
        <v>34</v>
      </c>
      <c r="E13" s="78">
        <v>3</v>
      </c>
      <c r="F13" s="78">
        <f ca="1">COUNTA($K13:INDIRECT(ADDRESS(ROW(),MATCH("",$4:$4,-1),1,1)))</f>
        <v>2</v>
      </c>
      <c r="G13" s="78">
        <f t="shared" ca="1" si="1"/>
        <v>2</v>
      </c>
      <c r="H13" s="78">
        <f ca="1">COUNTIF($K13:INDIRECT(ADDRESS(ROW(),MATCH("",$4:$4,-1),1,1)),H$5)</f>
        <v>0</v>
      </c>
      <c r="I13" s="78">
        <f ca="1">COUNTIF($K13:INDIRECT(ADDRESS(ROW(),MATCH("",$4:$4,-1),1,1)),I$5)</f>
        <v>0</v>
      </c>
      <c r="J13" s="78">
        <f ca="1">COUNTIF($K13:INDIRECT(ADDRESS(ROW(),MATCH("",$4:$4,-1),1,1)),"N/A")</f>
        <v>0</v>
      </c>
      <c r="K13" s="92"/>
      <c r="L13" s="92" t="str" cm="1">
        <f t="array" aca="1" ref="L13" ca="1">IFERROR(INDEX('통합 점검결과'!$M:$M,MATCH(1,('통합 점검결과'!$B:$B=L$4)*('통합 점검결과'!$J:$J=$B13),0)),"")</f>
        <v/>
      </c>
      <c r="M13" s="93" t="str" cm="1">
        <f t="array" aca="1" ref="M13" ca="1">IFERROR(INDEX('통합 점검결과'!$M:$M,MATCH(1,('통합 점검결과'!$B:$B=M$4)*('통합 점검결과'!$J:$J=$B13),0)),"")</f>
        <v/>
      </c>
      <c r="N13" s="93" t="str" cm="1">
        <f t="array" aca="1" ref="N13" ca="1">IFERROR(INDEX('통합 점검결과'!$M:$M,MATCH(1,('통합 점검결과'!$B:$B=N$4)*('통합 점검결과'!$J:$J=$B13),0)),"")</f>
        <v/>
      </c>
    </row>
    <row r="14" spans="1:15" ht="16.5" customHeight="1">
      <c r="A14" s="172" t="s">
        <v>241</v>
      </c>
      <c r="B14" s="95" t="s">
        <v>261</v>
      </c>
      <c r="C14" s="91" t="s">
        <v>302</v>
      </c>
      <c r="D14" s="78" t="s">
        <v>35</v>
      </c>
      <c r="E14" s="78">
        <v>2</v>
      </c>
      <c r="F14" s="78">
        <f ca="1">COUNTA($K14:INDIRECT(ADDRESS(ROW(),MATCH("",$4:$4,-1),1,1)))</f>
        <v>2</v>
      </c>
      <c r="G14" s="78">
        <f t="shared" ca="1" si="1"/>
        <v>2</v>
      </c>
      <c r="H14" s="78">
        <f ca="1">COUNTIF($K14:INDIRECT(ADDRESS(ROW(),MATCH("",$4:$4,-1),1,1)),H$5)</f>
        <v>0</v>
      </c>
      <c r="I14" s="78">
        <f ca="1">COUNTIF($K14:INDIRECT(ADDRESS(ROW(),MATCH("",$4:$4,-1),1,1)),I$5)</f>
        <v>0</v>
      </c>
      <c r="J14" s="78">
        <f ca="1">COUNTIF($K14:INDIRECT(ADDRESS(ROW(),MATCH("",$4:$4,-1),1,1)),"N/A")</f>
        <v>0</v>
      </c>
      <c r="K14" s="92"/>
      <c r="L14" s="92" t="str" cm="1">
        <f t="array" aca="1" ref="L14" ca="1">IFERROR(INDEX('통합 점검결과'!$M:$M,MATCH(1,('통합 점검결과'!$B:$B=L$4)*('통합 점검결과'!$J:$J=$B14),0)),"")</f>
        <v/>
      </c>
      <c r="M14" s="93" t="str" cm="1">
        <f t="array" aca="1" ref="M14" ca="1">IFERROR(INDEX('통합 점검결과'!$M:$M,MATCH(1,('통합 점검결과'!$B:$B=M$4)*('통합 점검결과'!$J:$J=$B14),0)),"")</f>
        <v/>
      </c>
      <c r="N14" s="93" t="str" cm="1">
        <f t="array" aca="1" ref="N14" ca="1">IFERROR(INDEX('통합 점검결과'!$M:$M,MATCH(1,('통합 점검결과'!$B:$B=N$4)*('통합 점검결과'!$J:$J=$B14),0)),"")</f>
        <v/>
      </c>
    </row>
    <row r="15" spans="1:15" ht="16.5" customHeight="1">
      <c r="A15" s="172" t="s">
        <v>241</v>
      </c>
      <c r="B15" s="95" t="s">
        <v>262</v>
      </c>
      <c r="C15" s="91" t="s">
        <v>303</v>
      </c>
      <c r="D15" s="78" t="s">
        <v>35</v>
      </c>
      <c r="E15" s="78">
        <v>2</v>
      </c>
      <c r="F15" s="78">
        <f ca="1">COUNTA($K15:INDIRECT(ADDRESS(ROW(),MATCH("",$4:$4,-1),1,1)))</f>
        <v>2</v>
      </c>
      <c r="G15" s="78">
        <f t="shared" ca="1" si="1"/>
        <v>2</v>
      </c>
      <c r="H15" s="78">
        <f ca="1">COUNTIF($K15:INDIRECT(ADDRESS(ROW(),MATCH("",$4:$4,-1),1,1)),H$5)</f>
        <v>0</v>
      </c>
      <c r="I15" s="78">
        <f ca="1">COUNTIF($K15:INDIRECT(ADDRESS(ROW(),MATCH("",$4:$4,-1),1,1)),I$5)</f>
        <v>0</v>
      </c>
      <c r="J15" s="78">
        <f ca="1">COUNTIF($K15:INDIRECT(ADDRESS(ROW(),MATCH("",$4:$4,-1),1,1)),"N/A")</f>
        <v>0</v>
      </c>
      <c r="K15" s="92"/>
      <c r="L15" s="92" t="str" cm="1">
        <f t="array" aca="1" ref="L15" ca="1">IFERROR(INDEX('통합 점검결과'!$M:$M,MATCH(1,('통합 점검결과'!$B:$B=L$4)*('통합 점검결과'!$J:$J=$B15),0)),"")</f>
        <v/>
      </c>
      <c r="M15" s="93" t="str" cm="1">
        <f t="array" aca="1" ref="M15" ca="1">IFERROR(INDEX('통합 점검결과'!$M:$M,MATCH(1,('통합 점검결과'!$B:$B=M$4)*('통합 점검결과'!$J:$J=$B15),0)),"")</f>
        <v/>
      </c>
      <c r="N15" s="93" t="str" cm="1">
        <f t="array" aca="1" ref="N15" ca="1">IFERROR(INDEX('통합 점검결과'!$M:$M,MATCH(1,('통합 점검결과'!$B:$B=N$4)*('통합 점검결과'!$J:$J=$B15),0)),"")</f>
        <v/>
      </c>
    </row>
    <row r="16" spans="1:15" ht="16.5" customHeight="1">
      <c r="A16" s="172" t="s">
        <v>241</v>
      </c>
      <c r="B16" s="95" t="s">
        <v>263</v>
      </c>
      <c r="C16" s="91" t="s">
        <v>304</v>
      </c>
      <c r="D16" s="78" t="s">
        <v>35</v>
      </c>
      <c r="E16" s="78">
        <v>2</v>
      </c>
      <c r="F16" s="78">
        <f ca="1">COUNTA($K16:INDIRECT(ADDRESS(ROW(),MATCH("",$4:$4,-1),1,1)))</f>
        <v>2</v>
      </c>
      <c r="G16" s="78">
        <f t="shared" ca="1" si="1"/>
        <v>2</v>
      </c>
      <c r="H16" s="78">
        <f ca="1">COUNTIF($K16:INDIRECT(ADDRESS(ROW(),MATCH("",$4:$4,-1),1,1)),H$5)</f>
        <v>0</v>
      </c>
      <c r="I16" s="78">
        <f ca="1">COUNTIF($K16:INDIRECT(ADDRESS(ROW(),MATCH("",$4:$4,-1),1,1)),I$5)</f>
        <v>0</v>
      </c>
      <c r="J16" s="78">
        <f ca="1">COUNTIF($K16:INDIRECT(ADDRESS(ROW(),MATCH("",$4:$4,-1),1,1)),"N/A")</f>
        <v>0</v>
      </c>
      <c r="K16" s="92"/>
      <c r="L16" s="92" t="str" cm="1">
        <f t="array" aca="1" ref="L16" ca="1">IFERROR(INDEX('통합 점검결과'!$M:$M,MATCH(1,('통합 점검결과'!$B:$B=L$4)*('통합 점검결과'!$J:$J=$B16),0)),"")</f>
        <v/>
      </c>
      <c r="M16" s="93" t="str" cm="1">
        <f t="array" aca="1" ref="M16" ca="1">IFERROR(INDEX('통합 점검결과'!$M:$M,MATCH(1,('통합 점검결과'!$B:$B=M$4)*('통합 점검결과'!$J:$J=$B16),0)),"")</f>
        <v/>
      </c>
      <c r="N16" s="93" t="str" cm="1">
        <f t="array" aca="1" ref="N16" ca="1">IFERROR(INDEX('통합 점검결과'!$M:$M,MATCH(1,('통합 점검결과'!$B:$B=N$4)*('통합 점검결과'!$J:$J=$B16),0)),"")</f>
        <v/>
      </c>
    </row>
    <row r="17" spans="1:14" ht="16.5" customHeight="1">
      <c r="A17" s="172" t="s">
        <v>241</v>
      </c>
      <c r="B17" s="95" t="s">
        <v>264</v>
      </c>
      <c r="C17" s="91" t="s">
        <v>305</v>
      </c>
      <c r="D17" s="78" t="s">
        <v>35</v>
      </c>
      <c r="E17" s="78">
        <v>2</v>
      </c>
      <c r="F17" s="78">
        <f ca="1">COUNTA($K17:INDIRECT(ADDRESS(ROW(),MATCH("",$4:$4,-1),1,1)))</f>
        <v>2</v>
      </c>
      <c r="G17" s="78">
        <f t="shared" ca="1" si="1"/>
        <v>2</v>
      </c>
      <c r="H17" s="78">
        <f ca="1">COUNTIF($K17:INDIRECT(ADDRESS(ROW(),MATCH("",$4:$4,-1),1,1)),H$5)</f>
        <v>0</v>
      </c>
      <c r="I17" s="78">
        <f ca="1">COUNTIF($K17:INDIRECT(ADDRESS(ROW(),MATCH("",$4:$4,-1),1,1)),I$5)</f>
        <v>0</v>
      </c>
      <c r="J17" s="78">
        <f ca="1">COUNTIF($K17:INDIRECT(ADDRESS(ROW(),MATCH("",$4:$4,-1),1,1)),"N/A")</f>
        <v>0</v>
      </c>
      <c r="K17" s="92"/>
      <c r="L17" s="92" t="str" cm="1">
        <f t="array" aca="1" ref="L17" ca="1">IFERROR(INDEX('통합 점검결과'!$M:$M,MATCH(1,('통합 점검결과'!$B:$B=L$4)*('통합 점검결과'!$J:$J=$B17),0)),"")</f>
        <v/>
      </c>
      <c r="M17" s="93" t="str" cm="1">
        <f t="array" aca="1" ref="M17" ca="1">IFERROR(INDEX('통합 점검결과'!$M:$M,MATCH(1,('통합 점검결과'!$B:$B=M$4)*('통합 점검결과'!$J:$J=$B17),0)),"")</f>
        <v/>
      </c>
      <c r="N17" s="93" t="str" cm="1">
        <f t="array" aca="1" ref="N17" ca="1">IFERROR(INDEX('통합 점검결과'!$M:$M,MATCH(1,('통합 점검결과'!$B:$B=N$4)*('통합 점검결과'!$J:$J=$B17),0)),"")</f>
        <v/>
      </c>
    </row>
    <row r="18" spans="1:14" ht="16.5" customHeight="1">
      <c r="A18" s="172" t="s">
        <v>241</v>
      </c>
      <c r="B18" s="95" t="s">
        <v>265</v>
      </c>
      <c r="C18" s="91" t="s">
        <v>306</v>
      </c>
      <c r="D18" s="78" t="s">
        <v>35</v>
      </c>
      <c r="E18" s="78">
        <v>2</v>
      </c>
      <c r="F18" s="78">
        <f ca="1">COUNTA($K18:INDIRECT(ADDRESS(ROW(),MATCH("",$4:$4,-1),1,1)))</f>
        <v>2</v>
      </c>
      <c r="G18" s="78">
        <f t="shared" ca="1" si="1"/>
        <v>2</v>
      </c>
      <c r="H18" s="78">
        <f ca="1">COUNTIF($K18:INDIRECT(ADDRESS(ROW(),MATCH("",$4:$4,-1),1,1)),H$5)</f>
        <v>0</v>
      </c>
      <c r="I18" s="78">
        <f ca="1">COUNTIF($K18:INDIRECT(ADDRESS(ROW(),MATCH("",$4:$4,-1),1,1)),I$5)</f>
        <v>0</v>
      </c>
      <c r="J18" s="78">
        <f ca="1">COUNTIF($K18:INDIRECT(ADDRESS(ROW(),MATCH("",$4:$4,-1),1,1)),"N/A")</f>
        <v>0</v>
      </c>
      <c r="K18" s="92"/>
      <c r="L18" s="92" t="str" cm="1">
        <f t="array" aca="1" ref="L18" ca="1">IFERROR(INDEX('통합 점검결과'!$M:$M,MATCH(1,('통합 점검결과'!$B:$B=L$4)*('통합 점검결과'!$J:$J=$B18),0)),"")</f>
        <v/>
      </c>
      <c r="M18" s="93" t="str" cm="1">
        <f t="array" aca="1" ref="M18" ca="1">IFERROR(INDEX('통합 점검결과'!$M:$M,MATCH(1,('통합 점검결과'!$B:$B=M$4)*('통합 점검결과'!$J:$J=$B18),0)),"")</f>
        <v/>
      </c>
      <c r="N18" s="93" t="str" cm="1">
        <f t="array" aca="1" ref="N18" ca="1">IFERROR(INDEX('통합 점검결과'!$M:$M,MATCH(1,('통합 점검결과'!$B:$B=N$4)*('통합 점검결과'!$J:$J=$B18),0)),"")</f>
        <v/>
      </c>
    </row>
    <row r="19" spans="1:14" ht="16.5" customHeight="1">
      <c r="A19" s="172" t="s">
        <v>241</v>
      </c>
      <c r="B19" s="95" t="s">
        <v>266</v>
      </c>
      <c r="C19" s="91" t="s">
        <v>307</v>
      </c>
      <c r="D19" s="78" t="s">
        <v>33</v>
      </c>
      <c r="E19" s="78">
        <v>4</v>
      </c>
      <c r="F19" s="78">
        <f ca="1">COUNTA($K19:INDIRECT(ADDRESS(ROW(),MATCH("",$4:$4,-1),1,1)))</f>
        <v>2</v>
      </c>
      <c r="G19" s="78">
        <f t="shared" ca="1" si="1"/>
        <v>2</v>
      </c>
      <c r="H19" s="78">
        <f ca="1">COUNTIF($K19:INDIRECT(ADDRESS(ROW(),MATCH("",$4:$4,-1),1,1)),H$5)</f>
        <v>0</v>
      </c>
      <c r="I19" s="78">
        <f ca="1">COUNTIF($K19:INDIRECT(ADDRESS(ROW(),MATCH("",$4:$4,-1),1,1)),I$5)</f>
        <v>0</v>
      </c>
      <c r="J19" s="78">
        <f ca="1">COUNTIF($K19:INDIRECT(ADDRESS(ROW(),MATCH("",$4:$4,-1),1,1)),"N/A")</f>
        <v>0</v>
      </c>
      <c r="K19" s="92"/>
      <c r="L19" s="92" t="str" cm="1">
        <f t="array" aca="1" ref="L19" ca="1">IFERROR(INDEX('통합 점검결과'!$M:$M,MATCH(1,('통합 점검결과'!$B:$B=L$4)*('통합 점검결과'!$J:$J=$B19),0)),"")</f>
        <v/>
      </c>
      <c r="M19" s="93" t="str" cm="1">
        <f t="array" aca="1" ref="M19" ca="1">IFERROR(INDEX('통합 점검결과'!$M:$M,MATCH(1,('통합 점검결과'!$B:$B=M$4)*('통합 점검결과'!$J:$J=$B19),0)),"")</f>
        <v/>
      </c>
      <c r="N19" s="93" t="str" cm="1">
        <f t="array" aca="1" ref="N19" ca="1">IFERROR(INDEX('통합 점검결과'!$M:$M,MATCH(1,('통합 점검결과'!$B:$B=N$4)*('통합 점검결과'!$J:$J=$B19),0)),"")</f>
        <v/>
      </c>
    </row>
    <row r="20" spans="1:14" ht="16.5" customHeight="1">
      <c r="A20" s="172" t="s">
        <v>241</v>
      </c>
      <c r="B20" s="95" t="s">
        <v>267</v>
      </c>
      <c r="C20" s="91" t="s">
        <v>598</v>
      </c>
      <c r="D20" s="78" t="s">
        <v>33</v>
      </c>
      <c r="E20" s="78">
        <v>4</v>
      </c>
      <c r="F20" s="78">
        <f ca="1">COUNTA($K20:INDIRECT(ADDRESS(ROW(),MATCH("",$4:$4,-1),1,1)))</f>
        <v>2</v>
      </c>
      <c r="G20" s="78">
        <f t="shared" ca="1" si="1"/>
        <v>2</v>
      </c>
      <c r="H20" s="78">
        <f ca="1">COUNTIF($K20:INDIRECT(ADDRESS(ROW(),MATCH("",$4:$4,-1),1,1)),H$5)</f>
        <v>0</v>
      </c>
      <c r="I20" s="78">
        <f ca="1">COUNTIF($K20:INDIRECT(ADDRESS(ROW(),MATCH("",$4:$4,-1),1,1)),I$5)</f>
        <v>0</v>
      </c>
      <c r="J20" s="78">
        <f ca="1">COUNTIF($K20:INDIRECT(ADDRESS(ROW(),MATCH("",$4:$4,-1),1,1)),"N/A")</f>
        <v>0</v>
      </c>
      <c r="K20" s="92"/>
      <c r="L20" s="92" t="str" cm="1">
        <f t="array" aca="1" ref="L20" ca="1">IFERROR(INDEX('통합 점검결과'!$M:$M,MATCH(1,('통합 점검결과'!$B:$B=L$4)*('통합 점검결과'!$J:$J=$B20),0)),"")</f>
        <v/>
      </c>
      <c r="M20" s="93" t="str" cm="1">
        <f t="array" aca="1" ref="M20" ca="1">IFERROR(INDEX('통합 점검결과'!$M:$M,MATCH(1,('통합 점검결과'!$B:$B=M$4)*('통합 점검결과'!$J:$J=$B20),0)),"")</f>
        <v/>
      </c>
      <c r="N20" s="93" t="str" cm="1">
        <f t="array" aca="1" ref="N20" ca="1">IFERROR(INDEX('통합 점검결과'!$M:$M,MATCH(1,('통합 점검결과'!$B:$B=N$4)*('통합 점검결과'!$J:$J=$B20),0)),"")</f>
        <v/>
      </c>
    </row>
    <row r="21" spans="1:14" ht="16.5" customHeight="1">
      <c r="A21" s="172" t="s">
        <v>241</v>
      </c>
      <c r="B21" s="95" t="s">
        <v>268</v>
      </c>
      <c r="C21" s="91" t="s">
        <v>308</v>
      </c>
      <c r="D21" s="78" t="s">
        <v>33</v>
      </c>
      <c r="E21" s="78">
        <v>5</v>
      </c>
      <c r="F21" s="78">
        <f ca="1">COUNTA($K21:INDIRECT(ADDRESS(ROW(),MATCH("",$4:$4,-1),1,1)))</f>
        <v>2</v>
      </c>
      <c r="G21" s="78">
        <f t="shared" ca="1" si="1"/>
        <v>2</v>
      </c>
      <c r="H21" s="78">
        <f ca="1">COUNTIF($K21:INDIRECT(ADDRESS(ROW(),MATCH("",$4:$4,-1),1,1)),H$5)</f>
        <v>0</v>
      </c>
      <c r="I21" s="78">
        <f ca="1">COUNTIF($K21:INDIRECT(ADDRESS(ROW(),MATCH("",$4:$4,-1),1,1)),I$5)</f>
        <v>0</v>
      </c>
      <c r="J21" s="78">
        <f ca="1">COUNTIF($K21:INDIRECT(ADDRESS(ROW(),MATCH("",$4:$4,-1),1,1)),"N/A")</f>
        <v>0</v>
      </c>
      <c r="K21" s="92"/>
      <c r="L21" s="92" t="str" cm="1">
        <f t="array" aca="1" ref="L21" ca="1">IFERROR(INDEX('통합 점검결과'!$M:$M,MATCH(1,('통합 점검결과'!$B:$B=L$4)*('통합 점검결과'!$J:$J=$B21),0)),"")</f>
        <v/>
      </c>
      <c r="M21" s="93" t="str" cm="1">
        <f t="array" aca="1" ref="M21" ca="1">IFERROR(INDEX('통합 점검결과'!$M:$M,MATCH(1,('통합 점검결과'!$B:$B=M$4)*('통합 점검결과'!$J:$J=$B21),0)),"")</f>
        <v/>
      </c>
      <c r="N21" s="93" t="str" cm="1">
        <f t="array" aca="1" ref="N21" ca="1">IFERROR(INDEX('통합 점검결과'!$M:$M,MATCH(1,('통합 점검결과'!$B:$B=N$4)*('통합 점검결과'!$J:$J=$B21),0)),"")</f>
        <v/>
      </c>
    </row>
    <row r="22" spans="1:14" ht="16.5" customHeight="1">
      <c r="A22" s="172" t="s">
        <v>242</v>
      </c>
      <c r="B22" s="95" t="s">
        <v>269</v>
      </c>
      <c r="C22" s="91" t="s">
        <v>309</v>
      </c>
      <c r="D22" s="78" t="s">
        <v>33</v>
      </c>
      <c r="E22" s="78">
        <v>4</v>
      </c>
      <c r="F22" s="78">
        <f ca="1">COUNTA($K22:INDIRECT(ADDRESS(ROW(),MATCH("",$4:$4,-1),1,1)))</f>
        <v>2</v>
      </c>
      <c r="G22" s="78">
        <f t="shared" ca="1" si="1"/>
        <v>2</v>
      </c>
      <c r="H22" s="78">
        <f ca="1">COUNTIF($K22:INDIRECT(ADDRESS(ROW(),MATCH("",$4:$4,-1),1,1)),H$5)</f>
        <v>0</v>
      </c>
      <c r="I22" s="78">
        <f ca="1">COUNTIF($K22:INDIRECT(ADDRESS(ROW(),MATCH("",$4:$4,-1),1,1)),I$5)</f>
        <v>0</v>
      </c>
      <c r="J22" s="78">
        <f ca="1">COUNTIF($K22:INDIRECT(ADDRESS(ROW(),MATCH("",$4:$4,-1),1,1)),"N/A")</f>
        <v>0</v>
      </c>
      <c r="K22" s="92"/>
      <c r="L22" s="92" t="str" cm="1">
        <f t="array" aca="1" ref="L22" ca="1">IFERROR(INDEX('통합 점검결과'!$M:$M,MATCH(1,('통합 점검결과'!$B:$B=L$4)*('통합 점검결과'!$J:$J=$B22),0)),"")</f>
        <v/>
      </c>
      <c r="M22" s="93" t="str" cm="1">
        <f t="array" aca="1" ref="M22" ca="1">IFERROR(INDEX('통합 점검결과'!$M:$M,MATCH(1,('통합 점검결과'!$B:$B=M$4)*('통합 점검결과'!$J:$J=$B22),0)),"")</f>
        <v/>
      </c>
      <c r="N22" s="93" t="str" cm="1">
        <f t="array" aca="1" ref="N22" ca="1">IFERROR(INDEX('통합 점검결과'!$M:$M,MATCH(1,('통합 점검결과'!$B:$B=N$4)*('통합 점검결과'!$J:$J=$B22),0)),"")</f>
        <v/>
      </c>
    </row>
    <row r="23" spans="1:14" ht="16.5" customHeight="1">
      <c r="A23" s="172" t="s">
        <v>242</v>
      </c>
      <c r="B23" s="95" t="s">
        <v>270</v>
      </c>
      <c r="C23" s="91" t="s">
        <v>310</v>
      </c>
      <c r="D23" s="78" t="s">
        <v>33</v>
      </c>
      <c r="E23" s="78">
        <v>4</v>
      </c>
      <c r="F23" s="78">
        <f ca="1">COUNTA($K23:INDIRECT(ADDRESS(ROW(),MATCH("",$4:$4,-1),1,1)))</f>
        <v>2</v>
      </c>
      <c r="G23" s="78">
        <f t="shared" ca="1" si="1"/>
        <v>2</v>
      </c>
      <c r="H23" s="78">
        <f ca="1">COUNTIF($K23:INDIRECT(ADDRESS(ROW(),MATCH("",$4:$4,-1),1,1)),H$5)</f>
        <v>0</v>
      </c>
      <c r="I23" s="78">
        <f ca="1">COUNTIF($K23:INDIRECT(ADDRESS(ROW(),MATCH("",$4:$4,-1),1,1)),I$5)</f>
        <v>0</v>
      </c>
      <c r="J23" s="78">
        <f ca="1">COUNTIF($K23:INDIRECT(ADDRESS(ROW(),MATCH("",$4:$4,-1),1,1)),"N/A")</f>
        <v>0</v>
      </c>
      <c r="K23" s="92"/>
      <c r="L23" s="92" t="str" cm="1">
        <f t="array" aca="1" ref="L23" ca="1">IFERROR(INDEX('통합 점검결과'!$M:$M,MATCH(1,('통합 점검결과'!$B:$B=L$4)*('통합 점검결과'!$J:$J=$B23),0)),"")</f>
        <v/>
      </c>
      <c r="M23" s="93" t="str" cm="1">
        <f t="array" aca="1" ref="M23" ca="1">IFERROR(INDEX('통합 점검결과'!$M:$M,MATCH(1,('통합 점검결과'!$B:$B=M$4)*('통합 점검결과'!$J:$J=$B23),0)),"")</f>
        <v/>
      </c>
      <c r="N23" s="93" t="str" cm="1">
        <f t="array" aca="1" ref="N23" ca="1">IFERROR(INDEX('통합 점검결과'!$M:$M,MATCH(1,('통합 점검결과'!$B:$B=N$4)*('통합 점검결과'!$J:$J=$B23),0)),"")</f>
        <v/>
      </c>
    </row>
    <row r="24" spans="1:14" ht="16.5" customHeight="1">
      <c r="A24" s="172" t="s">
        <v>242</v>
      </c>
      <c r="B24" s="95" t="s">
        <v>271</v>
      </c>
      <c r="C24" s="91" t="s">
        <v>311</v>
      </c>
      <c r="D24" s="78" t="s">
        <v>33</v>
      </c>
      <c r="E24" s="78">
        <v>5</v>
      </c>
      <c r="F24" s="78">
        <f ca="1">COUNTA($K24:INDIRECT(ADDRESS(ROW(),MATCH("",$4:$4,-1),1,1)))</f>
        <v>2</v>
      </c>
      <c r="G24" s="78">
        <f t="shared" ca="1" si="1"/>
        <v>2</v>
      </c>
      <c r="H24" s="78">
        <f ca="1">COUNTIF($K24:INDIRECT(ADDRESS(ROW(),MATCH("",$4:$4,-1),1,1)),H$5)</f>
        <v>0</v>
      </c>
      <c r="I24" s="78">
        <f ca="1">COUNTIF($K24:INDIRECT(ADDRESS(ROW(),MATCH("",$4:$4,-1),1,1)),I$5)</f>
        <v>0</v>
      </c>
      <c r="J24" s="78">
        <f ca="1">COUNTIF($K24:INDIRECT(ADDRESS(ROW(),MATCH("",$4:$4,-1),1,1)),"N/A")</f>
        <v>0</v>
      </c>
      <c r="K24" s="92"/>
      <c r="L24" s="92" t="str" cm="1">
        <f t="array" aca="1" ref="L24" ca="1">IFERROR(INDEX('통합 점검결과'!$M:$M,MATCH(1,('통합 점검결과'!$B:$B=L$4)*('통합 점검결과'!$J:$J=$B24),0)),"")</f>
        <v/>
      </c>
      <c r="M24" s="93" t="str" cm="1">
        <f t="array" aca="1" ref="M24" ca="1">IFERROR(INDEX('통합 점검결과'!$M:$M,MATCH(1,('통합 점검결과'!$B:$B=M$4)*('통합 점검결과'!$J:$J=$B24),0)),"")</f>
        <v/>
      </c>
      <c r="N24" s="93" t="str" cm="1">
        <f t="array" aca="1" ref="N24" ca="1">IFERROR(INDEX('통합 점검결과'!$M:$M,MATCH(1,('통합 점검결과'!$B:$B=N$4)*('통합 점검결과'!$J:$J=$B24),0)),"")</f>
        <v/>
      </c>
    </row>
    <row r="25" spans="1:14" ht="16.5" customHeight="1">
      <c r="A25" s="172" t="s">
        <v>242</v>
      </c>
      <c r="B25" s="95" t="s">
        <v>272</v>
      </c>
      <c r="C25" s="91" t="s">
        <v>312</v>
      </c>
      <c r="D25" s="78" t="s">
        <v>33</v>
      </c>
      <c r="E25" s="78">
        <v>4</v>
      </c>
      <c r="F25" s="78">
        <f ca="1">COUNTA($K25:INDIRECT(ADDRESS(ROW(),MATCH("",$4:$4,-1),1,1)))</f>
        <v>2</v>
      </c>
      <c r="G25" s="78">
        <f t="shared" ca="1" si="1"/>
        <v>2</v>
      </c>
      <c r="H25" s="78">
        <f ca="1">COUNTIF($K25:INDIRECT(ADDRESS(ROW(),MATCH("",$4:$4,-1),1,1)),H$5)</f>
        <v>0</v>
      </c>
      <c r="I25" s="78">
        <f ca="1">COUNTIF($K25:INDIRECT(ADDRESS(ROW(),MATCH("",$4:$4,-1),1,1)),I$5)</f>
        <v>0</v>
      </c>
      <c r="J25" s="78">
        <f ca="1">COUNTIF($K25:INDIRECT(ADDRESS(ROW(),MATCH("",$4:$4,-1),1,1)),"N/A")</f>
        <v>0</v>
      </c>
      <c r="K25" s="92"/>
      <c r="L25" s="92" t="str" cm="1">
        <f t="array" aca="1" ref="L25" ca="1">IFERROR(INDEX('통합 점검결과'!$M:$M,MATCH(1,('통합 점검결과'!$B:$B=L$4)*('통합 점검결과'!$J:$J=$B25),0)),"")</f>
        <v/>
      </c>
      <c r="M25" s="93" t="str" cm="1">
        <f t="array" aca="1" ref="M25" ca="1">IFERROR(INDEX('통합 점검결과'!$M:$M,MATCH(1,('통합 점검결과'!$B:$B=M$4)*('통합 점검결과'!$J:$J=$B25),0)),"")</f>
        <v/>
      </c>
      <c r="N25" s="93" t="str" cm="1">
        <f t="array" aca="1" ref="N25" ca="1">IFERROR(INDEX('통합 점검결과'!$M:$M,MATCH(1,('통합 점검결과'!$B:$B=N$4)*('통합 점검결과'!$J:$J=$B25),0)),"")</f>
        <v/>
      </c>
    </row>
    <row r="26" spans="1:14" ht="16.5" customHeight="1">
      <c r="A26" s="172" t="s">
        <v>241</v>
      </c>
      <c r="B26" s="95" t="s">
        <v>273</v>
      </c>
      <c r="C26" s="91" t="s">
        <v>313</v>
      </c>
      <c r="D26" s="78" t="s">
        <v>33</v>
      </c>
      <c r="E26" s="78">
        <v>5</v>
      </c>
      <c r="F26" s="78">
        <f ca="1">COUNTA($K26:INDIRECT(ADDRESS(ROW(),MATCH("",$4:$4,-1),1,1)))</f>
        <v>2</v>
      </c>
      <c r="G26" s="78">
        <f t="shared" ca="1" si="1"/>
        <v>2</v>
      </c>
      <c r="H26" s="78">
        <f ca="1">COUNTIF($K26:INDIRECT(ADDRESS(ROW(),MATCH("",$4:$4,-1),1,1)),H$5)</f>
        <v>0</v>
      </c>
      <c r="I26" s="78">
        <f ca="1">COUNTIF($K26:INDIRECT(ADDRESS(ROW(),MATCH("",$4:$4,-1),1,1)),I$5)</f>
        <v>0</v>
      </c>
      <c r="J26" s="78">
        <f ca="1">COUNTIF($K26:INDIRECT(ADDRESS(ROW(),MATCH("",$4:$4,-1),1,1)),"N/A")</f>
        <v>0</v>
      </c>
      <c r="K26" s="92"/>
      <c r="L26" s="92" t="str" cm="1">
        <f t="array" aca="1" ref="L26" ca="1">IFERROR(INDEX('통합 점검결과'!$M:$M,MATCH(1,('통합 점검결과'!$B:$B=L$4)*('통합 점검결과'!$J:$J=$B26),0)),"")</f>
        <v/>
      </c>
      <c r="M26" s="93" t="str" cm="1">
        <f t="array" aca="1" ref="M26" ca="1">IFERROR(INDEX('통합 점검결과'!$M:$M,MATCH(1,('통합 점검결과'!$B:$B=M$4)*('통합 점검결과'!$J:$J=$B26),0)),"")</f>
        <v/>
      </c>
      <c r="N26" s="93" t="str" cm="1">
        <f t="array" aca="1" ref="N26" ca="1">IFERROR(INDEX('통합 점검결과'!$M:$M,MATCH(1,('통합 점검결과'!$B:$B=N$4)*('통합 점검결과'!$J:$J=$B26),0)),"")</f>
        <v/>
      </c>
    </row>
    <row r="27" spans="1:14" ht="16.5" customHeight="1">
      <c r="A27" s="172" t="s">
        <v>241</v>
      </c>
      <c r="B27" s="95" t="s">
        <v>274</v>
      </c>
      <c r="C27" s="91" t="s">
        <v>314</v>
      </c>
      <c r="D27" s="78" t="s">
        <v>34</v>
      </c>
      <c r="E27" s="78">
        <v>3</v>
      </c>
      <c r="F27" s="78">
        <f ca="1">COUNTA($K27:INDIRECT(ADDRESS(ROW(),MATCH("",$4:$4,-1),1,1)))</f>
        <v>2</v>
      </c>
      <c r="G27" s="78">
        <f t="shared" ca="1" si="1"/>
        <v>2</v>
      </c>
      <c r="H27" s="78">
        <f ca="1">COUNTIF($K27:INDIRECT(ADDRESS(ROW(),MATCH("",$4:$4,-1),1,1)),H$5)</f>
        <v>0</v>
      </c>
      <c r="I27" s="78">
        <f ca="1">COUNTIF($K27:INDIRECT(ADDRESS(ROW(),MATCH("",$4:$4,-1),1,1)),I$5)</f>
        <v>0</v>
      </c>
      <c r="J27" s="78">
        <f ca="1">COUNTIF($K27:INDIRECT(ADDRESS(ROW(),MATCH("",$4:$4,-1),1,1)),"N/A")</f>
        <v>0</v>
      </c>
      <c r="K27" s="92"/>
      <c r="L27" s="92" t="str" cm="1">
        <f t="array" aca="1" ref="L27" ca="1">IFERROR(INDEX('통합 점검결과'!$M:$M,MATCH(1,('통합 점검결과'!$B:$B=L$4)*('통합 점검결과'!$J:$J=$B27),0)),"")</f>
        <v/>
      </c>
      <c r="M27" s="93" t="str" cm="1">
        <f t="array" aca="1" ref="M27" ca="1">IFERROR(INDEX('통합 점검결과'!$M:$M,MATCH(1,('통합 점검결과'!$B:$B=M$4)*('통합 점검결과'!$J:$J=$B27),0)),"")</f>
        <v/>
      </c>
      <c r="N27" s="93" t="str" cm="1">
        <f t="array" aca="1" ref="N27" ca="1">IFERROR(INDEX('통합 점검결과'!$M:$M,MATCH(1,('통합 점검결과'!$B:$B=N$4)*('통합 점검결과'!$J:$J=$B27),0)),"")</f>
        <v/>
      </c>
    </row>
    <row r="28" spans="1:14" ht="16.5" customHeight="1">
      <c r="A28" s="172" t="s">
        <v>241</v>
      </c>
      <c r="B28" s="95" t="s">
        <v>275</v>
      </c>
      <c r="C28" s="91" t="s">
        <v>315</v>
      </c>
      <c r="D28" s="78" t="s">
        <v>34</v>
      </c>
      <c r="E28" s="78">
        <v>3</v>
      </c>
      <c r="F28" s="78">
        <f ca="1">COUNTA($K28:INDIRECT(ADDRESS(ROW(),MATCH("",$4:$4,-1),1,1)))</f>
        <v>2</v>
      </c>
      <c r="G28" s="78">
        <f t="shared" ca="1" si="1"/>
        <v>2</v>
      </c>
      <c r="H28" s="78">
        <f ca="1">COUNTIF($K28:INDIRECT(ADDRESS(ROW(),MATCH("",$4:$4,-1),1,1)),H$5)</f>
        <v>0</v>
      </c>
      <c r="I28" s="78">
        <f ca="1">COUNTIF($K28:INDIRECT(ADDRESS(ROW(),MATCH("",$4:$4,-1),1,1)),I$5)</f>
        <v>0</v>
      </c>
      <c r="J28" s="78">
        <f ca="1">COUNTIF($K28:INDIRECT(ADDRESS(ROW(),MATCH("",$4:$4,-1),1,1)),"N/A")</f>
        <v>0</v>
      </c>
      <c r="K28" s="92"/>
      <c r="L28" s="92" t="str" cm="1">
        <f t="array" aca="1" ref="L28" ca="1">IFERROR(INDEX('통합 점검결과'!$M:$M,MATCH(1,('통합 점검결과'!$B:$B=L$4)*('통합 점검결과'!$J:$J=$B28),0)),"")</f>
        <v/>
      </c>
      <c r="M28" s="93" t="str" cm="1">
        <f t="array" aca="1" ref="M28" ca="1">IFERROR(INDEX('통합 점검결과'!$M:$M,MATCH(1,('통합 점검결과'!$B:$B=M$4)*('통합 점검결과'!$J:$J=$B28),0)),"")</f>
        <v/>
      </c>
      <c r="N28" s="93" t="str" cm="1">
        <f t="array" aca="1" ref="N28" ca="1">IFERROR(INDEX('통합 점검결과'!$M:$M,MATCH(1,('통합 점검결과'!$B:$B=N$4)*('통합 점검결과'!$J:$J=$B28),0)),"")</f>
        <v/>
      </c>
    </row>
    <row r="29" spans="1:14" ht="16.5" customHeight="1">
      <c r="A29" s="172" t="s">
        <v>241</v>
      </c>
      <c r="B29" s="95" t="s">
        <v>276</v>
      </c>
      <c r="C29" s="91" t="s">
        <v>316</v>
      </c>
      <c r="D29" s="78" t="s">
        <v>33</v>
      </c>
      <c r="E29" s="78">
        <v>4</v>
      </c>
      <c r="F29" s="78">
        <f ca="1">COUNTA($K29:INDIRECT(ADDRESS(ROW(),MATCH("",$4:$4,-1),1,1)))</f>
        <v>2</v>
      </c>
      <c r="G29" s="78">
        <f t="shared" ca="1" si="1"/>
        <v>2</v>
      </c>
      <c r="H29" s="78">
        <f ca="1">COUNTIF($K29:INDIRECT(ADDRESS(ROW(),MATCH("",$4:$4,-1),1,1)),H$5)</f>
        <v>0</v>
      </c>
      <c r="I29" s="78">
        <f ca="1">COUNTIF($K29:INDIRECT(ADDRESS(ROW(),MATCH("",$4:$4,-1),1,1)),I$5)</f>
        <v>0</v>
      </c>
      <c r="J29" s="78">
        <f ca="1">COUNTIF($K29:INDIRECT(ADDRESS(ROW(),MATCH("",$4:$4,-1),1,1)),"N/A")</f>
        <v>0</v>
      </c>
      <c r="K29" s="92"/>
      <c r="L29" s="92" t="str" cm="1">
        <f t="array" aca="1" ref="L29" ca="1">IFERROR(INDEX('통합 점검결과'!$M:$M,MATCH(1,('통합 점검결과'!$B:$B=L$4)*('통합 점검결과'!$J:$J=$B29),0)),"")</f>
        <v/>
      </c>
      <c r="M29" s="93" t="str" cm="1">
        <f t="array" aca="1" ref="M29" ca="1">IFERROR(INDEX('통합 점검결과'!$M:$M,MATCH(1,('통합 점검결과'!$B:$B=M$4)*('통합 점검결과'!$J:$J=$B29),0)),"")</f>
        <v/>
      </c>
      <c r="N29" s="93" t="str" cm="1">
        <f t="array" aca="1" ref="N29" ca="1">IFERROR(INDEX('통합 점검결과'!$M:$M,MATCH(1,('통합 점검결과'!$B:$B=N$4)*('통합 점검결과'!$J:$J=$B29),0)),"")</f>
        <v/>
      </c>
    </row>
    <row r="30" spans="1:14" ht="16.5" customHeight="1">
      <c r="A30" s="172" t="s">
        <v>241</v>
      </c>
      <c r="B30" s="95" t="s">
        <v>277</v>
      </c>
      <c r="C30" s="91" t="s">
        <v>317</v>
      </c>
      <c r="D30" s="78" t="s">
        <v>35</v>
      </c>
      <c r="E30" s="78">
        <v>2</v>
      </c>
      <c r="F30" s="78">
        <f ca="1">COUNTA($K30:INDIRECT(ADDRESS(ROW(),MATCH("",$4:$4,-1),1,1)))</f>
        <v>2</v>
      </c>
      <c r="G30" s="78">
        <f t="shared" ca="1" si="1"/>
        <v>2</v>
      </c>
      <c r="H30" s="78">
        <f ca="1">COUNTIF($K30:INDIRECT(ADDRESS(ROW(),MATCH("",$4:$4,-1),1,1)),H$5)</f>
        <v>0</v>
      </c>
      <c r="I30" s="78">
        <f ca="1">COUNTIF($K30:INDIRECT(ADDRESS(ROW(),MATCH("",$4:$4,-1),1,1)),I$5)</f>
        <v>0</v>
      </c>
      <c r="J30" s="78">
        <f ca="1">COUNTIF($K30:INDIRECT(ADDRESS(ROW(),MATCH("",$4:$4,-1),1,1)),"N/A")</f>
        <v>0</v>
      </c>
      <c r="K30" s="92"/>
      <c r="L30" s="92" t="str" cm="1">
        <f t="array" aca="1" ref="L30" ca="1">IFERROR(INDEX('통합 점검결과'!$M:$M,MATCH(1,('통합 점검결과'!$B:$B=L$4)*('통합 점검결과'!$J:$J=$B30),0)),"")</f>
        <v/>
      </c>
      <c r="M30" s="93" t="str" cm="1">
        <f t="array" aca="1" ref="M30" ca="1">IFERROR(INDEX('통합 점검결과'!$M:$M,MATCH(1,('통합 점검결과'!$B:$B=M$4)*('통합 점검결과'!$J:$J=$B30),0)),"")</f>
        <v/>
      </c>
      <c r="N30" s="93" t="str" cm="1">
        <f t="array" aca="1" ref="N30" ca="1">IFERROR(INDEX('통합 점검결과'!$M:$M,MATCH(1,('통합 점검결과'!$B:$B=N$4)*('통합 점검결과'!$J:$J=$B30),0)),"")</f>
        <v/>
      </c>
    </row>
    <row r="31" spans="1:14" ht="16.5" customHeight="1">
      <c r="A31" s="172" t="s">
        <v>241</v>
      </c>
      <c r="B31" s="95" t="s">
        <v>278</v>
      </c>
      <c r="C31" s="91" t="s">
        <v>318</v>
      </c>
      <c r="D31" s="78" t="s">
        <v>35</v>
      </c>
      <c r="E31" s="78">
        <v>2</v>
      </c>
      <c r="F31" s="78">
        <f ca="1">COUNTA($K31:INDIRECT(ADDRESS(ROW(),MATCH("",$4:$4,-1),1,1)))</f>
        <v>2</v>
      </c>
      <c r="G31" s="78">
        <f t="shared" ca="1" si="1"/>
        <v>2</v>
      </c>
      <c r="H31" s="78">
        <f ca="1">COUNTIF($K31:INDIRECT(ADDRESS(ROW(),MATCH("",$4:$4,-1),1,1)),H$5)</f>
        <v>0</v>
      </c>
      <c r="I31" s="78">
        <f ca="1">COUNTIF($K31:INDIRECT(ADDRESS(ROW(),MATCH("",$4:$4,-1),1,1)),I$5)</f>
        <v>0</v>
      </c>
      <c r="J31" s="78">
        <f ca="1">COUNTIF($K31:INDIRECT(ADDRESS(ROW(),MATCH("",$4:$4,-1),1,1)),"N/A")</f>
        <v>0</v>
      </c>
      <c r="K31" s="92"/>
      <c r="L31" s="92" t="str" cm="1">
        <f t="array" aca="1" ref="L31" ca="1">IFERROR(INDEX('통합 점검결과'!$M:$M,MATCH(1,('통합 점검결과'!$B:$B=L$4)*('통합 점검결과'!$J:$J=$B31),0)),"")</f>
        <v/>
      </c>
      <c r="M31" s="93" t="str" cm="1">
        <f t="array" aca="1" ref="M31" ca="1">IFERROR(INDEX('통합 점검결과'!$M:$M,MATCH(1,('통합 점검결과'!$B:$B=M$4)*('통합 점검결과'!$J:$J=$B31),0)),"")</f>
        <v/>
      </c>
      <c r="N31" s="93" t="str" cm="1">
        <f t="array" aca="1" ref="N31" ca="1">IFERROR(INDEX('통합 점검결과'!$M:$M,MATCH(1,('통합 점검결과'!$B:$B=N$4)*('통합 점검결과'!$J:$J=$B31),0)),"")</f>
        <v/>
      </c>
    </row>
    <row r="32" spans="1:14" ht="16.5" customHeight="1">
      <c r="A32" s="172" t="s">
        <v>241</v>
      </c>
      <c r="B32" s="95" t="s">
        <v>279</v>
      </c>
      <c r="C32" s="91" t="s">
        <v>319</v>
      </c>
      <c r="D32" s="78" t="s">
        <v>35</v>
      </c>
      <c r="E32" s="78">
        <v>2</v>
      </c>
      <c r="F32" s="78">
        <f ca="1">COUNTA($K32:INDIRECT(ADDRESS(ROW(),MATCH("",$4:$4,-1),1,1)))</f>
        <v>2</v>
      </c>
      <c r="G32" s="78">
        <f t="shared" ca="1" si="1"/>
        <v>2</v>
      </c>
      <c r="H32" s="78">
        <f ca="1">COUNTIF($K32:INDIRECT(ADDRESS(ROW(),MATCH("",$4:$4,-1),1,1)),H$5)</f>
        <v>0</v>
      </c>
      <c r="I32" s="78">
        <f ca="1">COUNTIF($K32:INDIRECT(ADDRESS(ROW(),MATCH("",$4:$4,-1),1,1)),I$5)</f>
        <v>0</v>
      </c>
      <c r="J32" s="78">
        <f ca="1">COUNTIF($K32:INDIRECT(ADDRESS(ROW(),MATCH("",$4:$4,-1),1,1)),"N/A")</f>
        <v>0</v>
      </c>
      <c r="K32" s="92"/>
      <c r="L32" s="92" t="str" cm="1">
        <f t="array" aca="1" ref="L32" ca="1">IFERROR(INDEX('통합 점검결과'!$M:$M,MATCH(1,('통합 점검결과'!$B:$B=L$4)*('통합 점검결과'!$J:$J=$B32),0)),"")</f>
        <v/>
      </c>
      <c r="M32" s="93" t="str" cm="1">
        <f t="array" aca="1" ref="M32" ca="1">IFERROR(INDEX('통합 점검결과'!$M:$M,MATCH(1,('통합 점검결과'!$B:$B=M$4)*('통합 점검결과'!$J:$J=$B32),0)),"")</f>
        <v/>
      </c>
      <c r="N32" s="93" t="str" cm="1">
        <f t="array" aca="1" ref="N32" ca="1">IFERROR(INDEX('통합 점검결과'!$M:$M,MATCH(1,('통합 점검결과'!$B:$B=N$4)*('통합 점검결과'!$J:$J=$B32),0)),"")</f>
        <v/>
      </c>
    </row>
    <row r="33" spans="1:14" ht="16.5" customHeight="1">
      <c r="A33" s="172" t="s">
        <v>241</v>
      </c>
      <c r="B33" s="95" t="s">
        <v>280</v>
      </c>
      <c r="C33" s="91" t="s">
        <v>320</v>
      </c>
      <c r="D33" s="78" t="s">
        <v>33</v>
      </c>
      <c r="E33" s="78">
        <v>4</v>
      </c>
      <c r="F33" s="78">
        <f ca="1">COUNTA($K33:INDIRECT(ADDRESS(ROW(),MATCH("",$4:$4,-1),1,1)))</f>
        <v>2</v>
      </c>
      <c r="G33" s="78">
        <f t="shared" ca="1" si="1"/>
        <v>2</v>
      </c>
      <c r="H33" s="78">
        <f ca="1">COUNTIF($K33:INDIRECT(ADDRESS(ROW(),MATCH("",$4:$4,-1),1,1)),H$5)</f>
        <v>0</v>
      </c>
      <c r="I33" s="78">
        <f ca="1">COUNTIF($K33:INDIRECT(ADDRESS(ROW(),MATCH("",$4:$4,-1),1,1)),I$5)</f>
        <v>0</v>
      </c>
      <c r="J33" s="78">
        <f ca="1">COUNTIF($K33:INDIRECT(ADDRESS(ROW(),MATCH("",$4:$4,-1),1,1)),"N/A")</f>
        <v>0</v>
      </c>
      <c r="K33" s="92"/>
      <c r="L33" s="92" t="str" cm="1">
        <f t="array" aca="1" ref="L33" ca="1">IFERROR(INDEX('통합 점검결과'!$M:$M,MATCH(1,('통합 점검결과'!$B:$B=L$4)*('통합 점검결과'!$J:$J=$B33),0)),"")</f>
        <v/>
      </c>
      <c r="M33" s="93" t="str" cm="1">
        <f t="array" aca="1" ref="M33" ca="1">IFERROR(INDEX('통합 점검결과'!$M:$M,MATCH(1,('통합 점검결과'!$B:$B=M$4)*('통합 점검결과'!$J:$J=$B33),0)),"")</f>
        <v/>
      </c>
      <c r="N33" s="93" t="str" cm="1">
        <f t="array" aca="1" ref="N33" ca="1">IFERROR(INDEX('통합 점검결과'!$M:$M,MATCH(1,('통합 점검결과'!$B:$B=N$4)*('통합 점검결과'!$J:$J=$B33),0)),"")</f>
        <v/>
      </c>
    </row>
    <row r="34" spans="1:14" ht="16.5" customHeight="1">
      <c r="A34" s="172" t="s">
        <v>241</v>
      </c>
      <c r="B34" s="95" t="s">
        <v>281</v>
      </c>
      <c r="C34" s="91" t="s">
        <v>321</v>
      </c>
      <c r="D34" s="78" t="s">
        <v>33</v>
      </c>
      <c r="E34" s="78">
        <v>4</v>
      </c>
      <c r="F34" s="78">
        <f ca="1">COUNTA($K34:INDIRECT(ADDRESS(ROW(),MATCH("",$4:$4,-1),1,1)))</f>
        <v>2</v>
      </c>
      <c r="G34" s="78">
        <f t="shared" ca="1" si="1"/>
        <v>2</v>
      </c>
      <c r="H34" s="78">
        <f ca="1">COUNTIF($K34:INDIRECT(ADDRESS(ROW(),MATCH("",$4:$4,-1),1,1)),H$5)</f>
        <v>0</v>
      </c>
      <c r="I34" s="78">
        <f ca="1">COUNTIF($K34:INDIRECT(ADDRESS(ROW(),MATCH("",$4:$4,-1),1,1)),I$5)</f>
        <v>0</v>
      </c>
      <c r="J34" s="78">
        <f ca="1">COUNTIF($K34:INDIRECT(ADDRESS(ROW(),MATCH("",$4:$4,-1),1,1)),"N/A")</f>
        <v>0</v>
      </c>
      <c r="K34" s="92"/>
      <c r="L34" s="92" t="str" cm="1">
        <f t="array" aca="1" ref="L34" ca="1">IFERROR(INDEX('통합 점검결과'!$M:$M,MATCH(1,('통합 점검결과'!$B:$B=L$4)*('통합 점검결과'!$J:$J=$B34),0)),"")</f>
        <v/>
      </c>
      <c r="M34" s="93" t="str" cm="1">
        <f t="array" aca="1" ref="M34" ca="1">IFERROR(INDEX('통합 점검결과'!$M:$M,MATCH(1,('통합 점검결과'!$B:$B=M$4)*('통합 점검결과'!$J:$J=$B34),0)),"")</f>
        <v/>
      </c>
      <c r="N34" s="93" t="str" cm="1">
        <f t="array" aca="1" ref="N34" ca="1">IFERROR(INDEX('통합 점검결과'!$M:$M,MATCH(1,('통합 점검결과'!$B:$B=N$4)*('통합 점검결과'!$J:$J=$B34),0)),"")</f>
        <v/>
      </c>
    </row>
    <row r="35" spans="1:14" ht="16.5" customHeight="1">
      <c r="A35" s="172" t="s">
        <v>241</v>
      </c>
      <c r="B35" s="95" t="s">
        <v>282</v>
      </c>
      <c r="C35" s="91" t="s">
        <v>322</v>
      </c>
      <c r="D35" s="78" t="s">
        <v>33</v>
      </c>
      <c r="E35" s="78">
        <v>5</v>
      </c>
      <c r="F35" s="78">
        <f ca="1">COUNTA($K35:INDIRECT(ADDRESS(ROW(),MATCH("",$4:$4,-1),1,1)))</f>
        <v>2</v>
      </c>
      <c r="G35" s="78">
        <f t="shared" ca="1" si="1"/>
        <v>2</v>
      </c>
      <c r="H35" s="78">
        <f ca="1">COUNTIF($K35:INDIRECT(ADDRESS(ROW(),MATCH("",$4:$4,-1),1,1)),H$5)</f>
        <v>0</v>
      </c>
      <c r="I35" s="78">
        <f ca="1">COUNTIF($K35:INDIRECT(ADDRESS(ROW(),MATCH("",$4:$4,-1),1,1)),I$5)</f>
        <v>0</v>
      </c>
      <c r="J35" s="78">
        <f ca="1">COUNTIF($K35:INDIRECT(ADDRESS(ROW(),MATCH("",$4:$4,-1),1,1)),"N/A")</f>
        <v>0</v>
      </c>
      <c r="K35" s="92"/>
      <c r="L35" s="92" t="str" cm="1">
        <f t="array" aca="1" ref="L35" ca="1">IFERROR(INDEX('통합 점검결과'!$M:$M,MATCH(1,('통합 점검결과'!$B:$B=L$4)*('통합 점검결과'!$J:$J=$B35),0)),"")</f>
        <v/>
      </c>
      <c r="M35" s="93" t="str" cm="1">
        <f t="array" aca="1" ref="M35" ca="1">IFERROR(INDEX('통합 점검결과'!$M:$M,MATCH(1,('통합 점검결과'!$B:$B=M$4)*('통합 점검결과'!$J:$J=$B35),0)),"")</f>
        <v/>
      </c>
      <c r="N35" s="93" t="str" cm="1">
        <f t="array" aca="1" ref="N35" ca="1">IFERROR(INDEX('통합 점검결과'!$M:$M,MATCH(1,('통합 점검결과'!$B:$B=N$4)*('통합 점검결과'!$J:$J=$B35),0)),"")</f>
        <v/>
      </c>
    </row>
    <row r="36" spans="1:14" ht="16.5" customHeight="1">
      <c r="A36" s="172" t="s">
        <v>241</v>
      </c>
      <c r="B36" s="95" t="s">
        <v>283</v>
      </c>
      <c r="C36" s="91" t="s">
        <v>323</v>
      </c>
      <c r="D36" s="78" t="s">
        <v>33</v>
      </c>
      <c r="E36" s="78">
        <v>5</v>
      </c>
      <c r="F36" s="78">
        <f ca="1">COUNTA($K36:INDIRECT(ADDRESS(ROW(),MATCH("",$4:$4,-1),1,1)))</f>
        <v>2</v>
      </c>
      <c r="G36" s="78">
        <f t="shared" ca="1" si="1"/>
        <v>2</v>
      </c>
      <c r="H36" s="78">
        <f ca="1">COUNTIF($K36:INDIRECT(ADDRESS(ROW(),MATCH("",$4:$4,-1),1,1)),H$5)</f>
        <v>0</v>
      </c>
      <c r="I36" s="78">
        <f ca="1">COUNTIF($K36:INDIRECT(ADDRESS(ROW(),MATCH("",$4:$4,-1),1,1)),I$5)</f>
        <v>0</v>
      </c>
      <c r="J36" s="78">
        <f ca="1">COUNTIF($K36:INDIRECT(ADDRESS(ROW(),MATCH("",$4:$4,-1),1,1)),"N/A")</f>
        <v>0</v>
      </c>
      <c r="K36" s="92"/>
      <c r="L36" s="92" t="str" cm="1">
        <f t="array" aca="1" ref="L36" ca="1">IFERROR(INDEX('통합 점검결과'!$M:$M,MATCH(1,('통합 점검결과'!$B:$B=L$4)*('통합 점검결과'!$J:$J=$B36),0)),"")</f>
        <v/>
      </c>
      <c r="M36" s="93" t="str" cm="1">
        <f t="array" aca="1" ref="M36" ca="1">IFERROR(INDEX('통합 점검결과'!$M:$M,MATCH(1,('통합 점검결과'!$B:$B=M$4)*('통합 점검결과'!$J:$J=$B36),0)),"")</f>
        <v/>
      </c>
      <c r="N36" s="93" t="str" cm="1">
        <f t="array" aca="1" ref="N36" ca="1">IFERROR(INDEX('통합 점검결과'!$M:$M,MATCH(1,('통합 점검결과'!$B:$B=N$4)*('통합 점검결과'!$J:$J=$B36),0)),"")</f>
        <v/>
      </c>
    </row>
    <row r="37" spans="1:14" ht="16.5" customHeight="1">
      <c r="A37" s="172" t="s">
        <v>241</v>
      </c>
      <c r="B37" s="95" t="s">
        <v>284</v>
      </c>
      <c r="C37" s="91" t="s">
        <v>324</v>
      </c>
      <c r="D37" s="78" t="s">
        <v>33</v>
      </c>
      <c r="E37" s="78">
        <v>5</v>
      </c>
      <c r="F37" s="78">
        <f ca="1">COUNTA($K37:INDIRECT(ADDRESS(ROW(),MATCH("",$4:$4,-1),1,1)))</f>
        <v>2</v>
      </c>
      <c r="G37" s="78">
        <f t="shared" ca="1" si="1"/>
        <v>2</v>
      </c>
      <c r="H37" s="78">
        <f ca="1">COUNTIF($K37:INDIRECT(ADDRESS(ROW(),MATCH("",$4:$4,-1),1,1)),H$5)</f>
        <v>0</v>
      </c>
      <c r="I37" s="78">
        <f ca="1">COUNTIF($K37:INDIRECT(ADDRESS(ROW(),MATCH("",$4:$4,-1),1,1)),I$5)</f>
        <v>0</v>
      </c>
      <c r="J37" s="78">
        <f ca="1">COUNTIF($K37:INDIRECT(ADDRESS(ROW(),MATCH("",$4:$4,-1),1,1)),"N/A")</f>
        <v>0</v>
      </c>
      <c r="K37" s="92"/>
      <c r="L37" s="92" t="str" cm="1">
        <f t="array" aca="1" ref="L37" ca="1">IFERROR(INDEX('통합 점검결과'!$M:$M,MATCH(1,('통합 점검결과'!$B:$B=L$4)*('통합 점검결과'!$J:$J=$B37),0)),"")</f>
        <v/>
      </c>
      <c r="M37" s="93" t="str" cm="1">
        <f t="array" aca="1" ref="M37" ca="1">IFERROR(INDEX('통합 점검결과'!$M:$M,MATCH(1,('통합 점검결과'!$B:$B=M$4)*('통합 점검결과'!$J:$J=$B37),0)),"")</f>
        <v/>
      </c>
      <c r="N37" s="93" t="str" cm="1">
        <f t="array" aca="1" ref="N37" ca="1">IFERROR(INDEX('통합 점검결과'!$M:$M,MATCH(1,('통합 점검결과'!$B:$B=N$4)*('통합 점검결과'!$J:$J=$B37),0)),"")</f>
        <v/>
      </c>
    </row>
    <row r="38" spans="1:14" ht="16.5" customHeight="1">
      <c r="A38" s="172" t="s">
        <v>241</v>
      </c>
      <c r="B38" s="95" t="s">
        <v>285</v>
      </c>
      <c r="C38" s="91" t="s">
        <v>325</v>
      </c>
      <c r="D38" s="78" t="s">
        <v>33</v>
      </c>
      <c r="E38" s="78">
        <v>4</v>
      </c>
      <c r="F38" s="78">
        <f ca="1">COUNTA($K38:INDIRECT(ADDRESS(ROW(),MATCH("",$4:$4,-1),1,1)))</f>
        <v>2</v>
      </c>
      <c r="G38" s="78">
        <f t="shared" ca="1" si="1"/>
        <v>2</v>
      </c>
      <c r="H38" s="78">
        <f ca="1">COUNTIF($K38:INDIRECT(ADDRESS(ROW(),MATCH("",$4:$4,-1),1,1)),H$5)</f>
        <v>0</v>
      </c>
      <c r="I38" s="78">
        <f ca="1">COUNTIF($K38:INDIRECT(ADDRESS(ROW(),MATCH("",$4:$4,-1),1,1)),I$5)</f>
        <v>0</v>
      </c>
      <c r="J38" s="78">
        <f ca="1">COUNTIF($K38:INDIRECT(ADDRESS(ROW(),MATCH("",$4:$4,-1),1,1)),"N/A")</f>
        <v>0</v>
      </c>
      <c r="K38" s="92"/>
      <c r="L38" s="92" t="str" cm="1">
        <f t="array" aca="1" ref="L38" ca="1">IFERROR(INDEX('통합 점검결과'!$M:$M,MATCH(1,('통합 점검결과'!$B:$B=L$4)*('통합 점검결과'!$J:$J=$B38),0)),"")</f>
        <v/>
      </c>
      <c r="M38" s="93" t="str" cm="1">
        <f t="array" aca="1" ref="M38" ca="1">IFERROR(INDEX('통합 점검결과'!$M:$M,MATCH(1,('통합 점검결과'!$B:$B=M$4)*('통합 점검결과'!$J:$J=$B38),0)),"")</f>
        <v/>
      </c>
      <c r="N38" s="93" t="str" cm="1">
        <f t="array" aca="1" ref="N38" ca="1">IFERROR(INDEX('통합 점검결과'!$M:$M,MATCH(1,('통합 점검결과'!$B:$B=N$4)*('통합 점검결과'!$J:$J=$B38),0)),"")</f>
        <v/>
      </c>
    </row>
    <row r="39" spans="1:14" ht="16.5" customHeight="1">
      <c r="A39" s="172" t="s">
        <v>241</v>
      </c>
      <c r="B39" s="95" t="s">
        <v>286</v>
      </c>
      <c r="C39" s="91" t="s">
        <v>326</v>
      </c>
      <c r="D39" s="78" t="s">
        <v>33</v>
      </c>
      <c r="E39" s="78">
        <v>4</v>
      </c>
      <c r="F39" s="78">
        <f ca="1">COUNTA($K39:INDIRECT(ADDRESS(ROW(),MATCH("",$4:$4,-1),1,1)))</f>
        <v>2</v>
      </c>
      <c r="G39" s="78">
        <f t="shared" ca="1" si="1"/>
        <v>2</v>
      </c>
      <c r="H39" s="78">
        <f ca="1">COUNTIF($K39:INDIRECT(ADDRESS(ROW(),MATCH("",$4:$4,-1),1,1)),H$5)</f>
        <v>0</v>
      </c>
      <c r="I39" s="78">
        <f ca="1">COUNTIF($K39:INDIRECT(ADDRESS(ROW(),MATCH("",$4:$4,-1),1,1)),I$5)</f>
        <v>0</v>
      </c>
      <c r="J39" s="78">
        <f ca="1">COUNTIF($K39:INDIRECT(ADDRESS(ROW(),MATCH("",$4:$4,-1),1,1)),"N/A")</f>
        <v>0</v>
      </c>
      <c r="K39" s="92"/>
      <c r="L39" s="92" t="str" cm="1">
        <f t="array" aca="1" ref="L39" ca="1">IFERROR(INDEX('통합 점검결과'!$M:$M,MATCH(1,('통합 점검결과'!$B:$B=L$4)*('통합 점검결과'!$J:$J=$B39),0)),"")</f>
        <v/>
      </c>
      <c r="M39" s="93" t="str" cm="1">
        <f t="array" aca="1" ref="M39" ca="1">IFERROR(INDEX('통합 점검결과'!$M:$M,MATCH(1,('통합 점검결과'!$B:$B=M$4)*('통합 점검결과'!$J:$J=$B39),0)),"")</f>
        <v/>
      </c>
      <c r="N39" s="93" t="str" cm="1">
        <f t="array" aca="1" ref="N39" ca="1">IFERROR(INDEX('통합 점검결과'!$M:$M,MATCH(1,('통합 점검결과'!$B:$B=N$4)*('통합 점검결과'!$J:$J=$B39),0)),"")</f>
        <v/>
      </c>
    </row>
    <row r="40" spans="1:14" ht="16.5" customHeight="1">
      <c r="A40" s="172" t="s">
        <v>241</v>
      </c>
      <c r="B40" s="95" t="s">
        <v>287</v>
      </c>
      <c r="C40" s="91" t="s">
        <v>327</v>
      </c>
      <c r="D40" s="78" t="s">
        <v>33</v>
      </c>
      <c r="E40" s="78">
        <v>5</v>
      </c>
      <c r="F40" s="78">
        <f ca="1">COUNTA($K40:INDIRECT(ADDRESS(ROW(),MATCH("",$4:$4,-1),1,1)))</f>
        <v>2</v>
      </c>
      <c r="G40" s="78">
        <f t="shared" ca="1" si="1"/>
        <v>2</v>
      </c>
      <c r="H40" s="78">
        <f ca="1">COUNTIF($K40:INDIRECT(ADDRESS(ROW(),MATCH("",$4:$4,-1),1,1)),H$5)</f>
        <v>0</v>
      </c>
      <c r="I40" s="78">
        <f ca="1">COUNTIF($K40:INDIRECT(ADDRESS(ROW(),MATCH("",$4:$4,-1),1,1)),I$5)</f>
        <v>0</v>
      </c>
      <c r="J40" s="78">
        <f ca="1">COUNTIF($K40:INDIRECT(ADDRESS(ROW(),MATCH("",$4:$4,-1),1,1)),"N/A")</f>
        <v>0</v>
      </c>
      <c r="K40" s="92"/>
      <c r="L40" s="92" t="str" cm="1">
        <f t="array" aca="1" ref="L40" ca="1">IFERROR(INDEX('통합 점검결과'!$M:$M,MATCH(1,('통합 점검결과'!$B:$B=L$4)*('통합 점검결과'!$J:$J=$B40),0)),"")</f>
        <v/>
      </c>
      <c r="M40" s="93" t="str" cm="1">
        <f t="array" aca="1" ref="M40" ca="1">IFERROR(INDEX('통합 점검결과'!$M:$M,MATCH(1,('통합 점검결과'!$B:$B=M$4)*('통합 점검결과'!$J:$J=$B40),0)),"")</f>
        <v/>
      </c>
      <c r="N40" s="93" t="str" cm="1">
        <f t="array" aca="1" ref="N40" ca="1">IFERROR(INDEX('통합 점검결과'!$M:$M,MATCH(1,('통합 점검결과'!$B:$B=N$4)*('통합 점검결과'!$J:$J=$B40),0)),"")</f>
        <v/>
      </c>
    </row>
    <row r="41" spans="1:14" ht="16.5" customHeight="1">
      <c r="A41" s="172" t="s">
        <v>241</v>
      </c>
      <c r="B41" s="95" t="s">
        <v>288</v>
      </c>
      <c r="C41" s="91" t="s">
        <v>328</v>
      </c>
      <c r="D41" s="78" t="s">
        <v>33</v>
      </c>
      <c r="E41" s="78">
        <v>5</v>
      </c>
      <c r="F41" s="78">
        <f ca="1">COUNTA($K41:INDIRECT(ADDRESS(ROW(),MATCH("",$4:$4,-1),1,1)))</f>
        <v>2</v>
      </c>
      <c r="G41" s="78">
        <f t="shared" ca="1" si="1"/>
        <v>2</v>
      </c>
      <c r="H41" s="78">
        <f ca="1">COUNTIF($K41:INDIRECT(ADDRESS(ROW(),MATCH("",$4:$4,-1),1,1)),H$5)</f>
        <v>0</v>
      </c>
      <c r="I41" s="78">
        <f ca="1">COUNTIF($K41:INDIRECT(ADDRESS(ROW(),MATCH("",$4:$4,-1),1,1)),I$5)</f>
        <v>0</v>
      </c>
      <c r="J41" s="78">
        <f ca="1">COUNTIF($K41:INDIRECT(ADDRESS(ROW(),MATCH("",$4:$4,-1),1,1)),"N/A")</f>
        <v>0</v>
      </c>
      <c r="K41" s="92"/>
      <c r="L41" s="92" t="str" cm="1">
        <f t="array" aca="1" ref="L41" ca="1">IFERROR(INDEX('통합 점검결과'!$M:$M,MATCH(1,('통합 점검결과'!$B:$B=L$4)*('통합 점검결과'!$J:$J=$B41),0)),"")</f>
        <v/>
      </c>
      <c r="M41" s="93" t="str" cm="1">
        <f t="array" aca="1" ref="M41" ca="1">IFERROR(INDEX('통합 점검결과'!$M:$M,MATCH(1,('통합 점검결과'!$B:$B=M$4)*('통합 점검결과'!$J:$J=$B41),0)),"")</f>
        <v/>
      </c>
      <c r="N41" s="93" t="str" cm="1">
        <f t="array" aca="1" ref="N41" ca="1">IFERROR(INDEX('통합 점검결과'!$M:$M,MATCH(1,('통합 점검결과'!$B:$B=N$4)*('통합 점검결과'!$J:$J=$B41),0)),"")</f>
        <v/>
      </c>
    </row>
    <row r="42" spans="1:14" ht="16.5" customHeight="1">
      <c r="A42" s="172" t="s">
        <v>241</v>
      </c>
      <c r="B42" s="95" t="s">
        <v>289</v>
      </c>
      <c r="C42" s="91" t="s">
        <v>329</v>
      </c>
      <c r="D42" s="78" t="s">
        <v>33</v>
      </c>
      <c r="E42" s="78">
        <v>4</v>
      </c>
      <c r="F42" s="78">
        <f ca="1">COUNTA($K42:INDIRECT(ADDRESS(ROW(),MATCH("",$4:$4,-1),1,1)))</f>
        <v>2</v>
      </c>
      <c r="G42" s="78">
        <f t="shared" ca="1" si="1"/>
        <v>2</v>
      </c>
      <c r="H42" s="78">
        <f ca="1">COUNTIF($K42:INDIRECT(ADDRESS(ROW(),MATCH("",$4:$4,-1),1,1)),H$5)</f>
        <v>0</v>
      </c>
      <c r="I42" s="78">
        <f ca="1">COUNTIF($K42:INDIRECT(ADDRESS(ROW(),MATCH("",$4:$4,-1),1,1)),I$5)</f>
        <v>0</v>
      </c>
      <c r="J42" s="78">
        <f ca="1">COUNTIF($K42:INDIRECT(ADDRESS(ROW(),MATCH("",$4:$4,-1),1,1)),"N/A")</f>
        <v>0</v>
      </c>
      <c r="K42" s="92"/>
      <c r="L42" s="92" t="str" cm="1">
        <f t="array" aca="1" ref="L42" ca="1">IFERROR(INDEX('통합 점검결과'!$M:$M,MATCH(1,('통합 점검결과'!$B:$B=L$4)*('통합 점검결과'!$J:$J=$B42),0)),"")</f>
        <v/>
      </c>
      <c r="M42" s="93" t="str" cm="1">
        <f t="array" aca="1" ref="M42" ca="1">IFERROR(INDEX('통합 점검결과'!$M:$M,MATCH(1,('통합 점검결과'!$B:$B=M$4)*('통합 점검결과'!$J:$J=$B42),0)),"")</f>
        <v/>
      </c>
      <c r="N42" s="93" t="str" cm="1">
        <f t="array" aca="1" ref="N42" ca="1">IFERROR(INDEX('통합 점검결과'!$M:$M,MATCH(1,('통합 점검결과'!$B:$B=N$4)*('통합 점검결과'!$J:$J=$B42),0)),"")</f>
        <v/>
      </c>
    </row>
    <row r="43" spans="1:14" ht="16.5" customHeight="1">
      <c r="A43" s="172" t="s">
        <v>241</v>
      </c>
      <c r="B43" s="95" t="s">
        <v>290</v>
      </c>
      <c r="C43" s="91" t="s">
        <v>330</v>
      </c>
      <c r="D43" s="78" t="s">
        <v>33</v>
      </c>
      <c r="E43" s="78">
        <v>5</v>
      </c>
      <c r="F43" s="78">
        <f ca="1">COUNTA($K43:INDIRECT(ADDRESS(ROW(),MATCH("",$4:$4,-1),1,1)))</f>
        <v>2</v>
      </c>
      <c r="G43" s="78">
        <f t="shared" ca="1" si="1"/>
        <v>2</v>
      </c>
      <c r="H43" s="78">
        <f ca="1">COUNTIF($K43:INDIRECT(ADDRESS(ROW(),MATCH("",$4:$4,-1),1,1)),H$5)</f>
        <v>0</v>
      </c>
      <c r="I43" s="78">
        <f ca="1">COUNTIF($K43:INDIRECT(ADDRESS(ROW(),MATCH("",$4:$4,-1),1,1)),I$5)</f>
        <v>0</v>
      </c>
      <c r="J43" s="78">
        <f ca="1">COUNTIF($K43:INDIRECT(ADDRESS(ROW(),MATCH("",$4:$4,-1),1,1)),"N/A")</f>
        <v>0</v>
      </c>
      <c r="K43" s="92"/>
      <c r="L43" s="92" t="str" cm="1">
        <f t="array" aca="1" ref="L43" ca="1">IFERROR(INDEX('통합 점검결과'!$M:$M,MATCH(1,('통합 점검결과'!$B:$B=L$4)*('통합 점검결과'!$J:$J=$B43),0)),"")</f>
        <v/>
      </c>
      <c r="M43" s="93" t="str" cm="1">
        <f t="array" aca="1" ref="M43" ca="1">IFERROR(INDEX('통합 점검결과'!$M:$M,MATCH(1,('통합 점검결과'!$B:$B=M$4)*('통합 점검결과'!$J:$J=$B43),0)),"")</f>
        <v/>
      </c>
      <c r="N43" s="93" t="str" cm="1">
        <f t="array" aca="1" ref="N43" ca="1">IFERROR(INDEX('통합 점검결과'!$M:$M,MATCH(1,('통합 점검결과'!$B:$B=N$4)*('통합 점검결과'!$J:$J=$B43),0)),"")</f>
        <v/>
      </c>
    </row>
    <row r="44" spans="1:14" ht="16.5" customHeight="1">
      <c r="A44" s="172" t="s">
        <v>241</v>
      </c>
      <c r="B44" s="95" t="s">
        <v>291</v>
      </c>
      <c r="C44" s="91" t="s">
        <v>331</v>
      </c>
      <c r="D44" s="78" t="s">
        <v>33</v>
      </c>
      <c r="E44" s="78">
        <v>5</v>
      </c>
      <c r="F44" s="78">
        <f ca="1">COUNTA($K44:INDIRECT(ADDRESS(ROW(),MATCH("",$4:$4,-1),1,1)))</f>
        <v>2</v>
      </c>
      <c r="G44" s="78">
        <f t="shared" ca="1" si="1"/>
        <v>2</v>
      </c>
      <c r="H44" s="78">
        <f ca="1">COUNTIF($K44:INDIRECT(ADDRESS(ROW(),MATCH("",$4:$4,-1),1,1)),H$5)</f>
        <v>0</v>
      </c>
      <c r="I44" s="78">
        <f ca="1">COUNTIF($K44:INDIRECT(ADDRESS(ROW(),MATCH("",$4:$4,-1),1,1)),I$5)</f>
        <v>0</v>
      </c>
      <c r="J44" s="78">
        <f ca="1">COUNTIF($K44:INDIRECT(ADDRESS(ROW(),MATCH("",$4:$4,-1),1,1)),"N/A")</f>
        <v>0</v>
      </c>
      <c r="K44" s="92"/>
      <c r="L44" s="92" t="str" cm="1">
        <f t="array" aca="1" ref="L44" ca="1">IFERROR(INDEX('통합 점검결과'!$M:$M,MATCH(1,('통합 점검결과'!$B:$B=L$4)*('통합 점검결과'!$J:$J=$B44),0)),"")</f>
        <v/>
      </c>
      <c r="M44" s="93" t="str" cm="1">
        <f t="array" aca="1" ref="M44" ca="1">IFERROR(INDEX('통합 점검결과'!$M:$M,MATCH(1,('통합 점검결과'!$B:$B=M$4)*('통합 점검결과'!$J:$J=$B44),0)),"")</f>
        <v/>
      </c>
      <c r="N44" s="93" t="str" cm="1">
        <f t="array" aca="1" ref="N44" ca="1">IFERROR(INDEX('통합 점검결과'!$M:$M,MATCH(1,('통합 점검결과'!$B:$B=N$4)*('통합 점검결과'!$J:$J=$B44),0)),"")</f>
        <v/>
      </c>
    </row>
    <row r="45" spans="1:14" ht="16.5" customHeight="1">
      <c r="A45" s="172" t="s">
        <v>241</v>
      </c>
      <c r="B45" s="95" t="s">
        <v>292</v>
      </c>
      <c r="C45" s="91" t="s">
        <v>332</v>
      </c>
      <c r="D45" s="78" t="s">
        <v>34</v>
      </c>
      <c r="E45" s="78">
        <v>3</v>
      </c>
      <c r="F45" s="78">
        <f ca="1">COUNTA($K45:INDIRECT(ADDRESS(ROW(),MATCH("",$4:$4,-1),1,1)))</f>
        <v>2</v>
      </c>
      <c r="G45" s="78">
        <f t="shared" ca="1" si="1"/>
        <v>2</v>
      </c>
      <c r="H45" s="78">
        <f ca="1">COUNTIF($K45:INDIRECT(ADDRESS(ROW(),MATCH("",$4:$4,-1),1,1)),H$5)</f>
        <v>0</v>
      </c>
      <c r="I45" s="78">
        <f ca="1">COUNTIF($K45:INDIRECT(ADDRESS(ROW(),MATCH("",$4:$4,-1),1,1)),I$5)</f>
        <v>0</v>
      </c>
      <c r="J45" s="78">
        <f ca="1">COUNTIF($K45:INDIRECT(ADDRESS(ROW(),MATCH("",$4:$4,-1),1,1)),"N/A")</f>
        <v>0</v>
      </c>
      <c r="K45" s="92"/>
      <c r="L45" s="92" t="str" cm="1">
        <f t="array" aca="1" ref="L45" ca="1">IFERROR(INDEX('통합 점검결과'!$M:$M,MATCH(1,('통합 점검결과'!$B:$B=L$4)*('통합 점검결과'!$J:$J=$B45),0)),"")</f>
        <v/>
      </c>
      <c r="M45" s="93" t="str" cm="1">
        <f t="array" aca="1" ref="M45" ca="1">IFERROR(INDEX('통합 점검결과'!$M:$M,MATCH(1,('통합 점검결과'!$B:$B=M$4)*('통합 점검결과'!$J:$J=$B45),0)),"")</f>
        <v/>
      </c>
      <c r="N45" s="93" t="str" cm="1">
        <f t="array" aca="1" ref="N45" ca="1">IFERROR(INDEX('통합 점검결과'!$M:$M,MATCH(1,('통합 점검결과'!$B:$B=N$4)*('통합 점검결과'!$J:$J=$B45),0)),"")</f>
        <v/>
      </c>
    </row>
    <row r="46" spans="1:14" ht="16.5" customHeight="1">
      <c r="A46" s="172" t="s">
        <v>241</v>
      </c>
      <c r="B46" s="95" t="s">
        <v>293</v>
      </c>
      <c r="C46" s="91" t="s">
        <v>333</v>
      </c>
      <c r="D46" s="78" t="s">
        <v>33</v>
      </c>
      <c r="E46" s="78">
        <v>4</v>
      </c>
      <c r="F46" s="78">
        <f ca="1">COUNTA($K46:INDIRECT(ADDRESS(ROW(),MATCH("",$4:$4,-1),1,1)))</f>
        <v>2</v>
      </c>
      <c r="G46" s="78">
        <f t="shared" ca="1" si="1"/>
        <v>2</v>
      </c>
      <c r="H46" s="78">
        <f ca="1">COUNTIF($K46:INDIRECT(ADDRESS(ROW(),MATCH("",$4:$4,-1),1,1)),H$5)</f>
        <v>0</v>
      </c>
      <c r="I46" s="78">
        <f ca="1">COUNTIF($K46:INDIRECT(ADDRESS(ROW(),MATCH("",$4:$4,-1),1,1)),I$5)</f>
        <v>0</v>
      </c>
      <c r="J46" s="78">
        <f ca="1">COUNTIF($K46:INDIRECT(ADDRESS(ROW(),MATCH("",$4:$4,-1),1,1)),"N/A")</f>
        <v>0</v>
      </c>
      <c r="K46" s="92"/>
      <c r="L46" s="92" t="str" cm="1">
        <f t="array" aca="1" ref="L46" ca="1">IFERROR(INDEX('통합 점검결과'!$M:$M,MATCH(1,('통합 점검결과'!$B:$B=L$4)*('통합 점검결과'!$J:$J=$B46),0)),"")</f>
        <v/>
      </c>
      <c r="M46" s="93" t="str" cm="1">
        <f t="array" aca="1" ref="M46" ca="1">IFERROR(INDEX('통합 점검결과'!$M:$M,MATCH(1,('통합 점검결과'!$B:$B=M$4)*('통합 점검결과'!$J:$J=$B46),0)),"")</f>
        <v/>
      </c>
      <c r="N46" s="93" t="str" cm="1">
        <f t="array" aca="1" ref="N46" ca="1">IFERROR(INDEX('통합 점검결과'!$M:$M,MATCH(1,('통합 점검결과'!$B:$B=N$4)*('통합 점검결과'!$J:$J=$B46),0)),"")</f>
        <v/>
      </c>
    </row>
    <row r="47" spans="1:14" ht="16.5" customHeight="1" thickBot="1">
      <c r="A47" s="172" t="s">
        <v>241</v>
      </c>
      <c r="B47" s="95" t="s">
        <v>453</v>
      </c>
      <c r="C47" s="91" t="s">
        <v>455</v>
      </c>
      <c r="D47" s="78" t="s">
        <v>33</v>
      </c>
      <c r="E47" s="78">
        <v>5</v>
      </c>
      <c r="F47" s="78">
        <f ca="1">COUNTA($K47:INDIRECT(ADDRESS(ROW(),MATCH("",$4:$4,-1),1,1)))</f>
        <v>2</v>
      </c>
      <c r="G47" s="78">
        <f t="shared" ca="1" si="1"/>
        <v>2</v>
      </c>
      <c r="H47" s="78">
        <f ca="1">COUNTIF($K47:INDIRECT(ADDRESS(ROW(),MATCH("",$4:$4,-1),1,1)),H$5)</f>
        <v>0</v>
      </c>
      <c r="I47" s="78">
        <f ca="1">COUNTIF($K47:INDIRECT(ADDRESS(ROW(),MATCH("",$4:$4,-1),1,1)),I$5)</f>
        <v>0</v>
      </c>
      <c r="J47" s="78">
        <f ca="1">COUNTIF($K47:INDIRECT(ADDRESS(ROW(),MATCH("",$4:$4,-1),1,1)),"N/A")</f>
        <v>0</v>
      </c>
      <c r="K47" s="92"/>
      <c r="L47" s="92" t="str" cm="1">
        <f t="array" aca="1" ref="L47" ca="1">IFERROR(INDEX('통합 점검결과'!$M:$M,MATCH(1,('통합 점검결과'!$B:$B=L$4)*('통합 점검결과'!$J:$J=$B47),0)),"")</f>
        <v/>
      </c>
      <c r="M47" s="93" t="str" cm="1">
        <f t="array" aca="1" ref="M47" ca="1">IFERROR(INDEX('통합 점검결과'!$M:$M,MATCH(1,('통합 점검결과'!$B:$B=M$4)*('통합 점검결과'!$J:$J=$B47),0)),"")</f>
        <v/>
      </c>
      <c r="N47" s="93" t="str" cm="1">
        <f t="array" aca="1" ref="N47" ca="1">IFERROR(INDEX('통합 점검결과'!$M:$M,MATCH(1,('통합 점검결과'!$B:$B=N$4)*('통합 점검결과'!$J:$J=$B47),0)),"")</f>
        <v/>
      </c>
    </row>
    <row r="48" spans="1:14" ht="17.25" thickBot="1">
      <c r="A48" s="502" t="s">
        <v>64</v>
      </c>
      <c r="B48" s="503"/>
      <c r="C48" s="503"/>
      <c r="D48" s="503"/>
      <c r="E48" s="117">
        <f t="shared" ref="E48:J48" si="2">SUM(E6:E47)</f>
        <v>159</v>
      </c>
      <c r="F48" s="117">
        <f t="shared" ca="1" si="2"/>
        <v>84</v>
      </c>
      <c r="G48" s="117">
        <f t="shared" ca="1" si="2"/>
        <v>84</v>
      </c>
      <c r="H48" s="117">
        <f t="shared" ca="1" si="2"/>
        <v>0</v>
      </c>
      <c r="I48" s="117">
        <f t="shared" ca="1" si="2"/>
        <v>1</v>
      </c>
      <c r="J48" s="117">
        <f t="shared" ca="1" si="2"/>
        <v>0</v>
      </c>
      <c r="K48" s="118"/>
      <c r="L48" s="118">
        <f ca="1">COUNTIF(L6:L47,"양호")+COUNTIF(L6:L47,"취약")+COUNTIF(L6:L47,"부분만족")+COUNTIF(L6:L47,"N/A")</f>
        <v>1</v>
      </c>
      <c r="M48" s="119">
        <f ca="1">COUNTIF(M6:M47,"양호")+COUNTIF(M6:M47,"취약")+COUNTIF(M6:M47,"부분만족")+COUNTIF(M6:M47,"N/A")</f>
        <v>0</v>
      </c>
      <c r="N48" s="119">
        <f ca="1">COUNTIF(N6:N47,"양호")+COUNTIF(N6:N47,"취약")+COUNTIF(N6:N47,"부분만족")+COUNTIF(N6:N47,"N/A")</f>
        <v>0</v>
      </c>
    </row>
    <row r="49" spans="7:14" ht="17.25" thickBot="1"/>
    <row r="50" spans="7:14">
      <c r="G50" s="490" t="s">
        <v>18</v>
      </c>
      <c r="H50" s="491"/>
      <c r="I50" s="492"/>
      <c r="J50" s="11">
        <f ca="1">SUM(K50:N50)</f>
        <v>0</v>
      </c>
      <c r="K50" s="22"/>
      <c r="L50" s="12">
        <f ca="1">COUNTIF(L$6:L$47,$G$50)</f>
        <v>0</v>
      </c>
      <c r="M50" s="12">
        <f ca="1">COUNTIF(M$6:M$47,$G$50)</f>
        <v>0</v>
      </c>
      <c r="N50" s="12">
        <f ca="1">COUNTIF(N$6:N$47,$G$50)</f>
        <v>0</v>
      </c>
    </row>
    <row r="51" spans="7:14">
      <c r="G51" s="493" t="s">
        <v>38</v>
      </c>
      <c r="H51" s="494"/>
      <c r="I51" s="495"/>
      <c r="J51" s="13">
        <f ca="1">SUM(K51:N51)</f>
        <v>1</v>
      </c>
      <c r="K51" s="23"/>
      <c r="L51" s="14">
        <f ca="1">COUNTIF(L$6:L$47,$G$51)</f>
        <v>1</v>
      </c>
      <c r="M51" s="14">
        <f ca="1">COUNTIF(M$6:M$47,$G$51)</f>
        <v>0</v>
      </c>
      <c r="N51" s="14">
        <f ca="1">COUNTIF(N$6:N$47,$G$51)</f>
        <v>0</v>
      </c>
    </row>
    <row r="52" spans="7:14" ht="17.25" thickBot="1">
      <c r="G52" s="496" t="s">
        <v>40</v>
      </c>
      <c r="H52" s="497"/>
      <c r="I52" s="498"/>
      <c r="J52" s="15">
        <f ca="1">SUM(K52:N52)</f>
        <v>0</v>
      </c>
      <c r="K52" s="24"/>
      <c r="L52" s="16">
        <f ca="1">COUNTIF(L$6:L$47,$G$52)</f>
        <v>0</v>
      </c>
      <c r="M52" s="16">
        <f ca="1">COUNTIF(M$6:M$47,$G$52)</f>
        <v>0</v>
      </c>
      <c r="N52" s="16">
        <f ca="1">COUNTIF(N$6:N$47,$G$52)</f>
        <v>0</v>
      </c>
    </row>
    <row r="53" spans="7:14" ht="17.25" thickBot="1"/>
    <row r="54" spans="7:14" ht="16.5" customHeight="1">
      <c r="H54" s="499" t="s">
        <v>1</v>
      </c>
      <c r="I54" s="174" t="s">
        <v>18</v>
      </c>
      <c r="J54" s="11">
        <f t="shared" ref="J54:J62" ca="1" si="3">SUM(K54:N54)</f>
        <v>0</v>
      </c>
      <c r="K54" s="32"/>
      <c r="L54" s="32">
        <f t="shared" ref="L54:N56" ca="1" si="4">COUNTIFS($D$6:$D$47,$H$54,L$6:L$47,$I54)</f>
        <v>0</v>
      </c>
      <c r="M54" s="32">
        <f t="shared" ca="1" si="4"/>
        <v>0</v>
      </c>
      <c r="N54" s="32">
        <f t="shared" ca="1" si="4"/>
        <v>0</v>
      </c>
    </row>
    <row r="55" spans="7:14" ht="16.5" customHeight="1">
      <c r="H55" s="500"/>
      <c r="I55" s="175" t="s">
        <v>120</v>
      </c>
      <c r="J55" s="13">
        <f t="shared" ca="1" si="3"/>
        <v>1</v>
      </c>
      <c r="K55" s="18"/>
      <c r="L55" s="18">
        <f t="shared" ca="1" si="4"/>
        <v>1</v>
      </c>
      <c r="M55" s="18">
        <f t="shared" ca="1" si="4"/>
        <v>0</v>
      </c>
      <c r="N55" s="18">
        <f t="shared" ca="1" si="4"/>
        <v>0</v>
      </c>
    </row>
    <row r="56" spans="7:14" ht="16.5" customHeight="1" thickBot="1">
      <c r="H56" s="501"/>
      <c r="I56" s="176" t="s">
        <v>121</v>
      </c>
      <c r="J56" s="15">
        <f t="shared" ca="1" si="3"/>
        <v>0</v>
      </c>
      <c r="K56" s="33"/>
      <c r="L56" s="33">
        <f t="shared" ca="1" si="4"/>
        <v>0</v>
      </c>
      <c r="M56" s="33">
        <f t="shared" ca="1" si="4"/>
        <v>0</v>
      </c>
      <c r="N56" s="33">
        <f t="shared" ca="1" si="4"/>
        <v>0</v>
      </c>
    </row>
    <row r="57" spans="7:14" ht="16.5" customHeight="1" thickBot="1">
      <c r="H57" s="489" t="s">
        <v>2</v>
      </c>
      <c r="I57" s="174" t="s">
        <v>18</v>
      </c>
      <c r="J57" s="11">
        <f t="shared" ca="1" si="3"/>
        <v>0</v>
      </c>
      <c r="K57" s="32"/>
      <c r="L57" s="32">
        <f t="shared" ref="L57:N59" ca="1" si="5">COUNTIFS($D$6:$D$47,$H$57,L$6:L$47,$I57)</f>
        <v>0</v>
      </c>
      <c r="M57" s="32">
        <f t="shared" ca="1" si="5"/>
        <v>0</v>
      </c>
      <c r="N57" s="32">
        <f t="shared" ca="1" si="5"/>
        <v>0</v>
      </c>
    </row>
    <row r="58" spans="7:14" ht="16.5" customHeight="1" thickBot="1">
      <c r="H58" s="489"/>
      <c r="I58" s="175" t="s">
        <v>120</v>
      </c>
      <c r="J58" s="13">
        <f t="shared" ca="1" si="3"/>
        <v>0</v>
      </c>
      <c r="K58" s="18"/>
      <c r="L58" s="18">
        <f t="shared" ca="1" si="5"/>
        <v>0</v>
      </c>
      <c r="M58" s="18">
        <f t="shared" ca="1" si="5"/>
        <v>0</v>
      </c>
      <c r="N58" s="18">
        <f t="shared" ca="1" si="5"/>
        <v>0</v>
      </c>
    </row>
    <row r="59" spans="7:14" ht="16.5" customHeight="1" thickBot="1">
      <c r="H59" s="489"/>
      <c r="I59" s="176" t="s">
        <v>121</v>
      </c>
      <c r="J59" s="15">
        <f t="shared" ca="1" si="3"/>
        <v>0</v>
      </c>
      <c r="K59" s="33"/>
      <c r="L59" s="33">
        <f t="shared" ca="1" si="5"/>
        <v>0</v>
      </c>
      <c r="M59" s="33">
        <f t="shared" ca="1" si="5"/>
        <v>0</v>
      </c>
      <c r="N59" s="33">
        <f t="shared" ca="1" si="5"/>
        <v>0</v>
      </c>
    </row>
    <row r="60" spans="7:14" ht="16.5" customHeight="1" thickBot="1">
      <c r="H60" s="489" t="s">
        <v>3</v>
      </c>
      <c r="I60" s="174" t="s">
        <v>18</v>
      </c>
      <c r="J60" s="11">
        <f t="shared" ca="1" si="3"/>
        <v>0</v>
      </c>
      <c r="K60" s="32"/>
      <c r="L60" s="32">
        <f t="shared" ref="L60:N62" ca="1" si="6">COUNTIFS($D$6:$D$47,$H$60,L$6:L$47,$I60)</f>
        <v>0</v>
      </c>
      <c r="M60" s="32">
        <f t="shared" ca="1" si="6"/>
        <v>0</v>
      </c>
      <c r="N60" s="32">
        <f t="shared" ca="1" si="6"/>
        <v>0</v>
      </c>
    </row>
    <row r="61" spans="7:14" ht="16.5" customHeight="1" thickBot="1">
      <c r="H61" s="489"/>
      <c r="I61" s="175" t="s">
        <v>120</v>
      </c>
      <c r="J61" s="13">
        <f t="shared" ca="1" si="3"/>
        <v>0</v>
      </c>
      <c r="K61" s="18"/>
      <c r="L61" s="18">
        <f t="shared" ca="1" si="6"/>
        <v>0</v>
      </c>
      <c r="M61" s="18">
        <f t="shared" ca="1" si="6"/>
        <v>0</v>
      </c>
      <c r="N61" s="18">
        <f t="shared" ca="1" si="6"/>
        <v>0</v>
      </c>
    </row>
    <row r="62" spans="7:14" ht="16.5" customHeight="1" thickBot="1">
      <c r="H62" s="489"/>
      <c r="I62" s="176" t="s">
        <v>121</v>
      </c>
      <c r="J62" s="15">
        <f t="shared" ca="1" si="3"/>
        <v>0</v>
      </c>
      <c r="K62" s="33"/>
      <c r="L62" s="33">
        <f t="shared" ca="1" si="6"/>
        <v>0</v>
      </c>
      <c r="M62" s="33">
        <f t="shared" ca="1" si="6"/>
        <v>0</v>
      </c>
      <c r="N62" s="33">
        <f t="shared" ca="1" si="6"/>
        <v>0</v>
      </c>
    </row>
    <row r="63" spans="7:14" ht="16.5" customHeight="1"/>
    <row r="64" spans="7:1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</sheetData>
  <mergeCells count="16">
    <mergeCell ref="A48:D48"/>
    <mergeCell ref="O4:O5"/>
    <mergeCell ref="N4:N5"/>
    <mergeCell ref="L4:L5"/>
    <mergeCell ref="A4:C4"/>
    <mergeCell ref="D4:D5"/>
    <mergeCell ref="E4:E5"/>
    <mergeCell ref="F4:J4"/>
    <mergeCell ref="K4:K5"/>
    <mergeCell ref="M4:M5"/>
    <mergeCell ref="H60:H62"/>
    <mergeCell ref="G50:I50"/>
    <mergeCell ref="G51:I51"/>
    <mergeCell ref="G52:I52"/>
    <mergeCell ref="H54:H56"/>
    <mergeCell ref="H57:H59"/>
  </mergeCells>
  <phoneticPr fontId="1" type="noConversion"/>
  <conditionalFormatting sqref="K6:N47">
    <cfRule type="cellIs" dxfId="38" priority="1" operator="equal">
      <formula>"인터뷰"</formula>
    </cfRule>
    <cfRule type="cellIs" dxfId="37" priority="23" stopIfTrue="1" operator="equal">
      <formula>"취약"</formula>
    </cfRule>
    <cfRule type="cellIs" dxfId="36" priority="24" stopIfTrue="1" operator="equal">
      <formula>"부분만족"</formula>
    </cfRule>
    <cfRule type="cellIs" dxfId="35" priority="25" stopIfTrue="1" operator="equal">
      <formula>"N/A"</formula>
    </cfRule>
  </conditionalFormatting>
  <pageMargins left="0.7" right="0.7" top="0.75" bottom="0.75" header="0.3" footer="0.3"/>
  <pageSetup paperSize="9" scale="61" fitToWidth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rgb="FF7030A0"/>
    <pageSetUpPr fitToPage="1"/>
  </sheetPr>
  <dimension ref="A1:D88"/>
  <sheetViews>
    <sheetView showGridLines="0" view="pageBreakPreview" zoomScale="85" zoomScaleNormal="85" zoomScaleSheetLayoutView="85" workbookViewId="0">
      <pane ySplit="5" topLeftCell="A6" activePane="bottomLeft" state="frozen"/>
      <selection pane="bottomLeft"/>
    </sheetView>
  </sheetViews>
  <sheetFormatPr defaultRowHeight="16.5"/>
  <cols>
    <col min="1" max="1" width="9.25" style="8" bestFit="1" customWidth="1"/>
    <col min="2" max="2" width="9" style="8"/>
    <col min="3" max="3" width="40.5" style="8" customWidth="1"/>
    <col min="4" max="4" width="125" style="8" customWidth="1"/>
    <col min="5" max="254" width="9" style="8"/>
    <col min="255" max="255" width="2.625" style="8" customWidth="1"/>
    <col min="256" max="256" width="9.25" style="8" bestFit="1" customWidth="1"/>
    <col min="257" max="257" width="9" style="8"/>
    <col min="258" max="258" width="40.5" style="8" customWidth="1"/>
    <col min="259" max="259" width="125" style="8" customWidth="1"/>
    <col min="260" max="260" width="2.625" style="8" customWidth="1"/>
    <col min="261" max="510" width="9" style="8"/>
    <col min="511" max="511" width="2.625" style="8" customWidth="1"/>
    <col min="512" max="512" width="9.25" style="8" bestFit="1" customWidth="1"/>
    <col min="513" max="513" width="9" style="8"/>
    <col min="514" max="514" width="40.5" style="8" customWidth="1"/>
    <col min="515" max="515" width="125" style="8" customWidth="1"/>
    <col min="516" max="516" width="2.625" style="8" customWidth="1"/>
    <col min="517" max="766" width="9" style="8"/>
    <col min="767" max="767" width="2.625" style="8" customWidth="1"/>
    <col min="768" max="768" width="9.25" style="8" bestFit="1" customWidth="1"/>
    <col min="769" max="769" width="9" style="8"/>
    <col min="770" max="770" width="40.5" style="8" customWidth="1"/>
    <col min="771" max="771" width="125" style="8" customWidth="1"/>
    <col min="772" max="772" width="2.625" style="8" customWidth="1"/>
    <col min="773" max="1022" width="9" style="8"/>
    <col min="1023" max="1023" width="2.625" style="8" customWidth="1"/>
    <col min="1024" max="1024" width="9.25" style="8" bestFit="1" customWidth="1"/>
    <col min="1025" max="1025" width="9" style="8"/>
    <col min="1026" max="1026" width="40.5" style="8" customWidth="1"/>
    <col min="1027" max="1027" width="125" style="8" customWidth="1"/>
    <col min="1028" max="1028" width="2.625" style="8" customWidth="1"/>
    <col min="1029" max="1278" width="9" style="8"/>
    <col min="1279" max="1279" width="2.625" style="8" customWidth="1"/>
    <col min="1280" max="1280" width="9.25" style="8" bestFit="1" customWidth="1"/>
    <col min="1281" max="1281" width="9" style="8"/>
    <col min="1282" max="1282" width="40.5" style="8" customWidth="1"/>
    <col min="1283" max="1283" width="125" style="8" customWidth="1"/>
    <col min="1284" max="1284" width="2.625" style="8" customWidth="1"/>
    <col min="1285" max="1534" width="9" style="8"/>
    <col min="1535" max="1535" width="2.625" style="8" customWidth="1"/>
    <col min="1536" max="1536" width="9.25" style="8" bestFit="1" customWidth="1"/>
    <col min="1537" max="1537" width="9" style="8"/>
    <col min="1538" max="1538" width="40.5" style="8" customWidth="1"/>
    <col min="1539" max="1539" width="125" style="8" customWidth="1"/>
    <col min="1540" max="1540" width="2.625" style="8" customWidth="1"/>
    <col min="1541" max="1790" width="9" style="8"/>
    <col min="1791" max="1791" width="2.625" style="8" customWidth="1"/>
    <col min="1792" max="1792" width="9.25" style="8" bestFit="1" customWidth="1"/>
    <col min="1793" max="1793" width="9" style="8"/>
    <col min="1794" max="1794" width="40.5" style="8" customWidth="1"/>
    <col min="1795" max="1795" width="125" style="8" customWidth="1"/>
    <col min="1796" max="1796" width="2.625" style="8" customWidth="1"/>
    <col min="1797" max="2046" width="9" style="8"/>
    <col min="2047" max="2047" width="2.625" style="8" customWidth="1"/>
    <col min="2048" max="2048" width="9.25" style="8" bestFit="1" customWidth="1"/>
    <col min="2049" max="2049" width="9" style="8"/>
    <col min="2050" max="2050" width="40.5" style="8" customWidth="1"/>
    <col min="2051" max="2051" width="125" style="8" customWidth="1"/>
    <col min="2052" max="2052" width="2.625" style="8" customWidth="1"/>
    <col min="2053" max="2302" width="9" style="8"/>
    <col min="2303" max="2303" width="2.625" style="8" customWidth="1"/>
    <col min="2304" max="2304" width="9.25" style="8" bestFit="1" customWidth="1"/>
    <col min="2305" max="2305" width="9" style="8"/>
    <col min="2306" max="2306" width="40.5" style="8" customWidth="1"/>
    <col min="2307" max="2307" width="125" style="8" customWidth="1"/>
    <col min="2308" max="2308" width="2.625" style="8" customWidth="1"/>
    <col min="2309" max="2558" width="9" style="8"/>
    <col min="2559" max="2559" width="2.625" style="8" customWidth="1"/>
    <col min="2560" max="2560" width="9.25" style="8" bestFit="1" customWidth="1"/>
    <col min="2561" max="2561" width="9" style="8"/>
    <col min="2562" max="2562" width="40.5" style="8" customWidth="1"/>
    <col min="2563" max="2563" width="125" style="8" customWidth="1"/>
    <col min="2564" max="2564" width="2.625" style="8" customWidth="1"/>
    <col min="2565" max="2814" width="9" style="8"/>
    <col min="2815" max="2815" width="2.625" style="8" customWidth="1"/>
    <col min="2816" max="2816" width="9.25" style="8" bestFit="1" customWidth="1"/>
    <col min="2817" max="2817" width="9" style="8"/>
    <col min="2818" max="2818" width="40.5" style="8" customWidth="1"/>
    <col min="2819" max="2819" width="125" style="8" customWidth="1"/>
    <col min="2820" max="2820" width="2.625" style="8" customWidth="1"/>
    <col min="2821" max="3070" width="9" style="8"/>
    <col min="3071" max="3071" width="2.625" style="8" customWidth="1"/>
    <col min="3072" max="3072" width="9.25" style="8" bestFit="1" customWidth="1"/>
    <col min="3073" max="3073" width="9" style="8"/>
    <col min="3074" max="3074" width="40.5" style="8" customWidth="1"/>
    <col min="3075" max="3075" width="125" style="8" customWidth="1"/>
    <col min="3076" max="3076" width="2.625" style="8" customWidth="1"/>
    <col min="3077" max="3326" width="9" style="8"/>
    <col min="3327" max="3327" width="2.625" style="8" customWidth="1"/>
    <col min="3328" max="3328" width="9.25" style="8" bestFit="1" customWidth="1"/>
    <col min="3329" max="3329" width="9" style="8"/>
    <col min="3330" max="3330" width="40.5" style="8" customWidth="1"/>
    <col min="3331" max="3331" width="125" style="8" customWidth="1"/>
    <col min="3332" max="3332" width="2.625" style="8" customWidth="1"/>
    <col min="3333" max="3582" width="9" style="8"/>
    <col min="3583" max="3583" width="2.625" style="8" customWidth="1"/>
    <col min="3584" max="3584" width="9.25" style="8" bestFit="1" customWidth="1"/>
    <col min="3585" max="3585" width="9" style="8"/>
    <col min="3586" max="3586" width="40.5" style="8" customWidth="1"/>
    <col min="3587" max="3587" width="125" style="8" customWidth="1"/>
    <col min="3588" max="3588" width="2.625" style="8" customWidth="1"/>
    <col min="3589" max="3838" width="9" style="8"/>
    <col min="3839" max="3839" width="2.625" style="8" customWidth="1"/>
    <col min="3840" max="3840" width="9.25" style="8" bestFit="1" customWidth="1"/>
    <col min="3841" max="3841" width="9" style="8"/>
    <col min="3842" max="3842" width="40.5" style="8" customWidth="1"/>
    <col min="3843" max="3843" width="125" style="8" customWidth="1"/>
    <col min="3844" max="3844" width="2.625" style="8" customWidth="1"/>
    <col min="3845" max="4094" width="9" style="8"/>
    <col min="4095" max="4095" width="2.625" style="8" customWidth="1"/>
    <col min="4096" max="4096" width="9.25" style="8" bestFit="1" customWidth="1"/>
    <col min="4097" max="4097" width="9" style="8"/>
    <col min="4098" max="4098" width="40.5" style="8" customWidth="1"/>
    <col min="4099" max="4099" width="125" style="8" customWidth="1"/>
    <col min="4100" max="4100" width="2.625" style="8" customWidth="1"/>
    <col min="4101" max="4350" width="9" style="8"/>
    <col min="4351" max="4351" width="2.625" style="8" customWidth="1"/>
    <col min="4352" max="4352" width="9.25" style="8" bestFit="1" customWidth="1"/>
    <col min="4353" max="4353" width="9" style="8"/>
    <col min="4354" max="4354" width="40.5" style="8" customWidth="1"/>
    <col min="4355" max="4355" width="125" style="8" customWidth="1"/>
    <col min="4356" max="4356" width="2.625" style="8" customWidth="1"/>
    <col min="4357" max="4606" width="9" style="8"/>
    <col min="4607" max="4607" width="2.625" style="8" customWidth="1"/>
    <col min="4608" max="4608" width="9.25" style="8" bestFit="1" customWidth="1"/>
    <col min="4609" max="4609" width="9" style="8"/>
    <col min="4610" max="4610" width="40.5" style="8" customWidth="1"/>
    <col min="4611" max="4611" width="125" style="8" customWidth="1"/>
    <col min="4612" max="4612" width="2.625" style="8" customWidth="1"/>
    <col min="4613" max="4862" width="9" style="8"/>
    <col min="4863" max="4863" width="2.625" style="8" customWidth="1"/>
    <col min="4864" max="4864" width="9.25" style="8" bestFit="1" customWidth="1"/>
    <col min="4865" max="4865" width="9" style="8"/>
    <col min="4866" max="4866" width="40.5" style="8" customWidth="1"/>
    <col min="4867" max="4867" width="125" style="8" customWidth="1"/>
    <col min="4868" max="4868" width="2.625" style="8" customWidth="1"/>
    <col min="4869" max="5118" width="9" style="8"/>
    <col min="5119" max="5119" width="2.625" style="8" customWidth="1"/>
    <col min="5120" max="5120" width="9.25" style="8" bestFit="1" customWidth="1"/>
    <col min="5121" max="5121" width="9" style="8"/>
    <col min="5122" max="5122" width="40.5" style="8" customWidth="1"/>
    <col min="5123" max="5123" width="125" style="8" customWidth="1"/>
    <col min="5124" max="5124" width="2.625" style="8" customWidth="1"/>
    <col min="5125" max="5374" width="9" style="8"/>
    <col min="5375" max="5375" width="2.625" style="8" customWidth="1"/>
    <col min="5376" max="5376" width="9.25" style="8" bestFit="1" customWidth="1"/>
    <col min="5377" max="5377" width="9" style="8"/>
    <col min="5378" max="5378" width="40.5" style="8" customWidth="1"/>
    <col min="5379" max="5379" width="125" style="8" customWidth="1"/>
    <col min="5380" max="5380" width="2.625" style="8" customWidth="1"/>
    <col min="5381" max="5630" width="9" style="8"/>
    <col min="5631" max="5631" width="2.625" style="8" customWidth="1"/>
    <col min="5632" max="5632" width="9.25" style="8" bestFit="1" customWidth="1"/>
    <col min="5633" max="5633" width="9" style="8"/>
    <col min="5634" max="5634" width="40.5" style="8" customWidth="1"/>
    <col min="5635" max="5635" width="125" style="8" customWidth="1"/>
    <col min="5636" max="5636" width="2.625" style="8" customWidth="1"/>
    <col min="5637" max="5886" width="9" style="8"/>
    <col min="5887" max="5887" width="2.625" style="8" customWidth="1"/>
    <col min="5888" max="5888" width="9.25" style="8" bestFit="1" customWidth="1"/>
    <col min="5889" max="5889" width="9" style="8"/>
    <col min="5890" max="5890" width="40.5" style="8" customWidth="1"/>
    <col min="5891" max="5891" width="125" style="8" customWidth="1"/>
    <col min="5892" max="5892" width="2.625" style="8" customWidth="1"/>
    <col min="5893" max="6142" width="9" style="8"/>
    <col min="6143" max="6143" width="2.625" style="8" customWidth="1"/>
    <col min="6144" max="6144" width="9.25" style="8" bestFit="1" customWidth="1"/>
    <col min="6145" max="6145" width="9" style="8"/>
    <col min="6146" max="6146" width="40.5" style="8" customWidth="1"/>
    <col min="6147" max="6147" width="125" style="8" customWidth="1"/>
    <col min="6148" max="6148" width="2.625" style="8" customWidth="1"/>
    <col min="6149" max="6398" width="9" style="8"/>
    <col min="6399" max="6399" width="2.625" style="8" customWidth="1"/>
    <col min="6400" max="6400" width="9.25" style="8" bestFit="1" customWidth="1"/>
    <col min="6401" max="6401" width="9" style="8"/>
    <col min="6402" max="6402" width="40.5" style="8" customWidth="1"/>
    <col min="6403" max="6403" width="125" style="8" customWidth="1"/>
    <col min="6404" max="6404" width="2.625" style="8" customWidth="1"/>
    <col min="6405" max="6654" width="9" style="8"/>
    <col min="6655" max="6655" width="2.625" style="8" customWidth="1"/>
    <col min="6656" max="6656" width="9.25" style="8" bestFit="1" customWidth="1"/>
    <col min="6657" max="6657" width="9" style="8"/>
    <col min="6658" max="6658" width="40.5" style="8" customWidth="1"/>
    <col min="6659" max="6659" width="125" style="8" customWidth="1"/>
    <col min="6660" max="6660" width="2.625" style="8" customWidth="1"/>
    <col min="6661" max="6910" width="9" style="8"/>
    <col min="6911" max="6911" width="2.625" style="8" customWidth="1"/>
    <col min="6912" max="6912" width="9.25" style="8" bestFit="1" customWidth="1"/>
    <col min="6913" max="6913" width="9" style="8"/>
    <col min="6914" max="6914" width="40.5" style="8" customWidth="1"/>
    <col min="6915" max="6915" width="125" style="8" customWidth="1"/>
    <col min="6916" max="6916" width="2.625" style="8" customWidth="1"/>
    <col min="6917" max="7166" width="9" style="8"/>
    <col min="7167" max="7167" width="2.625" style="8" customWidth="1"/>
    <col min="7168" max="7168" width="9.25" style="8" bestFit="1" customWidth="1"/>
    <col min="7169" max="7169" width="9" style="8"/>
    <col min="7170" max="7170" width="40.5" style="8" customWidth="1"/>
    <col min="7171" max="7171" width="125" style="8" customWidth="1"/>
    <col min="7172" max="7172" width="2.625" style="8" customWidth="1"/>
    <col min="7173" max="7422" width="9" style="8"/>
    <col min="7423" max="7423" width="2.625" style="8" customWidth="1"/>
    <col min="7424" max="7424" width="9.25" style="8" bestFit="1" customWidth="1"/>
    <col min="7425" max="7425" width="9" style="8"/>
    <col min="7426" max="7426" width="40.5" style="8" customWidth="1"/>
    <col min="7427" max="7427" width="125" style="8" customWidth="1"/>
    <col min="7428" max="7428" width="2.625" style="8" customWidth="1"/>
    <col min="7429" max="7678" width="9" style="8"/>
    <col min="7679" max="7679" width="2.625" style="8" customWidth="1"/>
    <col min="7680" max="7680" width="9.25" style="8" bestFit="1" customWidth="1"/>
    <col min="7681" max="7681" width="9" style="8"/>
    <col min="7682" max="7682" width="40.5" style="8" customWidth="1"/>
    <col min="7683" max="7683" width="125" style="8" customWidth="1"/>
    <col min="7684" max="7684" width="2.625" style="8" customWidth="1"/>
    <col min="7685" max="7934" width="9" style="8"/>
    <col min="7935" max="7935" width="2.625" style="8" customWidth="1"/>
    <col min="7936" max="7936" width="9.25" style="8" bestFit="1" customWidth="1"/>
    <col min="7937" max="7937" width="9" style="8"/>
    <col min="7938" max="7938" width="40.5" style="8" customWidth="1"/>
    <col min="7939" max="7939" width="125" style="8" customWidth="1"/>
    <col min="7940" max="7940" width="2.625" style="8" customWidth="1"/>
    <col min="7941" max="8190" width="9" style="8"/>
    <col min="8191" max="8191" width="2.625" style="8" customWidth="1"/>
    <col min="8192" max="8192" width="9.25" style="8" bestFit="1" customWidth="1"/>
    <col min="8193" max="8193" width="9" style="8"/>
    <col min="8194" max="8194" width="40.5" style="8" customWidth="1"/>
    <col min="8195" max="8195" width="125" style="8" customWidth="1"/>
    <col min="8196" max="8196" width="2.625" style="8" customWidth="1"/>
    <col min="8197" max="8446" width="9" style="8"/>
    <col min="8447" max="8447" width="2.625" style="8" customWidth="1"/>
    <col min="8448" max="8448" width="9.25" style="8" bestFit="1" customWidth="1"/>
    <col min="8449" max="8449" width="9" style="8"/>
    <col min="8450" max="8450" width="40.5" style="8" customWidth="1"/>
    <col min="8451" max="8451" width="125" style="8" customWidth="1"/>
    <col min="8452" max="8452" width="2.625" style="8" customWidth="1"/>
    <col min="8453" max="8702" width="9" style="8"/>
    <col min="8703" max="8703" width="2.625" style="8" customWidth="1"/>
    <col min="8704" max="8704" width="9.25" style="8" bestFit="1" customWidth="1"/>
    <col min="8705" max="8705" width="9" style="8"/>
    <col min="8706" max="8706" width="40.5" style="8" customWidth="1"/>
    <col min="8707" max="8707" width="125" style="8" customWidth="1"/>
    <col min="8708" max="8708" width="2.625" style="8" customWidth="1"/>
    <col min="8709" max="8958" width="9" style="8"/>
    <col min="8959" max="8959" width="2.625" style="8" customWidth="1"/>
    <col min="8960" max="8960" width="9.25" style="8" bestFit="1" customWidth="1"/>
    <col min="8961" max="8961" width="9" style="8"/>
    <col min="8962" max="8962" width="40.5" style="8" customWidth="1"/>
    <col min="8963" max="8963" width="125" style="8" customWidth="1"/>
    <col min="8964" max="8964" width="2.625" style="8" customWidth="1"/>
    <col min="8965" max="9214" width="9" style="8"/>
    <col min="9215" max="9215" width="2.625" style="8" customWidth="1"/>
    <col min="9216" max="9216" width="9.25" style="8" bestFit="1" customWidth="1"/>
    <col min="9217" max="9217" width="9" style="8"/>
    <col min="9218" max="9218" width="40.5" style="8" customWidth="1"/>
    <col min="9219" max="9219" width="125" style="8" customWidth="1"/>
    <col min="9220" max="9220" width="2.625" style="8" customWidth="1"/>
    <col min="9221" max="9470" width="9" style="8"/>
    <col min="9471" max="9471" width="2.625" style="8" customWidth="1"/>
    <col min="9472" max="9472" width="9.25" style="8" bestFit="1" customWidth="1"/>
    <col min="9473" max="9473" width="9" style="8"/>
    <col min="9474" max="9474" width="40.5" style="8" customWidth="1"/>
    <col min="9475" max="9475" width="125" style="8" customWidth="1"/>
    <col min="9476" max="9476" width="2.625" style="8" customWidth="1"/>
    <col min="9477" max="9726" width="9" style="8"/>
    <col min="9727" max="9727" width="2.625" style="8" customWidth="1"/>
    <col min="9728" max="9728" width="9.25" style="8" bestFit="1" customWidth="1"/>
    <col min="9729" max="9729" width="9" style="8"/>
    <col min="9730" max="9730" width="40.5" style="8" customWidth="1"/>
    <col min="9731" max="9731" width="125" style="8" customWidth="1"/>
    <col min="9732" max="9732" width="2.625" style="8" customWidth="1"/>
    <col min="9733" max="9982" width="9" style="8"/>
    <col min="9983" max="9983" width="2.625" style="8" customWidth="1"/>
    <col min="9984" max="9984" width="9.25" style="8" bestFit="1" customWidth="1"/>
    <col min="9985" max="9985" width="9" style="8"/>
    <col min="9986" max="9986" width="40.5" style="8" customWidth="1"/>
    <col min="9987" max="9987" width="125" style="8" customWidth="1"/>
    <col min="9988" max="9988" width="2.625" style="8" customWidth="1"/>
    <col min="9989" max="10238" width="9" style="8"/>
    <col min="10239" max="10239" width="2.625" style="8" customWidth="1"/>
    <col min="10240" max="10240" width="9.25" style="8" bestFit="1" customWidth="1"/>
    <col min="10241" max="10241" width="9" style="8"/>
    <col min="10242" max="10242" width="40.5" style="8" customWidth="1"/>
    <col min="10243" max="10243" width="125" style="8" customWidth="1"/>
    <col min="10244" max="10244" width="2.625" style="8" customWidth="1"/>
    <col min="10245" max="10494" width="9" style="8"/>
    <col min="10495" max="10495" width="2.625" style="8" customWidth="1"/>
    <col min="10496" max="10496" width="9.25" style="8" bestFit="1" customWidth="1"/>
    <col min="10497" max="10497" width="9" style="8"/>
    <col min="10498" max="10498" width="40.5" style="8" customWidth="1"/>
    <col min="10499" max="10499" width="125" style="8" customWidth="1"/>
    <col min="10500" max="10500" width="2.625" style="8" customWidth="1"/>
    <col min="10501" max="10750" width="9" style="8"/>
    <col min="10751" max="10751" width="2.625" style="8" customWidth="1"/>
    <col min="10752" max="10752" width="9.25" style="8" bestFit="1" customWidth="1"/>
    <col min="10753" max="10753" width="9" style="8"/>
    <col min="10754" max="10754" width="40.5" style="8" customWidth="1"/>
    <col min="10755" max="10755" width="125" style="8" customWidth="1"/>
    <col min="10756" max="10756" width="2.625" style="8" customWidth="1"/>
    <col min="10757" max="11006" width="9" style="8"/>
    <col min="11007" max="11007" width="2.625" style="8" customWidth="1"/>
    <col min="11008" max="11008" width="9.25" style="8" bestFit="1" customWidth="1"/>
    <col min="11009" max="11009" width="9" style="8"/>
    <col min="11010" max="11010" width="40.5" style="8" customWidth="1"/>
    <col min="11011" max="11011" width="125" style="8" customWidth="1"/>
    <col min="11012" max="11012" width="2.625" style="8" customWidth="1"/>
    <col min="11013" max="11262" width="9" style="8"/>
    <col min="11263" max="11263" width="2.625" style="8" customWidth="1"/>
    <col min="11264" max="11264" width="9.25" style="8" bestFit="1" customWidth="1"/>
    <col min="11265" max="11265" width="9" style="8"/>
    <col min="11266" max="11266" width="40.5" style="8" customWidth="1"/>
    <col min="11267" max="11267" width="125" style="8" customWidth="1"/>
    <col min="11268" max="11268" width="2.625" style="8" customWidth="1"/>
    <col min="11269" max="11518" width="9" style="8"/>
    <col min="11519" max="11519" width="2.625" style="8" customWidth="1"/>
    <col min="11520" max="11520" width="9.25" style="8" bestFit="1" customWidth="1"/>
    <col min="11521" max="11521" width="9" style="8"/>
    <col min="11522" max="11522" width="40.5" style="8" customWidth="1"/>
    <col min="11523" max="11523" width="125" style="8" customWidth="1"/>
    <col min="11524" max="11524" width="2.625" style="8" customWidth="1"/>
    <col min="11525" max="11774" width="9" style="8"/>
    <col min="11775" max="11775" width="2.625" style="8" customWidth="1"/>
    <col min="11776" max="11776" width="9.25" style="8" bestFit="1" customWidth="1"/>
    <col min="11777" max="11777" width="9" style="8"/>
    <col min="11778" max="11778" width="40.5" style="8" customWidth="1"/>
    <col min="11779" max="11779" width="125" style="8" customWidth="1"/>
    <col min="11780" max="11780" width="2.625" style="8" customWidth="1"/>
    <col min="11781" max="12030" width="9" style="8"/>
    <col min="12031" max="12031" width="2.625" style="8" customWidth="1"/>
    <col min="12032" max="12032" width="9.25" style="8" bestFit="1" customWidth="1"/>
    <col min="12033" max="12033" width="9" style="8"/>
    <col min="12034" max="12034" width="40.5" style="8" customWidth="1"/>
    <col min="12035" max="12035" width="125" style="8" customWidth="1"/>
    <col min="12036" max="12036" width="2.625" style="8" customWidth="1"/>
    <col min="12037" max="12286" width="9" style="8"/>
    <col min="12287" max="12287" width="2.625" style="8" customWidth="1"/>
    <col min="12288" max="12288" width="9.25" style="8" bestFit="1" customWidth="1"/>
    <col min="12289" max="12289" width="9" style="8"/>
    <col min="12290" max="12290" width="40.5" style="8" customWidth="1"/>
    <col min="12291" max="12291" width="125" style="8" customWidth="1"/>
    <col min="12292" max="12292" width="2.625" style="8" customWidth="1"/>
    <col min="12293" max="12542" width="9" style="8"/>
    <col min="12543" max="12543" width="2.625" style="8" customWidth="1"/>
    <col min="12544" max="12544" width="9.25" style="8" bestFit="1" customWidth="1"/>
    <col min="12545" max="12545" width="9" style="8"/>
    <col min="12546" max="12546" width="40.5" style="8" customWidth="1"/>
    <col min="12547" max="12547" width="125" style="8" customWidth="1"/>
    <col min="12548" max="12548" width="2.625" style="8" customWidth="1"/>
    <col min="12549" max="12798" width="9" style="8"/>
    <col min="12799" max="12799" width="2.625" style="8" customWidth="1"/>
    <col min="12800" max="12800" width="9.25" style="8" bestFit="1" customWidth="1"/>
    <col min="12801" max="12801" width="9" style="8"/>
    <col min="12802" max="12802" width="40.5" style="8" customWidth="1"/>
    <col min="12803" max="12803" width="125" style="8" customWidth="1"/>
    <col min="12804" max="12804" width="2.625" style="8" customWidth="1"/>
    <col min="12805" max="13054" width="9" style="8"/>
    <col min="13055" max="13055" width="2.625" style="8" customWidth="1"/>
    <col min="13056" max="13056" width="9.25" style="8" bestFit="1" customWidth="1"/>
    <col min="13057" max="13057" width="9" style="8"/>
    <col min="13058" max="13058" width="40.5" style="8" customWidth="1"/>
    <col min="13059" max="13059" width="125" style="8" customWidth="1"/>
    <col min="13060" max="13060" width="2.625" style="8" customWidth="1"/>
    <col min="13061" max="13310" width="9" style="8"/>
    <col min="13311" max="13311" width="2.625" style="8" customWidth="1"/>
    <col min="13312" max="13312" width="9.25" style="8" bestFit="1" customWidth="1"/>
    <col min="13313" max="13313" width="9" style="8"/>
    <col min="13314" max="13314" width="40.5" style="8" customWidth="1"/>
    <col min="13315" max="13315" width="125" style="8" customWidth="1"/>
    <col min="13316" max="13316" width="2.625" style="8" customWidth="1"/>
    <col min="13317" max="13566" width="9" style="8"/>
    <col min="13567" max="13567" width="2.625" style="8" customWidth="1"/>
    <col min="13568" max="13568" width="9.25" style="8" bestFit="1" customWidth="1"/>
    <col min="13569" max="13569" width="9" style="8"/>
    <col min="13570" max="13570" width="40.5" style="8" customWidth="1"/>
    <col min="13571" max="13571" width="125" style="8" customWidth="1"/>
    <col min="13572" max="13572" width="2.625" style="8" customWidth="1"/>
    <col min="13573" max="13822" width="9" style="8"/>
    <col min="13823" max="13823" width="2.625" style="8" customWidth="1"/>
    <col min="13824" max="13824" width="9.25" style="8" bestFit="1" customWidth="1"/>
    <col min="13825" max="13825" width="9" style="8"/>
    <col min="13826" max="13826" width="40.5" style="8" customWidth="1"/>
    <col min="13827" max="13827" width="125" style="8" customWidth="1"/>
    <col min="13828" max="13828" width="2.625" style="8" customWidth="1"/>
    <col min="13829" max="14078" width="9" style="8"/>
    <col min="14079" max="14079" width="2.625" style="8" customWidth="1"/>
    <col min="14080" max="14080" width="9.25" style="8" bestFit="1" customWidth="1"/>
    <col min="14081" max="14081" width="9" style="8"/>
    <col min="14082" max="14082" width="40.5" style="8" customWidth="1"/>
    <col min="14083" max="14083" width="125" style="8" customWidth="1"/>
    <col min="14084" max="14084" width="2.625" style="8" customWidth="1"/>
    <col min="14085" max="14334" width="9" style="8"/>
    <col min="14335" max="14335" width="2.625" style="8" customWidth="1"/>
    <col min="14336" max="14336" width="9.25" style="8" bestFit="1" customWidth="1"/>
    <col min="14337" max="14337" width="9" style="8"/>
    <col min="14338" max="14338" width="40.5" style="8" customWidth="1"/>
    <col min="14339" max="14339" width="125" style="8" customWidth="1"/>
    <col min="14340" max="14340" width="2.625" style="8" customWidth="1"/>
    <col min="14341" max="14590" width="9" style="8"/>
    <col min="14591" max="14591" width="2.625" style="8" customWidth="1"/>
    <col min="14592" max="14592" width="9.25" style="8" bestFit="1" customWidth="1"/>
    <col min="14593" max="14593" width="9" style="8"/>
    <col min="14594" max="14594" width="40.5" style="8" customWidth="1"/>
    <col min="14595" max="14595" width="125" style="8" customWidth="1"/>
    <col min="14596" max="14596" width="2.625" style="8" customWidth="1"/>
    <col min="14597" max="14846" width="9" style="8"/>
    <col min="14847" max="14847" width="2.625" style="8" customWidth="1"/>
    <col min="14848" max="14848" width="9.25" style="8" bestFit="1" customWidth="1"/>
    <col min="14849" max="14849" width="9" style="8"/>
    <col min="14850" max="14850" width="40.5" style="8" customWidth="1"/>
    <col min="14851" max="14851" width="125" style="8" customWidth="1"/>
    <col min="14852" max="14852" width="2.625" style="8" customWidth="1"/>
    <col min="14853" max="15102" width="9" style="8"/>
    <col min="15103" max="15103" width="2.625" style="8" customWidth="1"/>
    <col min="15104" max="15104" width="9.25" style="8" bestFit="1" customWidth="1"/>
    <col min="15105" max="15105" width="9" style="8"/>
    <col min="15106" max="15106" width="40.5" style="8" customWidth="1"/>
    <col min="15107" max="15107" width="125" style="8" customWidth="1"/>
    <col min="15108" max="15108" width="2.625" style="8" customWidth="1"/>
    <col min="15109" max="15358" width="9" style="8"/>
    <col min="15359" max="15359" width="2.625" style="8" customWidth="1"/>
    <col min="15360" max="15360" width="9.25" style="8" bestFit="1" customWidth="1"/>
    <col min="15361" max="15361" width="9" style="8"/>
    <col min="15362" max="15362" width="40.5" style="8" customWidth="1"/>
    <col min="15363" max="15363" width="125" style="8" customWidth="1"/>
    <col min="15364" max="15364" width="2.625" style="8" customWidth="1"/>
    <col min="15365" max="15614" width="9" style="8"/>
    <col min="15615" max="15615" width="2.625" style="8" customWidth="1"/>
    <col min="15616" max="15616" width="9.25" style="8" bestFit="1" customWidth="1"/>
    <col min="15617" max="15617" width="9" style="8"/>
    <col min="15618" max="15618" width="40.5" style="8" customWidth="1"/>
    <col min="15619" max="15619" width="125" style="8" customWidth="1"/>
    <col min="15620" max="15620" width="2.625" style="8" customWidth="1"/>
    <col min="15621" max="15870" width="9" style="8"/>
    <col min="15871" max="15871" width="2.625" style="8" customWidth="1"/>
    <col min="15872" max="15872" width="9.25" style="8" bestFit="1" customWidth="1"/>
    <col min="15873" max="15873" width="9" style="8"/>
    <col min="15874" max="15874" width="40.5" style="8" customWidth="1"/>
    <col min="15875" max="15875" width="125" style="8" customWidth="1"/>
    <col min="15876" max="15876" width="2.625" style="8" customWidth="1"/>
    <col min="15877" max="16126" width="9" style="8"/>
    <col min="16127" max="16127" width="2.625" style="8" customWidth="1"/>
    <col min="16128" max="16128" width="9.25" style="8" bestFit="1" customWidth="1"/>
    <col min="16129" max="16129" width="9" style="8"/>
    <col min="16130" max="16130" width="40.5" style="8" customWidth="1"/>
    <col min="16131" max="16131" width="125" style="8" customWidth="1"/>
    <col min="16132" max="16132" width="2.625" style="8" customWidth="1"/>
    <col min="16133" max="16384" width="9" style="8"/>
  </cols>
  <sheetData>
    <row r="1" spans="1:4" s="5" customFormat="1" ht="13.5">
      <c r="D1" s="41"/>
    </row>
    <row r="2" spans="1:4" s="7" customFormat="1" ht="18" customHeight="1">
      <c r="A2" s="72" t="s">
        <v>152</v>
      </c>
      <c r="B2" s="6"/>
      <c r="C2" s="6"/>
      <c r="D2" s="21"/>
    </row>
    <row r="3" spans="1:4" s="7" customFormat="1" ht="5.0999999999999996" customHeight="1" thickBot="1">
      <c r="B3" s="1"/>
      <c r="C3" s="1"/>
      <c r="D3" s="1"/>
    </row>
    <row r="4" spans="1:4" ht="18" customHeight="1">
      <c r="A4" s="361" t="s">
        <v>56</v>
      </c>
      <c r="B4" s="363"/>
      <c r="C4" s="363"/>
      <c r="D4" s="510" t="s">
        <v>65</v>
      </c>
    </row>
    <row r="5" spans="1:4" ht="17.25" thickBot="1">
      <c r="A5" s="74" t="s">
        <v>59</v>
      </c>
      <c r="B5" s="75" t="s">
        <v>60</v>
      </c>
      <c r="C5" s="75" t="s">
        <v>15</v>
      </c>
      <c r="D5" s="511"/>
    </row>
    <row r="6" spans="1:4" ht="16.5" customHeight="1">
      <c r="A6" s="171" t="s">
        <v>241</v>
      </c>
      <c r="B6" s="98" t="s">
        <v>253</v>
      </c>
      <c r="C6" s="88" t="s">
        <v>294</v>
      </c>
      <c r="D6" s="96" t="str">
        <f ca="1">IFERROR(fn취약대상('요약 통계'!6:6),"-")</f>
        <v>-</v>
      </c>
    </row>
    <row r="7" spans="1:4" ht="16.5" customHeight="1">
      <c r="A7" s="172" t="s">
        <v>241</v>
      </c>
      <c r="B7" s="99" t="s">
        <v>254</v>
      </c>
      <c r="C7" s="91" t="s">
        <v>295</v>
      </c>
      <c r="D7" s="97" t="str">
        <f ca="1">IFERROR(fn취약대상('요약 통계'!7:7),"-")</f>
        <v>-</v>
      </c>
    </row>
    <row r="8" spans="1:4" ht="16.5" customHeight="1">
      <c r="A8" s="172" t="s">
        <v>241</v>
      </c>
      <c r="B8" s="99" t="s">
        <v>255</v>
      </c>
      <c r="C8" s="91" t="s">
        <v>296</v>
      </c>
      <c r="D8" s="97" t="str">
        <f ca="1">IFERROR(fn취약대상('요약 통계'!8:8),"-")</f>
        <v>-</v>
      </c>
    </row>
    <row r="9" spans="1:4" ht="16.5" customHeight="1">
      <c r="A9" s="172" t="s">
        <v>241</v>
      </c>
      <c r="B9" s="99" t="s">
        <v>256</v>
      </c>
      <c r="C9" s="91" t="s">
        <v>297</v>
      </c>
      <c r="D9" s="97" t="str">
        <f ca="1">IFERROR(fn취약대상('요약 통계'!9:9),"-")</f>
        <v>-</v>
      </c>
    </row>
    <row r="10" spans="1:4" ht="16.5" customHeight="1">
      <c r="A10" s="172" t="s">
        <v>233</v>
      </c>
      <c r="B10" s="99" t="s">
        <v>257</v>
      </c>
      <c r="C10" s="91" t="s">
        <v>298</v>
      </c>
      <c r="D10" s="97" t="str">
        <f ca="1">IFERROR(fn취약대상('요약 통계'!10:10),"-")</f>
        <v>-</v>
      </c>
    </row>
    <row r="11" spans="1:4" ht="16.5" customHeight="1">
      <c r="A11" s="172" t="s">
        <v>241</v>
      </c>
      <c r="B11" s="99" t="s">
        <v>258</v>
      </c>
      <c r="C11" s="91" t="s">
        <v>299</v>
      </c>
      <c r="D11" s="97" t="str">
        <f ca="1">IFERROR(fn취약대상('요약 통계'!11:11),"-")</f>
        <v>-</v>
      </c>
    </row>
    <row r="12" spans="1:4" ht="16.5" customHeight="1">
      <c r="A12" s="172" t="s">
        <v>241</v>
      </c>
      <c r="B12" s="99" t="s">
        <v>259</v>
      </c>
      <c r="C12" s="91" t="s">
        <v>300</v>
      </c>
      <c r="D12" s="97" t="str">
        <f ca="1">IFERROR(fn취약대상('요약 통계'!12:12),"-")</f>
        <v>-</v>
      </c>
    </row>
    <row r="13" spans="1:4" ht="16.5" customHeight="1">
      <c r="A13" s="172" t="s">
        <v>241</v>
      </c>
      <c r="B13" s="99" t="s">
        <v>260</v>
      </c>
      <c r="C13" s="91" t="s">
        <v>301</v>
      </c>
      <c r="D13" s="97" t="str">
        <f ca="1">IFERROR(fn취약대상('요약 통계'!13:13),"-")</f>
        <v>-</v>
      </c>
    </row>
    <row r="14" spans="1:4" ht="16.5" customHeight="1">
      <c r="A14" s="172" t="s">
        <v>241</v>
      </c>
      <c r="B14" s="99" t="s">
        <v>261</v>
      </c>
      <c r="C14" s="91" t="s">
        <v>302</v>
      </c>
      <c r="D14" s="97" t="str">
        <f ca="1">IFERROR(fn취약대상('요약 통계'!14:14),"-")</f>
        <v>-</v>
      </c>
    </row>
    <row r="15" spans="1:4" ht="16.5" customHeight="1">
      <c r="A15" s="172" t="s">
        <v>241</v>
      </c>
      <c r="B15" s="99" t="s">
        <v>262</v>
      </c>
      <c r="C15" s="91" t="s">
        <v>303</v>
      </c>
      <c r="D15" s="97" t="str">
        <f ca="1">IFERROR(fn취약대상('요약 통계'!15:15),"-")</f>
        <v>-</v>
      </c>
    </row>
    <row r="16" spans="1:4" ht="16.5" customHeight="1">
      <c r="A16" s="172" t="s">
        <v>241</v>
      </c>
      <c r="B16" s="99" t="s">
        <v>263</v>
      </c>
      <c r="C16" s="91" t="s">
        <v>304</v>
      </c>
      <c r="D16" s="97" t="str">
        <f ca="1">IFERROR(fn취약대상('요약 통계'!16:16),"-")</f>
        <v>-</v>
      </c>
    </row>
    <row r="17" spans="1:4" ht="16.5" customHeight="1">
      <c r="A17" s="172" t="s">
        <v>241</v>
      </c>
      <c r="B17" s="99" t="s">
        <v>264</v>
      </c>
      <c r="C17" s="91" t="s">
        <v>305</v>
      </c>
      <c r="D17" s="97" t="str">
        <f ca="1">IFERROR(fn취약대상('요약 통계'!17:17),"-")</f>
        <v>-</v>
      </c>
    </row>
    <row r="18" spans="1:4" ht="16.5" customHeight="1">
      <c r="A18" s="172" t="s">
        <v>241</v>
      </c>
      <c r="B18" s="99" t="s">
        <v>265</v>
      </c>
      <c r="C18" s="91" t="s">
        <v>306</v>
      </c>
      <c r="D18" s="97" t="str">
        <f ca="1">IFERROR(fn취약대상('요약 통계'!18:18),"-")</f>
        <v>-</v>
      </c>
    </row>
    <row r="19" spans="1:4" ht="16.5" customHeight="1">
      <c r="A19" s="172" t="s">
        <v>241</v>
      </c>
      <c r="B19" s="99" t="s">
        <v>266</v>
      </c>
      <c r="C19" s="91" t="s">
        <v>307</v>
      </c>
      <c r="D19" s="97" t="str">
        <f ca="1">IFERROR(fn취약대상('요약 통계'!19:19),"-")</f>
        <v>-</v>
      </c>
    </row>
    <row r="20" spans="1:4" ht="16.5" customHeight="1">
      <c r="A20" s="172" t="s">
        <v>241</v>
      </c>
      <c r="B20" s="99" t="s">
        <v>267</v>
      </c>
      <c r="C20" s="91" t="s">
        <v>598</v>
      </c>
      <c r="D20" s="97" t="str">
        <f ca="1">IFERROR(fn취약대상('요약 통계'!20:20),"-")</f>
        <v>-</v>
      </c>
    </row>
    <row r="21" spans="1:4" ht="16.5" customHeight="1">
      <c r="A21" s="172" t="s">
        <v>241</v>
      </c>
      <c r="B21" s="99" t="s">
        <v>268</v>
      </c>
      <c r="C21" s="91" t="s">
        <v>308</v>
      </c>
      <c r="D21" s="97" t="str">
        <f ca="1">IFERROR(fn취약대상('요약 통계'!21:21),"-")</f>
        <v>-</v>
      </c>
    </row>
    <row r="22" spans="1:4" ht="16.5" customHeight="1">
      <c r="A22" s="172" t="s">
        <v>242</v>
      </c>
      <c r="B22" s="99" t="s">
        <v>269</v>
      </c>
      <c r="C22" s="91" t="s">
        <v>309</v>
      </c>
      <c r="D22" s="97" t="str">
        <f ca="1">IFERROR(fn취약대상('요약 통계'!22:22),"-")</f>
        <v>-</v>
      </c>
    </row>
    <row r="23" spans="1:4" ht="16.5" customHeight="1">
      <c r="A23" s="172" t="s">
        <v>242</v>
      </c>
      <c r="B23" s="99" t="s">
        <v>270</v>
      </c>
      <c r="C23" s="91" t="s">
        <v>310</v>
      </c>
      <c r="D23" s="97" t="str">
        <f ca="1">IFERROR(fn취약대상('요약 통계'!23:23),"-")</f>
        <v>-</v>
      </c>
    </row>
    <row r="24" spans="1:4" ht="16.5" customHeight="1">
      <c r="A24" s="172" t="s">
        <v>242</v>
      </c>
      <c r="B24" s="99" t="s">
        <v>271</v>
      </c>
      <c r="C24" s="91" t="s">
        <v>311</v>
      </c>
      <c r="D24" s="97" t="str">
        <f ca="1">IFERROR(fn취약대상('요약 통계'!24:24),"-")</f>
        <v>-</v>
      </c>
    </row>
    <row r="25" spans="1:4" ht="16.5" customHeight="1">
      <c r="A25" s="172" t="s">
        <v>242</v>
      </c>
      <c r="B25" s="99" t="s">
        <v>272</v>
      </c>
      <c r="C25" s="91" t="s">
        <v>312</v>
      </c>
      <c r="D25" s="97" t="str">
        <f ca="1">IFERROR(fn취약대상('요약 통계'!25:25),"-")</f>
        <v>-</v>
      </c>
    </row>
    <row r="26" spans="1:4" ht="16.5" customHeight="1">
      <c r="A26" s="172" t="s">
        <v>241</v>
      </c>
      <c r="B26" s="99" t="s">
        <v>273</v>
      </c>
      <c r="C26" s="91" t="s">
        <v>313</v>
      </c>
      <c r="D26" s="97" t="str">
        <f ca="1">IFERROR(fn취약대상('요약 통계'!26:26),"-")</f>
        <v>-</v>
      </c>
    </row>
    <row r="27" spans="1:4" ht="16.5" customHeight="1">
      <c r="A27" s="172" t="s">
        <v>241</v>
      </c>
      <c r="B27" s="99" t="s">
        <v>274</v>
      </c>
      <c r="C27" s="91" t="s">
        <v>314</v>
      </c>
      <c r="D27" s="97" t="str">
        <f ca="1">IFERROR(fn취약대상('요약 통계'!27:27),"-")</f>
        <v>-</v>
      </c>
    </row>
    <row r="28" spans="1:4" ht="16.5" customHeight="1">
      <c r="A28" s="172" t="s">
        <v>241</v>
      </c>
      <c r="B28" s="99" t="s">
        <v>275</v>
      </c>
      <c r="C28" s="91" t="s">
        <v>315</v>
      </c>
      <c r="D28" s="97" t="str">
        <f ca="1">IFERROR(fn취약대상('요약 통계'!28:28),"-")</f>
        <v>-</v>
      </c>
    </row>
    <row r="29" spans="1:4" ht="16.5" customHeight="1">
      <c r="A29" s="172" t="s">
        <v>241</v>
      </c>
      <c r="B29" s="99" t="s">
        <v>276</v>
      </c>
      <c r="C29" s="91" t="s">
        <v>316</v>
      </c>
      <c r="D29" s="97" t="str">
        <f ca="1">IFERROR(fn취약대상('요약 통계'!29:29),"-")</f>
        <v>-</v>
      </c>
    </row>
    <row r="30" spans="1:4" ht="16.5" customHeight="1">
      <c r="A30" s="172" t="s">
        <v>241</v>
      </c>
      <c r="B30" s="99" t="s">
        <v>277</v>
      </c>
      <c r="C30" s="91" t="s">
        <v>317</v>
      </c>
      <c r="D30" s="97" t="str">
        <f ca="1">IFERROR(fn취약대상('요약 통계'!30:30),"-")</f>
        <v>-</v>
      </c>
    </row>
    <row r="31" spans="1:4" ht="16.5" customHeight="1">
      <c r="A31" s="172" t="s">
        <v>241</v>
      </c>
      <c r="B31" s="99" t="s">
        <v>278</v>
      </c>
      <c r="C31" s="91" t="s">
        <v>318</v>
      </c>
      <c r="D31" s="97" t="str">
        <f ca="1">IFERROR(fn취약대상('요약 통계'!31:31),"-")</f>
        <v>-</v>
      </c>
    </row>
    <row r="32" spans="1:4" ht="16.5" customHeight="1">
      <c r="A32" s="172" t="s">
        <v>241</v>
      </c>
      <c r="B32" s="99" t="s">
        <v>279</v>
      </c>
      <c r="C32" s="91" t="s">
        <v>319</v>
      </c>
      <c r="D32" s="97" t="str">
        <f ca="1">IFERROR(fn취약대상('요약 통계'!32:32),"-")</f>
        <v>-</v>
      </c>
    </row>
    <row r="33" spans="1:4" ht="16.5" customHeight="1">
      <c r="A33" s="172" t="s">
        <v>241</v>
      </c>
      <c r="B33" s="99" t="s">
        <v>280</v>
      </c>
      <c r="C33" s="91" t="s">
        <v>320</v>
      </c>
      <c r="D33" s="97" t="str">
        <f ca="1">IFERROR(fn취약대상('요약 통계'!33:33),"-")</f>
        <v>-</v>
      </c>
    </row>
    <row r="34" spans="1:4" ht="16.5" customHeight="1">
      <c r="A34" s="172" t="s">
        <v>241</v>
      </c>
      <c r="B34" s="99" t="s">
        <v>281</v>
      </c>
      <c r="C34" s="91" t="s">
        <v>321</v>
      </c>
      <c r="D34" s="97" t="str">
        <f ca="1">IFERROR(fn취약대상('요약 통계'!34:34),"-")</f>
        <v>-</v>
      </c>
    </row>
    <row r="35" spans="1:4" ht="16.5" customHeight="1">
      <c r="A35" s="172" t="s">
        <v>241</v>
      </c>
      <c r="B35" s="99" t="s">
        <v>282</v>
      </c>
      <c r="C35" s="91" t="s">
        <v>322</v>
      </c>
      <c r="D35" s="97" t="str">
        <f ca="1">IFERROR(fn취약대상('요약 통계'!35:35),"-")</f>
        <v>-</v>
      </c>
    </row>
    <row r="36" spans="1:4" ht="16.5" customHeight="1">
      <c r="A36" s="172" t="s">
        <v>241</v>
      </c>
      <c r="B36" s="99" t="s">
        <v>283</v>
      </c>
      <c r="C36" s="91" t="s">
        <v>323</v>
      </c>
      <c r="D36" s="97" t="str">
        <f ca="1">IFERROR(fn취약대상('요약 통계'!36:36),"-")</f>
        <v>-</v>
      </c>
    </row>
    <row r="37" spans="1:4" ht="16.5" customHeight="1">
      <c r="A37" s="172" t="s">
        <v>241</v>
      </c>
      <c r="B37" s="99" t="s">
        <v>284</v>
      </c>
      <c r="C37" s="91" t="s">
        <v>324</v>
      </c>
      <c r="D37" s="97" t="str">
        <f ca="1">IFERROR(fn취약대상('요약 통계'!37:37),"-")</f>
        <v>-</v>
      </c>
    </row>
    <row r="38" spans="1:4" ht="16.5" customHeight="1">
      <c r="A38" s="172" t="s">
        <v>241</v>
      </c>
      <c r="B38" s="99" t="s">
        <v>285</v>
      </c>
      <c r="C38" s="91" t="s">
        <v>325</v>
      </c>
      <c r="D38" s="97" t="str">
        <f ca="1">IFERROR(fn취약대상('요약 통계'!38:38),"-")</f>
        <v>-</v>
      </c>
    </row>
    <row r="39" spans="1:4" ht="16.5" customHeight="1">
      <c r="A39" s="172" t="s">
        <v>241</v>
      </c>
      <c r="B39" s="99" t="s">
        <v>286</v>
      </c>
      <c r="C39" s="91" t="s">
        <v>326</v>
      </c>
      <c r="D39" s="97" t="str">
        <f ca="1">IFERROR(fn취약대상('요약 통계'!39:39),"-")</f>
        <v>-</v>
      </c>
    </row>
    <row r="40" spans="1:4" ht="16.5" customHeight="1">
      <c r="A40" s="172" t="s">
        <v>241</v>
      </c>
      <c r="B40" s="99" t="s">
        <v>287</v>
      </c>
      <c r="C40" s="91" t="s">
        <v>327</v>
      </c>
      <c r="D40" s="97" t="str">
        <f ca="1">IFERROR(fn취약대상('요약 통계'!40:40),"-")</f>
        <v>-</v>
      </c>
    </row>
    <row r="41" spans="1:4" ht="16.5" customHeight="1">
      <c r="A41" s="172" t="s">
        <v>241</v>
      </c>
      <c r="B41" s="99" t="s">
        <v>288</v>
      </c>
      <c r="C41" s="91" t="s">
        <v>328</v>
      </c>
      <c r="D41" s="97" t="str">
        <f ca="1">IFERROR(fn취약대상('요약 통계'!41:41),"-")</f>
        <v>-</v>
      </c>
    </row>
    <row r="42" spans="1:4" ht="16.5" customHeight="1">
      <c r="A42" s="172" t="s">
        <v>241</v>
      </c>
      <c r="B42" s="99" t="s">
        <v>289</v>
      </c>
      <c r="C42" s="91" t="s">
        <v>329</v>
      </c>
      <c r="D42" s="97" t="str">
        <f ca="1">IFERROR(fn취약대상('요약 통계'!42:42),"-")</f>
        <v>-</v>
      </c>
    </row>
    <row r="43" spans="1:4" ht="16.5" customHeight="1">
      <c r="A43" s="172" t="s">
        <v>241</v>
      </c>
      <c r="B43" s="99" t="s">
        <v>290</v>
      </c>
      <c r="C43" s="91" t="s">
        <v>330</v>
      </c>
      <c r="D43" s="97" t="str">
        <f ca="1">IFERROR(fn취약대상('요약 통계'!43:43),"-")</f>
        <v>-</v>
      </c>
    </row>
    <row r="44" spans="1:4" ht="16.5" customHeight="1">
      <c r="A44" s="172" t="s">
        <v>241</v>
      </c>
      <c r="B44" s="99" t="s">
        <v>291</v>
      </c>
      <c r="C44" s="91" t="s">
        <v>331</v>
      </c>
      <c r="D44" s="97" t="str">
        <f ca="1">IFERROR(fn취약대상('요약 통계'!44:44),"-")</f>
        <v>-</v>
      </c>
    </row>
    <row r="45" spans="1:4" ht="16.5" customHeight="1">
      <c r="A45" s="172" t="s">
        <v>241</v>
      </c>
      <c r="B45" s="99" t="s">
        <v>292</v>
      </c>
      <c r="C45" s="91" t="s">
        <v>332</v>
      </c>
      <c r="D45" s="97" t="str">
        <f ca="1">IFERROR(fn취약대상('요약 통계'!45:45),"-")</f>
        <v>-</v>
      </c>
    </row>
    <row r="46" spans="1:4" ht="16.5" customHeight="1">
      <c r="A46" s="172" t="s">
        <v>241</v>
      </c>
      <c r="B46" s="99" t="s">
        <v>293</v>
      </c>
      <c r="C46" s="91" t="s">
        <v>333</v>
      </c>
      <c r="D46" s="97" t="str">
        <f ca="1">IFERROR(fn취약대상('요약 통계'!46:46),"-")</f>
        <v>-</v>
      </c>
    </row>
    <row r="47" spans="1:4" ht="16.5" customHeight="1" thickBot="1">
      <c r="A47" s="229" t="s">
        <v>241</v>
      </c>
      <c r="B47" s="230" t="s">
        <v>453</v>
      </c>
      <c r="C47" s="231" t="s">
        <v>455</v>
      </c>
      <c r="D47" s="232" t="str">
        <f ca="1">IFERROR(fn취약대상('요약 통계'!47:47),"-")</f>
        <v>-</v>
      </c>
    </row>
    <row r="49" ht="16.5" customHeight="1"/>
    <row r="50" ht="16.5" customHeight="1"/>
    <row r="51" ht="16.5" customHeight="1"/>
    <row r="52" ht="16.5" customHeight="1"/>
    <row r="53" ht="16.5" customHeight="1"/>
    <row r="54" ht="16.5" customHeight="1"/>
    <row r="55" ht="16.5" customHeight="1"/>
    <row r="56" ht="16.5" customHeight="1"/>
    <row r="57" ht="16.5" customHeight="1"/>
    <row r="58" ht="16.5" customHeight="1"/>
    <row r="59" ht="16.5" customHeight="1"/>
    <row r="60" ht="16.5" customHeight="1"/>
    <row r="61" ht="16.5" customHeight="1"/>
    <row r="62" ht="16.5" customHeight="1"/>
    <row r="63" ht="16.5" customHeight="1"/>
    <row r="6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</sheetData>
  <mergeCells count="2">
    <mergeCell ref="A4:C4"/>
    <mergeCell ref="D4:D5"/>
  </mergeCells>
  <phoneticPr fontId="1" type="noConversion"/>
  <conditionalFormatting sqref="D6:D47">
    <cfRule type="cellIs" dxfId="34" priority="1" stopIfTrue="1" operator="equal">
      <formula>"취약"</formula>
    </cfRule>
    <cfRule type="cellIs" dxfId="33" priority="2" stopIfTrue="1" operator="equal">
      <formula>"부분만족"</formula>
    </cfRule>
    <cfRule type="cellIs" dxfId="32" priority="3" stopIfTrue="1" operator="equal">
      <formula>"N/A"</formula>
    </cfRule>
  </conditionalFormatting>
  <printOptions horizontalCentered="1"/>
  <pageMargins left="0.39370078740157483" right="0.39370078740157483" top="0.59055118110236215" bottom="0.59055118110236215" header="0.19685039370078741" footer="0.19685039370078741"/>
  <pageSetup paperSize="9" scale="47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tabColor theme="1"/>
    <pageSetUpPr fitToPage="1"/>
  </sheetPr>
  <dimension ref="A1:N103"/>
  <sheetViews>
    <sheetView showGridLines="0" view="pageBreakPreview" zoomScale="85" zoomScaleNormal="85" zoomScaleSheetLayoutView="85" workbookViewId="0">
      <pane ySplit="5" topLeftCell="A6" activePane="bottomLeft" state="frozen"/>
      <selection pane="bottomLeft"/>
    </sheetView>
  </sheetViews>
  <sheetFormatPr defaultRowHeight="16.5"/>
  <cols>
    <col min="1" max="1" width="9.25" style="8" bestFit="1" customWidth="1"/>
    <col min="2" max="2" width="9" style="8"/>
    <col min="3" max="3" width="40.5" style="8" customWidth="1"/>
    <col min="4" max="5" width="6.125" style="8" customWidth="1"/>
    <col min="6" max="10" width="6.75" style="8" customWidth="1"/>
    <col min="11" max="11" width="9.25" style="8" hidden="1" customWidth="1"/>
    <col min="12" max="14" width="9.25" style="8" customWidth="1"/>
    <col min="15" max="15" width="2.625" style="8" customWidth="1"/>
    <col min="16" max="208" width="9" style="8"/>
    <col min="209" max="209" width="2.625" style="8" customWidth="1"/>
    <col min="210" max="210" width="9.25" style="8" bestFit="1" customWidth="1"/>
    <col min="211" max="211" width="9" style="8"/>
    <col min="212" max="212" width="40.5" style="8" customWidth="1"/>
    <col min="213" max="214" width="6.125" style="8" customWidth="1"/>
    <col min="215" max="220" width="6.75" style="8" customWidth="1"/>
    <col min="221" max="270" width="9.25" style="8" customWidth="1"/>
    <col min="271" max="271" width="2.625" style="8" customWidth="1"/>
    <col min="272" max="464" width="9" style="8"/>
    <col min="465" max="465" width="2.625" style="8" customWidth="1"/>
    <col min="466" max="466" width="9.25" style="8" bestFit="1" customWidth="1"/>
    <col min="467" max="467" width="9" style="8"/>
    <col min="468" max="468" width="40.5" style="8" customWidth="1"/>
    <col min="469" max="470" width="6.125" style="8" customWidth="1"/>
    <col min="471" max="476" width="6.75" style="8" customWidth="1"/>
    <col min="477" max="526" width="9.25" style="8" customWidth="1"/>
    <col min="527" max="527" width="2.625" style="8" customWidth="1"/>
    <col min="528" max="720" width="9" style="8"/>
    <col min="721" max="721" width="2.625" style="8" customWidth="1"/>
    <col min="722" max="722" width="9.25" style="8" bestFit="1" customWidth="1"/>
    <col min="723" max="723" width="9" style="8"/>
    <col min="724" max="724" width="40.5" style="8" customWidth="1"/>
    <col min="725" max="726" width="6.125" style="8" customWidth="1"/>
    <col min="727" max="732" width="6.75" style="8" customWidth="1"/>
    <col min="733" max="782" width="9.25" style="8" customWidth="1"/>
    <col min="783" max="783" width="2.625" style="8" customWidth="1"/>
    <col min="784" max="976" width="9" style="8"/>
    <col min="977" max="977" width="2.625" style="8" customWidth="1"/>
    <col min="978" max="978" width="9.25" style="8" bestFit="1" customWidth="1"/>
    <col min="979" max="979" width="9" style="8"/>
    <col min="980" max="980" width="40.5" style="8" customWidth="1"/>
    <col min="981" max="982" width="6.125" style="8" customWidth="1"/>
    <col min="983" max="988" width="6.75" style="8" customWidth="1"/>
    <col min="989" max="1038" width="9.25" style="8" customWidth="1"/>
    <col min="1039" max="1039" width="2.625" style="8" customWidth="1"/>
    <col min="1040" max="1232" width="9" style="8"/>
    <col min="1233" max="1233" width="2.625" style="8" customWidth="1"/>
    <col min="1234" max="1234" width="9.25" style="8" bestFit="1" customWidth="1"/>
    <col min="1235" max="1235" width="9" style="8"/>
    <col min="1236" max="1236" width="40.5" style="8" customWidth="1"/>
    <col min="1237" max="1238" width="6.125" style="8" customWidth="1"/>
    <col min="1239" max="1244" width="6.75" style="8" customWidth="1"/>
    <col min="1245" max="1294" width="9.25" style="8" customWidth="1"/>
    <col min="1295" max="1295" width="2.625" style="8" customWidth="1"/>
    <col min="1296" max="1488" width="9" style="8"/>
    <col min="1489" max="1489" width="2.625" style="8" customWidth="1"/>
    <col min="1490" max="1490" width="9.25" style="8" bestFit="1" customWidth="1"/>
    <col min="1491" max="1491" width="9" style="8"/>
    <col min="1492" max="1492" width="40.5" style="8" customWidth="1"/>
    <col min="1493" max="1494" width="6.125" style="8" customWidth="1"/>
    <col min="1495" max="1500" width="6.75" style="8" customWidth="1"/>
    <col min="1501" max="1550" width="9.25" style="8" customWidth="1"/>
    <col min="1551" max="1551" width="2.625" style="8" customWidth="1"/>
    <col min="1552" max="1744" width="9" style="8"/>
    <col min="1745" max="1745" width="2.625" style="8" customWidth="1"/>
    <col min="1746" max="1746" width="9.25" style="8" bestFit="1" customWidth="1"/>
    <col min="1747" max="1747" width="9" style="8"/>
    <col min="1748" max="1748" width="40.5" style="8" customWidth="1"/>
    <col min="1749" max="1750" width="6.125" style="8" customWidth="1"/>
    <col min="1751" max="1756" width="6.75" style="8" customWidth="1"/>
    <col min="1757" max="1806" width="9.25" style="8" customWidth="1"/>
    <col min="1807" max="1807" width="2.625" style="8" customWidth="1"/>
    <col min="1808" max="2000" width="9" style="8"/>
    <col min="2001" max="2001" width="2.625" style="8" customWidth="1"/>
    <col min="2002" max="2002" width="9.25" style="8" bestFit="1" customWidth="1"/>
    <col min="2003" max="2003" width="9" style="8"/>
    <col min="2004" max="2004" width="40.5" style="8" customWidth="1"/>
    <col min="2005" max="2006" width="6.125" style="8" customWidth="1"/>
    <col min="2007" max="2012" width="6.75" style="8" customWidth="1"/>
    <col min="2013" max="2062" width="9.25" style="8" customWidth="1"/>
    <col min="2063" max="2063" width="2.625" style="8" customWidth="1"/>
    <col min="2064" max="2256" width="9" style="8"/>
    <col min="2257" max="2257" width="2.625" style="8" customWidth="1"/>
    <col min="2258" max="2258" width="9.25" style="8" bestFit="1" customWidth="1"/>
    <col min="2259" max="2259" width="9" style="8"/>
    <col min="2260" max="2260" width="40.5" style="8" customWidth="1"/>
    <col min="2261" max="2262" width="6.125" style="8" customWidth="1"/>
    <col min="2263" max="2268" width="6.75" style="8" customWidth="1"/>
    <col min="2269" max="2318" width="9.25" style="8" customWidth="1"/>
    <col min="2319" max="2319" width="2.625" style="8" customWidth="1"/>
    <col min="2320" max="2512" width="9" style="8"/>
    <col min="2513" max="2513" width="2.625" style="8" customWidth="1"/>
    <col min="2514" max="2514" width="9.25" style="8" bestFit="1" customWidth="1"/>
    <col min="2515" max="2515" width="9" style="8"/>
    <col min="2516" max="2516" width="40.5" style="8" customWidth="1"/>
    <col min="2517" max="2518" width="6.125" style="8" customWidth="1"/>
    <col min="2519" max="2524" width="6.75" style="8" customWidth="1"/>
    <col min="2525" max="2574" width="9.25" style="8" customWidth="1"/>
    <col min="2575" max="2575" width="2.625" style="8" customWidth="1"/>
    <col min="2576" max="2768" width="9" style="8"/>
    <col min="2769" max="2769" width="2.625" style="8" customWidth="1"/>
    <col min="2770" max="2770" width="9.25" style="8" bestFit="1" customWidth="1"/>
    <col min="2771" max="2771" width="9" style="8"/>
    <col min="2772" max="2772" width="40.5" style="8" customWidth="1"/>
    <col min="2773" max="2774" width="6.125" style="8" customWidth="1"/>
    <col min="2775" max="2780" width="6.75" style="8" customWidth="1"/>
    <col min="2781" max="2830" width="9.25" style="8" customWidth="1"/>
    <col min="2831" max="2831" width="2.625" style="8" customWidth="1"/>
    <col min="2832" max="3024" width="9" style="8"/>
    <col min="3025" max="3025" width="2.625" style="8" customWidth="1"/>
    <col min="3026" max="3026" width="9.25" style="8" bestFit="1" customWidth="1"/>
    <col min="3027" max="3027" width="9" style="8"/>
    <col min="3028" max="3028" width="40.5" style="8" customWidth="1"/>
    <col min="3029" max="3030" width="6.125" style="8" customWidth="1"/>
    <col min="3031" max="3036" width="6.75" style="8" customWidth="1"/>
    <col min="3037" max="3086" width="9.25" style="8" customWidth="1"/>
    <col min="3087" max="3087" width="2.625" style="8" customWidth="1"/>
    <col min="3088" max="3280" width="9" style="8"/>
    <col min="3281" max="3281" width="2.625" style="8" customWidth="1"/>
    <col min="3282" max="3282" width="9.25" style="8" bestFit="1" customWidth="1"/>
    <col min="3283" max="3283" width="9" style="8"/>
    <col min="3284" max="3284" width="40.5" style="8" customWidth="1"/>
    <col min="3285" max="3286" width="6.125" style="8" customWidth="1"/>
    <col min="3287" max="3292" width="6.75" style="8" customWidth="1"/>
    <col min="3293" max="3342" width="9.25" style="8" customWidth="1"/>
    <col min="3343" max="3343" width="2.625" style="8" customWidth="1"/>
    <col min="3344" max="3536" width="9" style="8"/>
    <col min="3537" max="3537" width="2.625" style="8" customWidth="1"/>
    <col min="3538" max="3538" width="9.25" style="8" bestFit="1" customWidth="1"/>
    <col min="3539" max="3539" width="9" style="8"/>
    <col min="3540" max="3540" width="40.5" style="8" customWidth="1"/>
    <col min="3541" max="3542" width="6.125" style="8" customWidth="1"/>
    <col min="3543" max="3548" width="6.75" style="8" customWidth="1"/>
    <col min="3549" max="3598" width="9.25" style="8" customWidth="1"/>
    <col min="3599" max="3599" width="2.625" style="8" customWidth="1"/>
    <col min="3600" max="3792" width="9" style="8"/>
    <col min="3793" max="3793" width="2.625" style="8" customWidth="1"/>
    <col min="3794" max="3794" width="9.25" style="8" bestFit="1" customWidth="1"/>
    <col min="3795" max="3795" width="9" style="8"/>
    <col min="3796" max="3796" width="40.5" style="8" customWidth="1"/>
    <col min="3797" max="3798" width="6.125" style="8" customWidth="1"/>
    <col min="3799" max="3804" width="6.75" style="8" customWidth="1"/>
    <col min="3805" max="3854" width="9.25" style="8" customWidth="1"/>
    <col min="3855" max="3855" width="2.625" style="8" customWidth="1"/>
    <col min="3856" max="4048" width="9" style="8"/>
    <col min="4049" max="4049" width="2.625" style="8" customWidth="1"/>
    <col min="4050" max="4050" width="9.25" style="8" bestFit="1" customWidth="1"/>
    <col min="4051" max="4051" width="9" style="8"/>
    <col min="4052" max="4052" width="40.5" style="8" customWidth="1"/>
    <col min="4053" max="4054" width="6.125" style="8" customWidth="1"/>
    <col min="4055" max="4060" width="6.75" style="8" customWidth="1"/>
    <col min="4061" max="4110" width="9.25" style="8" customWidth="1"/>
    <col min="4111" max="4111" width="2.625" style="8" customWidth="1"/>
    <col min="4112" max="4304" width="9" style="8"/>
    <col min="4305" max="4305" width="2.625" style="8" customWidth="1"/>
    <col min="4306" max="4306" width="9.25" style="8" bestFit="1" customWidth="1"/>
    <col min="4307" max="4307" width="9" style="8"/>
    <col min="4308" max="4308" width="40.5" style="8" customWidth="1"/>
    <col min="4309" max="4310" width="6.125" style="8" customWidth="1"/>
    <col min="4311" max="4316" width="6.75" style="8" customWidth="1"/>
    <col min="4317" max="4366" width="9.25" style="8" customWidth="1"/>
    <col min="4367" max="4367" width="2.625" style="8" customWidth="1"/>
    <col min="4368" max="4560" width="9" style="8"/>
    <col min="4561" max="4561" width="2.625" style="8" customWidth="1"/>
    <col min="4562" max="4562" width="9.25" style="8" bestFit="1" customWidth="1"/>
    <col min="4563" max="4563" width="9" style="8"/>
    <col min="4564" max="4564" width="40.5" style="8" customWidth="1"/>
    <col min="4565" max="4566" width="6.125" style="8" customWidth="1"/>
    <col min="4567" max="4572" width="6.75" style="8" customWidth="1"/>
    <col min="4573" max="4622" width="9.25" style="8" customWidth="1"/>
    <col min="4623" max="4623" width="2.625" style="8" customWidth="1"/>
    <col min="4624" max="4816" width="9" style="8"/>
    <col min="4817" max="4817" width="2.625" style="8" customWidth="1"/>
    <col min="4818" max="4818" width="9.25" style="8" bestFit="1" customWidth="1"/>
    <col min="4819" max="4819" width="9" style="8"/>
    <col min="4820" max="4820" width="40.5" style="8" customWidth="1"/>
    <col min="4821" max="4822" width="6.125" style="8" customWidth="1"/>
    <col min="4823" max="4828" width="6.75" style="8" customWidth="1"/>
    <col min="4829" max="4878" width="9.25" style="8" customWidth="1"/>
    <col min="4879" max="4879" width="2.625" style="8" customWidth="1"/>
    <col min="4880" max="5072" width="9" style="8"/>
    <col min="5073" max="5073" width="2.625" style="8" customWidth="1"/>
    <col min="5074" max="5074" width="9.25" style="8" bestFit="1" customWidth="1"/>
    <col min="5075" max="5075" width="9" style="8"/>
    <col min="5076" max="5076" width="40.5" style="8" customWidth="1"/>
    <col min="5077" max="5078" width="6.125" style="8" customWidth="1"/>
    <col min="5079" max="5084" width="6.75" style="8" customWidth="1"/>
    <col min="5085" max="5134" width="9.25" style="8" customWidth="1"/>
    <col min="5135" max="5135" width="2.625" style="8" customWidth="1"/>
    <col min="5136" max="5328" width="9" style="8"/>
    <col min="5329" max="5329" width="2.625" style="8" customWidth="1"/>
    <col min="5330" max="5330" width="9.25" style="8" bestFit="1" customWidth="1"/>
    <col min="5331" max="5331" width="9" style="8"/>
    <col min="5332" max="5332" width="40.5" style="8" customWidth="1"/>
    <col min="5333" max="5334" width="6.125" style="8" customWidth="1"/>
    <col min="5335" max="5340" width="6.75" style="8" customWidth="1"/>
    <col min="5341" max="5390" width="9.25" style="8" customWidth="1"/>
    <col min="5391" max="5391" width="2.625" style="8" customWidth="1"/>
    <col min="5392" max="5584" width="9" style="8"/>
    <col min="5585" max="5585" width="2.625" style="8" customWidth="1"/>
    <col min="5586" max="5586" width="9.25" style="8" bestFit="1" customWidth="1"/>
    <col min="5587" max="5587" width="9" style="8"/>
    <col min="5588" max="5588" width="40.5" style="8" customWidth="1"/>
    <col min="5589" max="5590" width="6.125" style="8" customWidth="1"/>
    <col min="5591" max="5596" width="6.75" style="8" customWidth="1"/>
    <col min="5597" max="5646" width="9.25" style="8" customWidth="1"/>
    <col min="5647" max="5647" width="2.625" style="8" customWidth="1"/>
    <col min="5648" max="5840" width="9" style="8"/>
    <col min="5841" max="5841" width="2.625" style="8" customWidth="1"/>
    <col min="5842" max="5842" width="9.25" style="8" bestFit="1" customWidth="1"/>
    <col min="5843" max="5843" width="9" style="8"/>
    <col min="5844" max="5844" width="40.5" style="8" customWidth="1"/>
    <col min="5845" max="5846" width="6.125" style="8" customWidth="1"/>
    <col min="5847" max="5852" width="6.75" style="8" customWidth="1"/>
    <col min="5853" max="5902" width="9.25" style="8" customWidth="1"/>
    <col min="5903" max="5903" width="2.625" style="8" customWidth="1"/>
    <col min="5904" max="6096" width="9" style="8"/>
    <col min="6097" max="6097" width="2.625" style="8" customWidth="1"/>
    <col min="6098" max="6098" width="9.25" style="8" bestFit="1" customWidth="1"/>
    <col min="6099" max="6099" width="9" style="8"/>
    <col min="6100" max="6100" width="40.5" style="8" customWidth="1"/>
    <col min="6101" max="6102" width="6.125" style="8" customWidth="1"/>
    <col min="6103" max="6108" width="6.75" style="8" customWidth="1"/>
    <col min="6109" max="6158" width="9.25" style="8" customWidth="1"/>
    <col min="6159" max="6159" width="2.625" style="8" customWidth="1"/>
    <col min="6160" max="6352" width="9" style="8"/>
    <col min="6353" max="6353" width="2.625" style="8" customWidth="1"/>
    <col min="6354" max="6354" width="9.25" style="8" bestFit="1" customWidth="1"/>
    <col min="6355" max="6355" width="9" style="8"/>
    <col min="6356" max="6356" width="40.5" style="8" customWidth="1"/>
    <col min="6357" max="6358" width="6.125" style="8" customWidth="1"/>
    <col min="6359" max="6364" width="6.75" style="8" customWidth="1"/>
    <col min="6365" max="6414" width="9.25" style="8" customWidth="1"/>
    <col min="6415" max="6415" width="2.625" style="8" customWidth="1"/>
    <col min="6416" max="6608" width="9" style="8"/>
    <col min="6609" max="6609" width="2.625" style="8" customWidth="1"/>
    <col min="6610" max="6610" width="9.25" style="8" bestFit="1" customWidth="1"/>
    <col min="6611" max="6611" width="9" style="8"/>
    <col min="6612" max="6612" width="40.5" style="8" customWidth="1"/>
    <col min="6613" max="6614" width="6.125" style="8" customWidth="1"/>
    <col min="6615" max="6620" width="6.75" style="8" customWidth="1"/>
    <col min="6621" max="6670" width="9.25" style="8" customWidth="1"/>
    <col min="6671" max="6671" width="2.625" style="8" customWidth="1"/>
    <col min="6672" max="6864" width="9" style="8"/>
    <col min="6865" max="6865" width="2.625" style="8" customWidth="1"/>
    <col min="6866" max="6866" width="9.25" style="8" bestFit="1" customWidth="1"/>
    <col min="6867" max="6867" width="9" style="8"/>
    <col min="6868" max="6868" width="40.5" style="8" customWidth="1"/>
    <col min="6869" max="6870" width="6.125" style="8" customWidth="1"/>
    <col min="6871" max="6876" width="6.75" style="8" customWidth="1"/>
    <col min="6877" max="6926" width="9.25" style="8" customWidth="1"/>
    <col min="6927" max="6927" width="2.625" style="8" customWidth="1"/>
    <col min="6928" max="7120" width="9" style="8"/>
    <col min="7121" max="7121" width="2.625" style="8" customWidth="1"/>
    <col min="7122" max="7122" width="9.25" style="8" bestFit="1" customWidth="1"/>
    <col min="7123" max="7123" width="9" style="8"/>
    <col min="7124" max="7124" width="40.5" style="8" customWidth="1"/>
    <col min="7125" max="7126" width="6.125" style="8" customWidth="1"/>
    <col min="7127" max="7132" width="6.75" style="8" customWidth="1"/>
    <col min="7133" max="7182" width="9.25" style="8" customWidth="1"/>
    <col min="7183" max="7183" width="2.625" style="8" customWidth="1"/>
    <col min="7184" max="7376" width="9" style="8"/>
    <col min="7377" max="7377" width="2.625" style="8" customWidth="1"/>
    <col min="7378" max="7378" width="9.25" style="8" bestFit="1" customWidth="1"/>
    <col min="7379" max="7379" width="9" style="8"/>
    <col min="7380" max="7380" width="40.5" style="8" customWidth="1"/>
    <col min="7381" max="7382" width="6.125" style="8" customWidth="1"/>
    <col min="7383" max="7388" width="6.75" style="8" customWidth="1"/>
    <col min="7389" max="7438" width="9.25" style="8" customWidth="1"/>
    <col min="7439" max="7439" width="2.625" style="8" customWidth="1"/>
    <col min="7440" max="7632" width="9" style="8"/>
    <col min="7633" max="7633" width="2.625" style="8" customWidth="1"/>
    <col min="7634" max="7634" width="9.25" style="8" bestFit="1" customWidth="1"/>
    <col min="7635" max="7635" width="9" style="8"/>
    <col min="7636" max="7636" width="40.5" style="8" customWidth="1"/>
    <col min="7637" max="7638" width="6.125" style="8" customWidth="1"/>
    <col min="7639" max="7644" width="6.75" style="8" customWidth="1"/>
    <col min="7645" max="7694" width="9.25" style="8" customWidth="1"/>
    <col min="7695" max="7695" width="2.625" style="8" customWidth="1"/>
    <col min="7696" max="7888" width="9" style="8"/>
    <col min="7889" max="7889" width="2.625" style="8" customWidth="1"/>
    <col min="7890" max="7890" width="9.25" style="8" bestFit="1" customWidth="1"/>
    <col min="7891" max="7891" width="9" style="8"/>
    <col min="7892" max="7892" width="40.5" style="8" customWidth="1"/>
    <col min="7893" max="7894" width="6.125" style="8" customWidth="1"/>
    <col min="7895" max="7900" width="6.75" style="8" customWidth="1"/>
    <col min="7901" max="7950" width="9.25" style="8" customWidth="1"/>
    <col min="7951" max="7951" width="2.625" style="8" customWidth="1"/>
    <col min="7952" max="8144" width="9" style="8"/>
    <col min="8145" max="8145" width="2.625" style="8" customWidth="1"/>
    <col min="8146" max="8146" width="9.25" style="8" bestFit="1" customWidth="1"/>
    <col min="8147" max="8147" width="9" style="8"/>
    <col min="8148" max="8148" width="40.5" style="8" customWidth="1"/>
    <col min="8149" max="8150" width="6.125" style="8" customWidth="1"/>
    <col min="8151" max="8156" width="6.75" style="8" customWidth="1"/>
    <col min="8157" max="8206" width="9.25" style="8" customWidth="1"/>
    <col min="8207" max="8207" width="2.625" style="8" customWidth="1"/>
    <col min="8208" max="8400" width="9" style="8"/>
    <col min="8401" max="8401" width="2.625" style="8" customWidth="1"/>
    <col min="8402" max="8402" width="9.25" style="8" bestFit="1" customWidth="1"/>
    <col min="8403" max="8403" width="9" style="8"/>
    <col min="8404" max="8404" width="40.5" style="8" customWidth="1"/>
    <col min="8405" max="8406" width="6.125" style="8" customWidth="1"/>
    <col min="8407" max="8412" width="6.75" style="8" customWidth="1"/>
    <col min="8413" max="8462" width="9.25" style="8" customWidth="1"/>
    <col min="8463" max="8463" width="2.625" style="8" customWidth="1"/>
    <col min="8464" max="8656" width="9" style="8"/>
    <col min="8657" max="8657" width="2.625" style="8" customWidth="1"/>
    <col min="8658" max="8658" width="9.25" style="8" bestFit="1" customWidth="1"/>
    <col min="8659" max="8659" width="9" style="8"/>
    <col min="8660" max="8660" width="40.5" style="8" customWidth="1"/>
    <col min="8661" max="8662" width="6.125" style="8" customWidth="1"/>
    <col min="8663" max="8668" width="6.75" style="8" customWidth="1"/>
    <col min="8669" max="8718" width="9.25" style="8" customWidth="1"/>
    <col min="8719" max="8719" width="2.625" style="8" customWidth="1"/>
    <col min="8720" max="8912" width="9" style="8"/>
    <col min="8913" max="8913" width="2.625" style="8" customWidth="1"/>
    <col min="8914" max="8914" width="9.25" style="8" bestFit="1" customWidth="1"/>
    <col min="8915" max="8915" width="9" style="8"/>
    <col min="8916" max="8916" width="40.5" style="8" customWidth="1"/>
    <col min="8917" max="8918" width="6.125" style="8" customWidth="1"/>
    <col min="8919" max="8924" width="6.75" style="8" customWidth="1"/>
    <col min="8925" max="8974" width="9.25" style="8" customWidth="1"/>
    <col min="8975" max="8975" width="2.625" style="8" customWidth="1"/>
    <col min="8976" max="9168" width="9" style="8"/>
    <col min="9169" max="9169" width="2.625" style="8" customWidth="1"/>
    <col min="9170" max="9170" width="9.25" style="8" bestFit="1" customWidth="1"/>
    <col min="9171" max="9171" width="9" style="8"/>
    <col min="9172" max="9172" width="40.5" style="8" customWidth="1"/>
    <col min="9173" max="9174" width="6.125" style="8" customWidth="1"/>
    <col min="9175" max="9180" width="6.75" style="8" customWidth="1"/>
    <col min="9181" max="9230" width="9.25" style="8" customWidth="1"/>
    <col min="9231" max="9231" width="2.625" style="8" customWidth="1"/>
    <col min="9232" max="9424" width="9" style="8"/>
    <col min="9425" max="9425" width="2.625" style="8" customWidth="1"/>
    <col min="9426" max="9426" width="9.25" style="8" bestFit="1" customWidth="1"/>
    <col min="9427" max="9427" width="9" style="8"/>
    <col min="9428" max="9428" width="40.5" style="8" customWidth="1"/>
    <col min="9429" max="9430" width="6.125" style="8" customWidth="1"/>
    <col min="9431" max="9436" width="6.75" style="8" customWidth="1"/>
    <col min="9437" max="9486" width="9.25" style="8" customWidth="1"/>
    <col min="9487" max="9487" width="2.625" style="8" customWidth="1"/>
    <col min="9488" max="9680" width="9" style="8"/>
    <col min="9681" max="9681" width="2.625" style="8" customWidth="1"/>
    <col min="9682" max="9682" width="9.25" style="8" bestFit="1" customWidth="1"/>
    <col min="9683" max="9683" width="9" style="8"/>
    <col min="9684" max="9684" width="40.5" style="8" customWidth="1"/>
    <col min="9685" max="9686" width="6.125" style="8" customWidth="1"/>
    <col min="9687" max="9692" width="6.75" style="8" customWidth="1"/>
    <col min="9693" max="9742" width="9.25" style="8" customWidth="1"/>
    <col min="9743" max="9743" width="2.625" style="8" customWidth="1"/>
    <col min="9744" max="9936" width="9" style="8"/>
    <col min="9937" max="9937" width="2.625" style="8" customWidth="1"/>
    <col min="9938" max="9938" width="9.25" style="8" bestFit="1" customWidth="1"/>
    <col min="9939" max="9939" width="9" style="8"/>
    <col min="9940" max="9940" width="40.5" style="8" customWidth="1"/>
    <col min="9941" max="9942" width="6.125" style="8" customWidth="1"/>
    <col min="9943" max="9948" width="6.75" style="8" customWidth="1"/>
    <col min="9949" max="9998" width="9.25" style="8" customWidth="1"/>
    <col min="9999" max="9999" width="2.625" style="8" customWidth="1"/>
    <col min="10000" max="10192" width="9" style="8"/>
    <col min="10193" max="10193" width="2.625" style="8" customWidth="1"/>
    <col min="10194" max="10194" width="9.25" style="8" bestFit="1" customWidth="1"/>
    <col min="10195" max="10195" width="9" style="8"/>
    <col min="10196" max="10196" width="40.5" style="8" customWidth="1"/>
    <col min="10197" max="10198" width="6.125" style="8" customWidth="1"/>
    <col min="10199" max="10204" width="6.75" style="8" customWidth="1"/>
    <col min="10205" max="10254" width="9.25" style="8" customWidth="1"/>
    <col min="10255" max="10255" width="2.625" style="8" customWidth="1"/>
    <col min="10256" max="10448" width="9" style="8"/>
    <col min="10449" max="10449" width="2.625" style="8" customWidth="1"/>
    <col min="10450" max="10450" width="9.25" style="8" bestFit="1" customWidth="1"/>
    <col min="10451" max="10451" width="9" style="8"/>
    <col min="10452" max="10452" width="40.5" style="8" customWidth="1"/>
    <col min="10453" max="10454" width="6.125" style="8" customWidth="1"/>
    <col min="10455" max="10460" width="6.75" style="8" customWidth="1"/>
    <col min="10461" max="10510" width="9.25" style="8" customWidth="1"/>
    <col min="10511" max="10511" width="2.625" style="8" customWidth="1"/>
    <col min="10512" max="10704" width="9" style="8"/>
    <col min="10705" max="10705" width="2.625" style="8" customWidth="1"/>
    <col min="10706" max="10706" width="9.25" style="8" bestFit="1" customWidth="1"/>
    <col min="10707" max="10707" width="9" style="8"/>
    <col min="10708" max="10708" width="40.5" style="8" customWidth="1"/>
    <col min="10709" max="10710" width="6.125" style="8" customWidth="1"/>
    <col min="10711" max="10716" width="6.75" style="8" customWidth="1"/>
    <col min="10717" max="10766" width="9.25" style="8" customWidth="1"/>
    <col min="10767" max="10767" width="2.625" style="8" customWidth="1"/>
    <col min="10768" max="10960" width="9" style="8"/>
    <col min="10961" max="10961" width="2.625" style="8" customWidth="1"/>
    <col min="10962" max="10962" width="9.25" style="8" bestFit="1" customWidth="1"/>
    <col min="10963" max="10963" width="9" style="8"/>
    <col min="10964" max="10964" width="40.5" style="8" customWidth="1"/>
    <col min="10965" max="10966" width="6.125" style="8" customWidth="1"/>
    <col min="10967" max="10972" width="6.75" style="8" customWidth="1"/>
    <col min="10973" max="11022" width="9.25" style="8" customWidth="1"/>
    <col min="11023" max="11023" width="2.625" style="8" customWidth="1"/>
    <col min="11024" max="11216" width="9" style="8"/>
    <col min="11217" max="11217" width="2.625" style="8" customWidth="1"/>
    <col min="11218" max="11218" width="9.25" style="8" bestFit="1" customWidth="1"/>
    <col min="11219" max="11219" width="9" style="8"/>
    <col min="11220" max="11220" width="40.5" style="8" customWidth="1"/>
    <col min="11221" max="11222" width="6.125" style="8" customWidth="1"/>
    <col min="11223" max="11228" width="6.75" style="8" customWidth="1"/>
    <col min="11229" max="11278" width="9.25" style="8" customWidth="1"/>
    <col min="11279" max="11279" width="2.625" style="8" customWidth="1"/>
    <col min="11280" max="11472" width="9" style="8"/>
    <col min="11473" max="11473" width="2.625" style="8" customWidth="1"/>
    <col min="11474" max="11474" width="9.25" style="8" bestFit="1" customWidth="1"/>
    <col min="11475" max="11475" width="9" style="8"/>
    <col min="11476" max="11476" width="40.5" style="8" customWidth="1"/>
    <col min="11477" max="11478" width="6.125" style="8" customWidth="1"/>
    <col min="11479" max="11484" width="6.75" style="8" customWidth="1"/>
    <col min="11485" max="11534" width="9.25" style="8" customWidth="1"/>
    <col min="11535" max="11535" width="2.625" style="8" customWidth="1"/>
    <col min="11536" max="11728" width="9" style="8"/>
    <col min="11729" max="11729" width="2.625" style="8" customWidth="1"/>
    <col min="11730" max="11730" width="9.25" style="8" bestFit="1" customWidth="1"/>
    <col min="11731" max="11731" width="9" style="8"/>
    <col min="11732" max="11732" width="40.5" style="8" customWidth="1"/>
    <col min="11733" max="11734" width="6.125" style="8" customWidth="1"/>
    <col min="11735" max="11740" width="6.75" style="8" customWidth="1"/>
    <col min="11741" max="11790" width="9.25" style="8" customWidth="1"/>
    <col min="11791" max="11791" width="2.625" style="8" customWidth="1"/>
    <col min="11792" max="11984" width="9" style="8"/>
    <col min="11985" max="11985" width="2.625" style="8" customWidth="1"/>
    <col min="11986" max="11986" width="9.25" style="8" bestFit="1" customWidth="1"/>
    <col min="11987" max="11987" width="9" style="8"/>
    <col min="11988" max="11988" width="40.5" style="8" customWidth="1"/>
    <col min="11989" max="11990" width="6.125" style="8" customWidth="1"/>
    <col min="11991" max="11996" width="6.75" style="8" customWidth="1"/>
    <col min="11997" max="12046" width="9.25" style="8" customWidth="1"/>
    <col min="12047" max="12047" width="2.625" style="8" customWidth="1"/>
    <col min="12048" max="12240" width="9" style="8"/>
    <col min="12241" max="12241" width="2.625" style="8" customWidth="1"/>
    <col min="12242" max="12242" width="9.25" style="8" bestFit="1" customWidth="1"/>
    <col min="12243" max="12243" width="9" style="8"/>
    <col min="12244" max="12244" width="40.5" style="8" customWidth="1"/>
    <col min="12245" max="12246" width="6.125" style="8" customWidth="1"/>
    <col min="12247" max="12252" width="6.75" style="8" customWidth="1"/>
    <col min="12253" max="12302" width="9.25" style="8" customWidth="1"/>
    <col min="12303" max="12303" width="2.625" style="8" customWidth="1"/>
    <col min="12304" max="12496" width="9" style="8"/>
    <col min="12497" max="12497" width="2.625" style="8" customWidth="1"/>
    <col min="12498" max="12498" width="9.25" style="8" bestFit="1" customWidth="1"/>
    <col min="12499" max="12499" width="9" style="8"/>
    <col min="12500" max="12500" width="40.5" style="8" customWidth="1"/>
    <col min="12501" max="12502" width="6.125" style="8" customWidth="1"/>
    <col min="12503" max="12508" width="6.75" style="8" customWidth="1"/>
    <col min="12509" max="12558" width="9.25" style="8" customWidth="1"/>
    <col min="12559" max="12559" width="2.625" style="8" customWidth="1"/>
    <col min="12560" max="12752" width="9" style="8"/>
    <col min="12753" max="12753" width="2.625" style="8" customWidth="1"/>
    <col min="12754" max="12754" width="9.25" style="8" bestFit="1" customWidth="1"/>
    <col min="12755" max="12755" width="9" style="8"/>
    <col min="12756" max="12756" width="40.5" style="8" customWidth="1"/>
    <col min="12757" max="12758" width="6.125" style="8" customWidth="1"/>
    <col min="12759" max="12764" width="6.75" style="8" customWidth="1"/>
    <col min="12765" max="12814" width="9.25" style="8" customWidth="1"/>
    <col min="12815" max="12815" width="2.625" style="8" customWidth="1"/>
    <col min="12816" max="13008" width="9" style="8"/>
    <col min="13009" max="13009" width="2.625" style="8" customWidth="1"/>
    <col min="13010" max="13010" width="9.25" style="8" bestFit="1" customWidth="1"/>
    <col min="13011" max="13011" width="9" style="8"/>
    <col min="13012" max="13012" width="40.5" style="8" customWidth="1"/>
    <col min="13013" max="13014" width="6.125" style="8" customWidth="1"/>
    <col min="13015" max="13020" width="6.75" style="8" customWidth="1"/>
    <col min="13021" max="13070" width="9.25" style="8" customWidth="1"/>
    <col min="13071" max="13071" width="2.625" style="8" customWidth="1"/>
    <col min="13072" max="13264" width="9" style="8"/>
    <col min="13265" max="13265" width="2.625" style="8" customWidth="1"/>
    <col min="13266" max="13266" width="9.25" style="8" bestFit="1" customWidth="1"/>
    <col min="13267" max="13267" width="9" style="8"/>
    <col min="13268" max="13268" width="40.5" style="8" customWidth="1"/>
    <col min="13269" max="13270" width="6.125" style="8" customWidth="1"/>
    <col min="13271" max="13276" width="6.75" style="8" customWidth="1"/>
    <col min="13277" max="13326" width="9.25" style="8" customWidth="1"/>
    <col min="13327" max="13327" width="2.625" style="8" customWidth="1"/>
    <col min="13328" max="13520" width="9" style="8"/>
    <col min="13521" max="13521" width="2.625" style="8" customWidth="1"/>
    <col min="13522" max="13522" width="9.25" style="8" bestFit="1" customWidth="1"/>
    <col min="13523" max="13523" width="9" style="8"/>
    <col min="13524" max="13524" width="40.5" style="8" customWidth="1"/>
    <col min="13525" max="13526" width="6.125" style="8" customWidth="1"/>
    <col min="13527" max="13532" width="6.75" style="8" customWidth="1"/>
    <col min="13533" max="13582" width="9.25" style="8" customWidth="1"/>
    <col min="13583" max="13583" width="2.625" style="8" customWidth="1"/>
    <col min="13584" max="13776" width="9" style="8"/>
    <col min="13777" max="13777" width="2.625" style="8" customWidth="1"/>
    <col min="13778" max="13778" width="9.25" style="8" bestFit="1" customWidth="1"/>
    <col min="13779" max="13779" width="9" style="8"/>
    <col min="13780" max="13780" width="40.5" style="8" customWidth="1"/>
    <col min="13781" max="13782" width="6.125" style="8" customWidth="1"/>
    <col min="13783" max="13788" width="6.75" style="8" customWidth="1"/>
    <col min="13789" max="13838" width="9.25" style="8" customWidth="1"/>
    <col min="13839" max="13839" width="2.625" style="8" customWidth="1"/>
    <col min="13840" max="14032" width="9" style="8"/>
    <col min="14033" max="14033" width="2.625" style="8" customWidth="1"/>
    <col min="14034" max="14034" width="9.25" style="8" bestFit="1" customWidth="1"/>
    <col min="14035" max="14035" width="9" style="8"/>
    <col min="14036" max="14036" width="40.5" style="8" customWidth="1"/>
    <col min="14037" max="14038" width="6.125" style="8" customWidth="1"/>
    <col min="14039" max="14044" width="6.75" style="8" customWidth="1"/>
    <col min="14045" max="14094" width="9.25" style="8" customWidth="1"/>
    <col min="14095" max="14095" width="2.625" style="8" customWidth="1"/>
    <col min="14096" max="14288" width="9" style="8"/>
    <col min="14289" max="14289" width="2.625" style="8" customWidth="1"/>
    <col min="14290" max="14290" width="9.25" style="8" bestFit="1" customWidth="1"/>
    <col min="14291" max="14291" width="9" style="8"/>
    <col min="14292" max="14292" width="40.5" style="8" customWidth="1"/>
    <col min="14293" max="14294" width="6.125" style="8" customWidth="1"/>
    <col min="14295" max="14300" width="6.75" style="8" customWidth="1"/>
    <col min="14301" max="14350" width="9.25" style="8" customWidth="1"/>
    <col min="14351" max="14351" width="2.625" style="8" customWidth="1"/>
    <col min="14352" max="14544" width="9" style="8"/>
    <col min="14545" max="14545" width="2.625" style="8" customWidth="1"/>
    <col min="14546" max="14546" width="9.25" style="8" bestFit="1" customWidth="1"/>
    <col min="14547" max="14547" width="9" style="8"/>
    <col min="14548" max="14548" width="40.5" style="8" customWidth="1"/>
    <col min="14549" max="14550" width="6.125" style="8" customWidth="1"/>
    <col min="14551" max="14556" width="6.75" style="8" customWidth="1"/>
    <col min="14557" max="14606" width="9.25" style="8" customWidth="1"/>
    <col min="14607" max="14607" width="2.625" style="8" customWidth="1"/>
    <col min="14608" max="14800" width="9" style="8"/>
    <col min="14801" max="14801" width="2.625" style="8" customWidth="1"/>
    <col min="14802" max="14802" width="9.25" style="8" bestFit="1" customWidth="1"/>
    <col min="14803" max="14803" width="9" style="8"/>
    <col min="14804" max="14804" width="40.5" style="8" customWidth="1"/>
    <col min="14805" max="14806" width="6.125" style="8" customWidth="1"/>
    <col min="14807" max="14812" width="6.75" style="8" customWidth="1"/>
    <col min="14813" max="14862" width="9.25" style="8" customWidth="1"/>
    <col min="14863" max="14863" width="2.625" style="8" customWidth="1"/>
    <col min="14864" max="15056" width="9" style="8"/>
    <col min="15057" max="15057" width="2.625" style="8" customWidth="1"/>
    <col min="15058" max="15058" width="9.25" style="8" bestFit="1" customWidth="1"/>
    <col min="15059" max="15059" width="9" style="8"/>
    <col min="15060" max="15060" width="40.5" style="8" customWidth="1"/>
    <col min="15061" max="15062" width="6.125" style="8" customWidth="1"/>
    <col min="15063" max="15068" width="6.75" style="8" customWidth="1"/>
    <col min="15069" max="15118" width="9.25" style="8" customWidth="1"/>
    <col min="15119" max="15119" width="2.625" style="8" customWidth="1"/>
    <col min="15120" max="15312" width="9" style="8"/>
    <col min="15313" max="15313" width="2.625" style="8" customWidth="1"/>
    <col min="15314" max="15314" width="9.25" style="8" bestFit="1" customWidth="1"/>
    <col min="15315" max="15315" width="9" style="8"/>
    <col min="15316" max="15316" width="40.5" style="8" customWidth="1"/>
    <col min="15317" max="15318" width="6.125" style="8" customWidth="1"/>
    <col min="15319" max="15324" width="6.75" style="8" customWidth="1"/>
    <col min="15325" max="15374" width="9.25" style="8" customWidth="1"/>
    <col min="15375" max="15375" width="2.625" style="8" customWidth="1"/>
    <col min="15376" max="15568" width="9" style="8"/>
    <col min="15569" max="15569" width="2.625" style="8" customWidth="1"/>
    <col min="15570" max="15570" width="9.25" style="8" bestFit="1" customWidth="1"/>
    <col min="15571" max="15571" width="9" style="8"/>
    <col min="15572" max="15572" width="40.5" style="8" customWidth="1"/>
    <col min="15573" max="15574" width="6.125" style="8" customWidth="1"/>
    <col min="15575" max="15580" width="6.75" style="8" customWidth="1"/>
    <col min="15581" max="15630" width="9.25" style="8" customWidth="1"/>
    <col min="15631" max="15631" width="2.625" style="8" customWidth="1"/>
    <col min="15632" max="15824" width="9" style="8"/>
    <col min="15825" max="15825" width="2.625" style="8" customWidth="1"/>
    <col min="15826" max="15826" width="9.25" style="8" bestFit="1" customWidth="1"/>
    <col min="15827" max="15827" width="9" style="8"/>
    <col min="15828" max="15828" width="40.5" style="8" customWidth="1"/>
    <col min="15829" max="15830" width="6.125" style="8" customWidth="1"/>
    <col min="15831" max="15836" width="6.75" style="8" customWidth="1"/>
    <col min="15837" max="15886" width="9.25" style="8" customWidth="1"/>
    <col min="15887" max="15887" width="2.625" style="8" customWidth="1"/>
    <col min="15888" max="16080" width="9" style="8"/>
    <col min="16081" max="16081" width="2.625" style="8" customWidth="1"/>
    <col min="16082" max="16082" width="9.25" style="8" bestFit="1" customWidth="1"/>
    <col min="16083" max="16083" width="9" style="8"/>
    <col min="16084" max="16084" width="40.5" style="8" customWidth="1"/>
    <col min="16085" max="16086" width="6.125" style="8" customWidth="1"/>
    <col min="16087" max="16092" width="6.75" style="8" customWidth="1"/>
    <col min="16093" max="16142" width="9.25" style="8" customWidth="1"/>
    <col min="16143" max="16143" width="2.625" style="8" customWidth="1"/>
    <col min="16144" max="16384" width="9" style="8"/>
  </cols>
  <sheetData>
    <row r="1" spans="1:14" s="5" customFormat="1" ht="13.5">
      <c r="L1" s="41"/>
      <c r="M1" s="41"/>
    </row>
    <row r="2" spans="1:14" s="7" customFormat="1" ht="18" customHeight="1">
      <c r="A2" s="72" t="s">
        <v>538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4" s="7" customFormat="1" ht="5.0999999999999996" customHeight="1" thickBot="1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4" ht="18" customHeight="1">
      <c r="A4" s="361" t="s">
        <v>86</v>
      </c>
      <c r="B4" s="363"/>
      <c r="C4" s="363"/>
      <c r="D4" s="363" t="s">
        <v>10</v>
      </c>
      <c r="E4" s="363" t="s">
        <v>11</v>
      </c>
      <c r="F4" s="363" t="s">
        <v>12</v>
      </c>
      <c r="G4" s="363"/>
      <c r="H4" s="363"/>
      <c r="I4" s="363"/>
      <c r="J4" s="363"/>
      <c r="K4" s="512">
        <f>'요약 통계'!K4:K5</f>
        <v>0</v>
      </c>
      <c r="L4" s="512" t="str">
        <f ca="1">'요약 통계'!L4:L5</f>
        <v>SS(샘플)</v>
      </c>
      <c r="M4" s="512" t="str">
        <f ca="1">'요약 통계'!M4:M5</f>
        <v>SS(샘플)_이행</v>
      </c>
      <c r="N4" s="512">
        <f ca="1">'요약 통계'!N4:N5</f>
        <v>0</v>
      </c>
    </row>
    <row r="5" spans="1:14" ht="17.25" thickBot="1">
      <c r="A5" s="233" t="s">
        <v>13</v>
      </c>
      <c r="B5" s="234" t="s">
        <v>14</v>
      </c>
      <c r="C5" s="234" t="s">
        <v>15</v>
      </c>
      <c r="D5" s="509"/>
      <c r="E5" s="509"/>
      <c r="F5" s="234" t="s">
        <v>16</v>
      </c>
      <c r="G5" s="234" t="s">
        <v>17</v>
      </c>
      <c r="H5" s="234" t="s">
        <v>18</v>
      </c>
      <c r="I5" s="234" t="s">
        <v>38</v>
      </c>
      <c r="J5" s="234" t="s">
        <v>39</v>
      </c>
      <c r="K5" s="513"/>
      <c r="L5" s="513"/>
      <c r="M5" s="513"/>
      <c r="N5" s="513"/>
    </row>
    <row r="6" spans="1:14" s="241" customFormat="1" ht="16.5" customHeight="1">
      <c r="A6" s="235" t="s">
        <v>241</v>
      </c>
      <c r="B6" s="101" t="s">
        <v>253</v>
      </c>
      <c r="C6" s="236" t="s">
        <v>294</v>
      </c>
      <c r="D6" s="237" t="s">
        <v>33</v>
      </c>
      <c r="E6" s="77">
        <v>4</v>
      </c>
      <c r="F6" s="237">
        <f ca="1">COUNTA($L6:INDIRECT(ADDRESS(ROW(),MATCH("",$4:$4,-1),1,1)))</f>
        <v>0</v>
      </c>
      <c r="G6" s="237">
        <f t="shared" ref="G6:G47" ca="1" si="0">F6-J6</f>
        <v>0</v>
      </c>
      <c r="H6" s="237">
        <f ca="1">COUNTIF($L6:INDIRECT(ADDRESS(ROW(),MATCH("",$4:$4,-1),1,1)),"양호")</f>
        <v>0</v>
      </c>
      <c r="I6" s="237">
        <f ca="1">COUNTIF($L6:INDIRECT(ADDRESS(ROW(),MATCH("",$4:$4,-1),1,1)),"취약")</f>
        <v>0</v>
      </c>
      <c r="J6" s="237">
        <f ca="1">COUNTIF($L6:INDIRECT(ADDRESS(ROW(),MATCH("",$4:$4,-1),1,1)),"N/A")</f>
        <v>0</v>
      </c>
      <c r="K6" s="237"/>
      <c r="L6" s="238"/>
      <c r="M6" s="238"/>
      <c r="N6" s="239"/>
    </row>
    <row r="7" spans="1:14" s="5" customFormat="1" ht="16.5" customHeight="1">
      <c r="A7" s="240" t="s">
        <v>241</v>
      </c>
      <c r="B7" s="102" t="s">
        <v>254</v>
      </c>
      <c r="C7" s="49" t="s">
        <v>295</v>
      </c>
      <c r="D7" s="47" t="s">
        <v>34</v>
      </c>
      <c r="E7" s="78">
        <v>3</v>
      </c>
      <c r="F7" s="47">
        <f ca="1">COUNTA($L7:INDIRECT(ADDRESS(ROW(),MATCH("",$4:$4,-1),1,1)))</f>
        <v>0</v>
      </c>
      <c r="G7" s="47">
        <f t="shared" ca="1" si="0"/>
        <v>0</v>
      </c>
      <c r="H7" s="47">
        <f ca="1">COUNTIF($L7:INDIRECT(ADDRESS(ROW(),MATCH("",$4:$4,-1),1,1)),"양호")</f>
        <v>0</v>
      </c>
      <c r="I7" s="47">
        <f ca="1">COUNTIF($L7:INDIRECT(ADDRESS(ROW(),MATCH("",$4:$4,-1),1,1)),"취약")</f>
        <v>0</v>
      </c>
      <c r="J7" s="47">
        <f ca="1">COUNTIF($L7:INDIRECT(ADDRESS(ROW(),MATCH("",$4:$4,-1),1,1)),"N/A")</f>
        <v>0</v>
      </c>
      <c r="K7" s="47"/>
      <c r="L7" s="50"/>
      <c r="M7" s="50"/>
      <c r="N7" s="104"/>
    </row>
    <row r="8" spans="1:14" s="5" customFormat="1" ht="16.5" customHeight="1">
      <c r="A8" s="240" t="s">
        <v>241</v>
      </c>
      <c r="B8" s="102" t="s">
        <v>255</v>
      </c>
      <c r="C8" s="49" t="s">
        <v>296</v>
      </c>
      <c r="D8" s="47" t="s">
        <v>33</v>
      </c>
      <c r="E8" s="78">
        <v>4</v>
      </c>
      <c r="F8" s="47">
        <f ca="1">COUNTA($L8:INDIRECT(ADDRESS(ROW(),MATCH("",$4:$4,-1),1,1)))</f>
        <v>0</v>
      </c>
      <c r="G8" s="47">
        <f t="shared" ca="1" si="0"/>
        <v>0</v>
      </c>
      <c r="H8" s="47">
        <f ca="1">COUNTIF($L8:INDIRECT(ADDRESS(ROW(),MATCH("",$4:$4,-1),1,1)),"양호")</f>
        <v>0</v>
      </c>
      <c r="I8" s="47">
        <f ca="1">COUNTIF($L8:INDIRECT(ADDRESS(ROW(),MATCH("",$4:$4,-1),1,1)),"취약")</f>
        <v>0</v>
      </c>
      <c r="J8" s="47">
        <f ca="1">COUNTIF($L8:INDIRECT(ADDRESS(ROW(),MATCH("",$4:$4,-1),1,1)),"N/A")</f>
        <v>0</v>
      </c>
      <c r="K8" s="47"/>
      <c r="L8" s="50"/>
      <c r="M8" s="50"/>
      <c r="N8" s="104"/>
    </row>
    <row r="9" spans="1:14" s="5" customFormat="1" ht="16.5" customHeight="1">
      <c r="A9" s="240" t="s">
        <v>241</v>
      </c>
      <c r="B9" s="102" t="s">
        <v>256</v>
      </c>
      <c r="C9" s="49" t="s">
        <v>297</v>
      </c>
      <c r="D9" s="47" t="s">
        <v>33</v>
      </c>
      <c r="E9" s="78">
        <v>4</v>
      </c>
      <c r="F9" s="47">
        <f ca="1">COUNTA($L9:INDIRECT(ADDRESS(ROW(),MATCH("",$4:$4,-1),1,1)))</f>
        <v>0</v>
      </c>
      <c r="G9" s="47">
        <f t="shared" ca="1" si="0"/>
        <v>0</v>
      </c>
      <c r="H9" s="47">
        <f ca="1">COUNTIF($L9:INDIRECT(ADDRESS(ROW(),MATCH("",$4:$4,-1),1,1)),"양호")</f>
        <v>0</v>
      </c>
      <c r="I9" s="47">
        <f ca="1">COUNTIF($L9:INDIRECT(ADDRESS(ROW(),MATCH("",$4:$4,-1),1,1)),"취약")</f>
        <v>0</v>
      </c>
      <c r="J9" s="47">
        <f ca="1">COUNTIF($L9:INDIRECT(ADDRESS(ROW(),MATCH("",$4:$4,-1),1,1)),"N/A")</f>
        <v>0</v>
      </c>
      <c r="K9" s="47"/>
      <c r="L9" s="50"/>
      <c r="M9" s="50"/>
      <c r="N9" s="104"/>
    </row>
    <row r="10" spans="1:14" s="5" customFormat="1" ht="16.5" customHeight="1">
      <c r="A10" s="240" t="s">
        <v>233</v>
      </c>
      <c r="B10" s="102" t="s">
        <v>257</v>
      </c>
      <c r="C10" s="49" t="s">
        <v>298</v>
      </c>
      <c r="D10" s="47" t="s">
        <v>33</v>
      </c>
      <c r="E10" s="78">
        <v>5</v>
      </c>
      <c r="F10" s="47">
        <f ca="1">COUNTA($L10:INDIRECT(ADDRESS(ROW(),MATCH("",$4:$4,-1),1,1)))</f>
        <v>0</v>
      </c>
      <c r="G10" s="47">
        <f t="shared" ca="1" si="0"/>
        <v>0</v>
      </c>
      <c r="H10" s="47">
        <f ca="1">COUNTIF($L10:INDIRECT(ADDRESS(ROW(),MATCH("",$4:$4,-1),1,1)),"양호")</f>
        <v>0</v>
      </c>
      <c r="I10" s="47">
        <f ca="1">COUNTIF($L10:INDIRECT(ADDRESS(ROW(),MATCH("",$4:$4,-1),1,1)),"취약")</f>
        <v>0</v>
      </c>
      <c r="J10" s="47">
        <f ca="1">COUNTIF($L10:INDIRECT(ADDRESS(ROW(),MATCH("",$4:$4,-1),1,1)),"N/A")</f>
        <v>0</v>
      </c>
      <c r="K10" s="47"/>
      <c r="L10" s="50"/>
      <c r="M10" s="50"/>
      <c r="N10" s="104"/>
    </row>
    <row r="11" spans="1:14" s="5" customFormat="1" ht="16.5" customHeight="1">
      <c r="A11" s="240" t="s">
        <v>241</v>
      </c>
      <c r="B11" s="102" t="s">
        <v>258</v>
      </c>
      <c r="C11" s="49" t="s">
        <v>299</v>
      </c>
      <c r="D11" s="47" t="s">
        <v>33</v>
      </c>
      <c r="E11" s="78">
        <v>4</v>
      </c>
      <c r="F11" s="47">
        <f ca="1">COUNTA($L11:INDIRECT(ADDRESS(ROW(),MATCH("",$4:$4,-1),1,1)))</f>
        <v>0</v>
      </c>
      <c r="G11" s="47">
        <f t="shared" ca="1" si="0"/>
        <v>0</v>
      </c>
      <c r="H11" s="47">
        <f ca="1">COUNTIF($L11:INDIRECT(ADDRESS(ROW(),MATCH("",$4:$4,-1),1,1)),"양호")</f>
        <v>0</v>
      </c>
      <c r="I11" s="47">
        <f ca="1">COUNTIF($L11:INDIRECT(ADDRESS(ROW(),MATCH("",$4:$4,-1),1,1)),"취약")</f>
        <v>0</v>
      </c>
      <c r="J11" s="47">
        <f ca="1">COUNTIF($L11:INDIRECT(ADDRESS(ROW(),MATCH("",$4:$4,-1),1,1)),"N/A")</f>
        <v>0</v>
      </c>
      <c r="K11" s="47"/>
      <c r="L11" s="50"/>
      <c r="M11" s="50"/>
      <c r="N11" s="104"/>
    </row>
    <row r="12" spans="1:14" s="5" customFormat="1" ht="16.5" customHeight="1">
      <c r="A12" s="240" t="s">
        <v>241</v>
      </c>
      <c r="B12" s="102" t="s">
        <v>259</v>
      </c>
      <c r="C12" s="49" t="s">
        <v>300</v>
      </c>
      <c r="D12" s="47" t="s">
        <v>33</v>
      </c>
      <c r="E12" s="78">
        <v>4</v>
      </c>
      <c r="F12" s="47">
        <f ca="1">COUNTA($L12:INDIRECT(ADDRESS(ROW(),MATCH("",$4:$4,-1),1,1)))</f>
        <v>0</v>
      </c>
      <c r="G12" s="47">
        <f t="shared" ca="1" si="0"/>
        <v>0</v>
      </c>
      <c r="H12" s="47">
        <f ca="1">COUNTIF($L12:INDIRECT(ADDRESS(ROW(),MATCH("",$4:$4,-1),1,1)),"양호")</f>
        <v>0</v>
      </c>
      <c r="I12" s="47">
        <f ca="1">COUNTIF($L12:INDIRECT(ADDRESS(ROW(),MATCH("",$4:$4,-1),1,1)),"취약")</f>
        <v>0</v>
      </c>
      <c r="J12" s="47">
        <f ca="1">COUNTIF($L12:INDIRECT(ADDRESS(ROW(),MATCH("",$4:$4,-1),1,1)),"N/A")</f>
        <v>0</v>
      </c>
      <c r="K12" s="47"/>
      <c r="L12" s="50"/>
      <c r="M12" s="50"/>
      <c r="N12" s="104"/>
    </row>
    <row r="13" spans="1:14" s="5" customFormat="1" ht="16.5" customHeight="1">
      <c r="A13" s="240" t="s">
        <v>241</v>
      </c>
      <c r="B13" s="102" t="s">
        <v>260</v>
      </c>
      <c r="C13" s="49" t="s">
        <v>301</v>
      </c>
      <c r="D13" s="47" t="s">
        <v>34</v>
      </c>
      <c r="E13" s="78">
        <v>3</v>
      </c>
      <c r="F13" s="47">
        <f ca="1">COUNTA($L13:INDIRECT(ADDRESS(ROW(),MATCH("",$4:$4,-1),1,1)))</f>
        <v>0</v>
      </c>
      <c r="G13" s="47">
        <f t="shared" ca="1" si="0"/>
        <v>0</v>
      </c>
      <c r="H13" s="47">
        <f ca="1">COUNTIF($L13:INDIRECT(ADDRESS(ROW(),MATCH("",$4:$4,-1),1,1)),"양호")</f>
        <v>0</v>
      </c>
      <c r="I13" s="47">
        <f ca="1">COUNTIF($L13:INDIRECT(ADDRESS(ROW(),MATCH("",$4:$4,-1),1,1)),"취약")</f>
        <v>0</v>
      </c>
      <c r="J13" s="47">
        <f ca="1">COUNTIF($L13:INDIRECT(ADDRESS(ROW(),MATCH("",$4:$4,-1),1,1)),"N/A")</f>
        <v>0</v>
      </c>
      <c r="K13" s="47"/>
      <c r="L13" s="50"/>
      <c r="M13" s="50"/>
      <c r="N13" s="104"/>
    </row>
    <row r="14" spans="1:14" s="5" customFormat="1" ht="16.5" customHeight="1">
      <c r="A14" s="240" t="s">
        <v>241</v>
      </c>
      <c r="B14" s="102" t="s">
        <v>261</v>
      </c>
      <c r="C14" s="49" t="s">
        <v>302</v>
      </c>
      <c r="D14" s="47" t="s">
        <v>35</v>
      </c>
      <c r="E14" s="78">
        <v>2</v>
      </c>
      <c r="F14" s="47">
        <f ca="1">COUNTA($L14:INDIRECT(ADDRESS(ROW(),MATCH("",$4:$4,-1),1,1)))</f>
        <v>0</v>
      </c>
      <c r="G14" s="47">
        <f t="shared" ca="1" si="0"/>
        <v>0</v>
      </c>
      <c r="H14" s="47">
        <f ca="1">COUNTIF($L14:INDIRECT(ADDRESS(ROW(),MATCH("",$4:$4,-1),1,1)),"양호")</f>
        <v>0</v>
      </c>
      <c r="I14" s="47">
        <f ca="1">COUNTIF($L14:INDIRECT(ADDRESS(ROW(),MATCH("",$4:$4,-1),1,1)),"취약")</f>
        <v>0</v>
      </c>
      <c r="J14" s="47">
        <f ca="1">COUNTIF($L14:INDIRECT(ADDRESS(ROW(),MATCH("",$4:$4,-1),1,1)),"N/A")</f>
        <v>0</v>
      </c>
      <c r="K14" s="47"/>
      <c r="L14" s="50"/>
      <c r="M14" s="50"/>
      <c r="N14" s="104"/>
    </row>
    <row r="15" spans="1:14" s="5" customFormat="1" ht="16.5" customHeight="1">
      <c r="A15" s="240" t="s">
        <v>241</v>
      </c>
      <c r="B15" s="102" t="s">
        <v>262</v>
      </c>
      <c r="C15" s="49" t="s">
        <v>303</v>
      </c>
      <c r="D15" s="47" t="s">
        <v>35</v>
      </c>
      <c r="E15" s="78">
        <v>2</v>
      </c>
      <c r="F15" s="47">
        <f ca="1">COUNTA($L15:INDIRECT(ADDRESS(ROW(),MATCH("",$4:$4,-1),1,1)))</f>
        <v>0</v>
      </c>
      <c r="G15" s="47">
        <f t="shared" ca="1" si="0"/>
        <v>0</v>
      </c>
      <c r="H15" s="47">
        <f ca="1">COUNTIF($L15:INDIRECT(ADDRESS(ROW(),MATCH("",$4:$4,-1),1,1)),"양호")</f>
        <v>0</v>
      </c>
      <c r="I15" s="47">
        <f ca="1">COUNTIF($L15:INDIRECT(ADDRESS(ROW(),MATCH("",$4:$4,-1),1,1)),"취약")</f>
        <v>0</v>
      </c>
      <c r="J15" s="47">
        <f ca="1">COUNTIF($L15:INDIRECT(ADDRESS(ROW(),MATCH("",$4:$4,-1),1,1)),"N/A")</f>
        <v>0</v>
      </c>
      <c r="K15" s="47"/>
      <c r="L15" s="50"/>
      <c r="M15" s="50"/>
      <c r="N15" s="104"/>
    </row>
    <row r="16" spans="1:14" s="5" customFormat="1" ht="16.5" customHeight="1">
      <c r="A16" s="240" t="s">
        <v>241</v>
      </c>
      <c r="B16" s="102" t="s">
        <v>263</v>
      </c>
      <c r="C16" s="49" t="s">
        <v>304</v>
      </c>
      <c r="D16" s="47" t="s">
        <v>35</v>
      </c>
      <c r="E16" s="78">
        <v>2</v>
      </c>
      <c r="F16" s="47">
        <f ca="1">COUNTA($L16:INDIRECT(ADDRESS(ROW(),MATCH("",$4:$4,-1),1,1)))</f>
        <v>0</v>
      </c>
      <c r="G16" s="47">
        <f t="shared" ca="1" si="0"/>
        <v>0</v>
      </c>
      <c r="H16" s="47">
        <f ca="1">COUNTIF($L16:INDIRECT(ADDRESS(ROW(),MATCH("",$4:$4,-1),1,1)),"양호")</f>
        <v>0</v>
      </c>
      <c r="I16" s="47">
        <f ca="1">COUNTIF($L16:INDIRECT(ADDRESS(ROW(),MATCH("",$4:$4,-1),1,1)),"취약")</f>
        <v>0</v>
      </c>
      <c r="J16" s="47">
        <f ca="1">COUNTIF($L16:INDIRECT(ADDRESS(ROW(),MATCH("",$4:$4,-1),1,1)),"N/A")</f>
        <v>0</v>
      </c>
      <c r="K16" s="47"/>
      <c r="L16" s="50"/>
      <c r="M16" s="50"/>
      <c r="N16" s="104"/>
    </row>
    <row r="17" spans="1:14" s="5" customFormat="1" ht="16.5" customHeight="1">
      <c r="A17" s="240" t="s">
        <v>241</v>
      </c>
      <c r="B17" s="102" t="s">
        <v>264</v>
      </c>
      <c r="C17" s="49" t="s">
        <v>305</v>
      </c>
      <c r="D17" s="47" t="s">
        <v>35</v>
      </c>
      <c r="E17" s="78">
        <v>2</v>
      </c>
      <c r="F17" s="47">
        <f ca="1">COUNTA($L17:INDIRECT(ADDRESS(ROW(),MATCH("",$4:$4,-1),1,1)))</f>
        <v>0</v>
      </c>
      <c r="G17" s="47">
        <f t="shared" ca="1" si="0"/>
        <v>0</v>
      </c>
      <c r="H17" s="47">
        <f ca="1">COUNTIF($L17:INDIRECT(ADDRESS(ROW(),MATCH("",$4:$4,-1),1,1)),"양호")</f>
        <v>0</v>
      </c>
      <c r="I17" s="47">
        <f ca="1">COUNTIF($L17:INDIRECT(ADDRESS(ROW(),MATCH("",$4:$4,-1),1,1)),"취약")</f>
        <v>0</v>
      </c>
      <c r="J17" s="47">
        <f ca="1">COUNTIF($L17:INDIRECT(ADDRESS(ROW(),MATCH("",$4:$4,-1),1,1)),"N/A")</f>
        <v>0</v>
      </c>
      <c r="K17" s="47"/>
      <c r="L17" s="50"/>
      <c r="M17" s="50"/>
      <c r="N17" s="104"/>
    </row>
    <row r="18" spans="1:14" s="5" customFormat="1" ht="16.5" customHeight="1">
      <c r="A18" s="240" t="s">
        <v>241</v>
      </c>
      <c r="B18" s="102" t="s">
        <v>265</v>
      </c>
      <c r="C18" s="49" t="s">
        <v>306</v>
      </c>
      <c r="D18" s="47" t="s">
        <v>35</v>
      </c>
      <c r="E18" s="78">
        <v>2</v>
      </c>
      <c r="F18" s="47">
        <f ca="1">COUNTA($L18:INDIRECT(ADDRESS(ROW(),MATCH("",$4:$4,-1),1,1)))</f>
        <v>0</v>
      </c>
      <c r="G18" s="47">
        <f t="shared" ca="1" si="0"/>
        <v>0</v>
      </c>
      <c r="H18" s="47">
        <f ca="1">COUNTIF($L18:INDIRECT(ADDRESS(ROW(),MATCH("",$4:$4,-1),1,1)),"양호")</f>
        <v>0</v>
      </c>
      <c r="I18" s="47">
        <f ca="1">COUNTIF($L18:INDIRECT(ADDRESS(ROW(),MATCH("",$4:$4,-1),1,1)),"취약")</f>
        <v>0</v>
      </c>
      <c r="J18" s="47">
        <f ca="1">COUNTIF($L18:INDIRECT(ADDRESS(ROW(),MATCH("",$4:$4,-1),1,1)),"N/A")</f>
        <v>0</v>
      </c>
      <c r="K18" s="47"/>
      <c r="L18" s="50"/>
      <c r="M18" s="50"/>
      <c r="N18" s="104"/>
    </row>
    <row r="19" spans="1:14" s="5" customFormat="1" ht="16.5" customHeight="1">
      <c r="A19" s="240" t="s">
        <v>241</v>
      </c>
      <c r="B19" s="102" t="s">
        <v>266</v>
      </c>
      <c r="C19" s="49" t="s">
        <v>307</v>
      </c>
      <c r="D19" s="47" t="s">
        <v>33</v>
      </c>
      <c r="E19" s="78">
        <v>4</v>
      </c>
      <c r="F19" s="47">
        <f ca="1">COUNTA($L19:INDIRECT(ADDRESS(ROW(),MATCH("",$4:$4,-1),1,1)))</f>
        <v>0</v>
      </c>
      <c r="G19" s="47">
        <f t="shared" ca="1" si="0"/>
        <v>0</v>
      </c>
      <c r="H19" s="47">
        <f ca="1">COUNTIF($L19:INDIRECT(ADDRESS(ROW(),MATCH("",$4:$4,-1),1,1)),"양호")</f>
        <v>0</v>
      </c>
      <c r="I19" s="47">
        <f ca="1">COUNTIF($L19:INDIRECT(ADDRESS(ROW(),MATCH("",$4:$4,-1),1,1)),"취약")</f>
        <v>0</v>
      </c>
      <c r="J19" s="47">
        <f ca="1">COUNTIF($L19:INDIRECT(ADDRESS(ROW(),MATCH("",$4:$4,-1),1,1)),"N/A")</f>
        <v>0</v>
      </c>
      <c r="K19" s="47"/>
      <c r="L19" s="50"/>
      <c r="M19" s="50"/>
      <c r="N19" s="104"/>
    </row>
    <row r="20" spans="1:14" s="5" customFormat="1" ht="16.5" customHeight="1">
      <c r="A20" s="240" t="s">
        <v>241</v>
      </c>
      <c r="B20" s="102" t="s">
        <v>267</v>
      </c>
      <c r="C20" s="49" t="s">
        <v>598</v>
      </c>
      <c r="D20" s="47" t="s">
        <v>33</v>
      </c>
      <c r="E20" s="78">
        <v>4</v>
      </c>
      <c r="F20" s="47">
        <f ca="1">COUNTA($L20:INDIRECT(ADDRESS(ROW(),MATCH("",$4:$4,-1),1,1)))</f>
        <v>0</v>
      </c>
      <c r="G20" s="47">
        <f t="shared" ca="1" si="0"/>
        <v>0</v>
      </c>
      <c r="H20" s="47">
        <f ca="1">COUNTIF($L20:INDIRECT(ADDRESS(ROW(),MATCH("",$4:$4,-1),1,1)),"양호")</f>
        <v>0</v>
      </c>
      <c r="I20" s="47">
        <f ca="1">COUNTIF($L20:INDIRECT(ADDRESS(ROW(),MATCH("",$4:$4,-1),1,1)),"취약")</f>
        <v>0</v>
      </c>
      <c r="J20" s="47">
        <f ca="1">COUNTIF($L20:INDIRECT(ADDRESS(ROW(),MATCH("",$4:$4,-1),1,1)),"N/A")</f>
        <v>0</v>
      </c>
      <c r="K20" s="47"/>
      <c r="L20" s="50"/>
      <c r="M20" s="50"/>
      <c r="N20" s="104"/>
    </row>
    <row r="21" spans="1:14" s="5" customFormat="1" ht="16.5" customHeight="1">
      <c r="A21" s="240" t="s">
        <v>241</v>
      </c>
      <c r="B21" s="102" t="s">
        <v>268</v>
      </c>
      <c r="C21" s="49" t="s">
        <v>308</v>
      </c>
      <c r="D21" s="47" t="s">
        <v>33</v>
      </c>
      <c r="E21" s="78">
        <v>5</v>
      </c>
      <c r="F21" s="47">
        <f ca="1">COUNTA($L21:INDIRECT(ADDRESS(ROW(),MATCH("",$4:$4,-1),1,1)))</f>
        <v>0</v>
      </c>
      <c r="G21" s="47">
        <f t="shared" ca="1" si="0"/>
        <v>0</v>
      </c>
      <c r="H21" s="47">
        <f ca="1">COUNTIF($L21:INDIRECT(ADDRESS(ROW(),MATCH("",$4:$4,-1),1,1)),"양호")</f>
        <v>0</v>
      </c>
      <c r="I21" s="47">
        <f ca="1">COUNTIF($L21:INDIRECT(ADDRESS(ROW(),MATCH("",$4:$4,-1),1,1)),"취약")</f>
        <v>0</v>
      </c>
      <c r="J21" s="47">
        <f ca="1">COUNTIF($L21:INDIRECT(ADDRESS(ROW(),MATCH("",$4:$4,-1),1,1)),"N/A")</f>
        <v>0</v>
      </c>
      <c r="K21" s="47"/>
      <c r="L21" s="50"/>
      <c r="M21" s="50"/>
      <c r="N21" s="104"/>
    </row>
    <row r="22" spans="1:14" s="5" customFormat="1" ht="16.5" customHeight="1">
      <c r="A22" s="240" t="s">
        <v>242</v>
      </c>
      <c r="B22" s="102" t="s">
        <v>269</v>
      </c>
      <c r="C22" s="49" t="s">
        <v>309</v>
      </c>
      <c r="D22" s="47" t="s">
        <v>33</v>
      </c>
      <c r="E22" s="78">
        <v>4</v>
      </c>
      <c r="F22" s="47">
        <f ca="1">COUNTA($L22:INDIRECT(ADDRESS(ROW(),MATCH("",$4:$4,-1),1,1)))</f>
        <v>0</v>
      </c>
      <c r="G22" s="47">
        <f t="shared" ca="1" si="0"/>
        <v>0</v>
      </c>
      <c r="H22" s="47">
        <f ca="1">COUNTIF($L22:INDIRECT(ADDRESS(ROW(),MATCH("",$4:$4,-1),1,1)),"양호")</f>
        <v>0</v>
      </c>
      <c r="I22" s="47">
        <f ca="1">COUNTIF($L22:INDIRECT(ADDRESS(ROW(),MATCH("",$4:$4,-1),1,1)),"취약")</f>
        <v>0</v>
      </c>
      <c r="J22" s="47">
        <f ca="1">COUNTIF($L22:INDIRECT(ADDRESS(ROW(),MATCH("",$4:$4,-1),1,1)),"N/A")</f>
        <v>0</v>
      </c>
      <c r="K22" s="47"/>
      <c r="L22" s="50"/>
      <c r="M22" s="50"/>
      <c r="N22" s="104"/>
    </row>
    <row r="23" spans="1:14" s="5" customFormat="1" ht="16.5" customHeight="1">
      <c r="A23" s="240" t="s">
        <v>242</v>
      </c>
      <c r="B23" s="102" t="s">
        <v>270</v>
      </c>
      <c r="C23" s="49" t="s">
        <v>310</v>
      </c>
      <c r="D23" s="47" t="s">
        <v>33</v>
      </c>
      <c r="E23" s="78">
        <v>4</v>
      </c>
      <c r="F23" s="47">
        <f ca="1">COUNTA($L23:INDIRECT(ADDRESS(ROW(),MATCH("",$4:$4,-1),1,1)))</f>
        <v>0</v>
      </c>
      <c r="G23" s="47">
        <f t="shared" ca="1" si="0"/>
        <v>0</v>
      </c>
      <c r="H23" s="47">
        <f ca="1">COUNTIF($L23:INDIRECT(ADDRESS(ROW(),MATCH("",$4:$4,-1),1,1)),"양호")</f>
        <v>0</v>
      </c>
      <c r="I23" s="47">
        <f ca="1">COUNTIF($L23:INDIRECT(ADDRESS(ROW(),MATCH("",$4:$4,-1),1,1)),"취약")</f>
        <v>0</v>
      </c>
      <c r="J23" s="47">
        <f ca="1">COUNTIF($L23:INDIRECT(ADDRESS(ROW(),MATCH("",$4:$4,-1),1,1)),"N/A")</f>
        <v>0</v>
      </c>
      <c r="K23" s="47"/>
      <c r="L23" s="50"/>
      <c r="M23" s="50"/>
      <c r="N23" s="104"/>
    </row>
    <row r="24" spans="1:14" s="5" customFormat="1" ht="16.5" customHeight="1">
      <c r="A24" s="240" t="s">
        <v>242</v>
      </c>
      <c r="B24" s="102" t="s">
        <v>271</v>
      </c>
      <c r="C24" s="49" t="s">
        <v>311</v>
      </c>
      <c r="D24" s="47" t="s">
        <v>33</v>
      </c>
      <c r="E24" s="78">
        <v>5</v>
      </c>
      <c r="F24" s="47">
        <f ca="1">COUNTA($L24:INDIRECT(ADDRESS(ROW(),MATCH("",$4:$4,-1),1,1)))</f>
        <v>0</v>
      </c>
      <c r="G24" s="47">
        <f t="shared" ca="1" si="0"/>
        <v>0</v>
      </c>
      <c r="H24" s="47">
        <f ca="1">COUNTIF($L24:INDIRECT(ADDRESS(ROW(),MATCH("",$4:$4,-1),1,1)),"양호")</f>
        <v>0</v>
      </c>
      <c r="I24" s="47">
        <f ca="1">COUNTIF($L24:INDIRECT(ADDRESS(ROW(),MATCH("",$4:$4,-1),1,1)),"취약")</f>
        <v>0</v>
      </c>
      <c r="J24" s="47">
        <f ca="1">COUNTIF($L24:INDIRECT(ADDRESS(ROW(),MATCH("",$4:$4,-1),1,1)),"N/A")</f>
        <v>0</v>
      </c>
      <c r="K24" s="47"/>
      <c r="L24" s="50"/>
      <c r="M24" s="50"/>
      <c r="N24" s="104"/>
    </row>
    <row r="25" spans="1:14" s="5" customFormat="1" ht="16.5" customHeight="1">
      <c r="A25" s="240" t="s">
        <v>242</v>
      </c>
      <c r="B25" s="102" t="s">
        <v>272</v>
      </c>
      <c r="C25" s="49" t="s">
        <v>312</v>
      </c>
      <c r="D25" s="47" t="s">
        <v>33</v>
      </c>
      <c r="E25" s="78">
        <v>4</v>
      </c>
      <c r="F25" s="47">
        <f ca="1">COUNTA($L25:INDIRECT(ADDRESS(ROW(),MATCH("",$4:$4,-1),1,1)))</f>
        <v>0</v>
      </c>
      <c r="G25" s="47">
        <f t="shared" ca="1" si="0"/>
        <v>0</v>
      </c>
      <c r="H25" s="47">
        <f ca="1">COUNTIF($L25:INDIRECT(ADDRESS(ROW(),MATCH("",$4:$4,-1),1,1)),"양호")</f>
        <v>0</v>
      </c>
      <c r="I25" s="47">
        <f ca="1">COUNTIF($L25:INDIRECT(ADDRESS(ROW(),MATCH("",$4:$4,-1),1,1)),"취약")</f>
        <v>0</v>
      </c>
      <c r="J25" s="47">
        <f ca="1">COUNTIF($L25:INDIRECT(ADDRESS(ROW(),MATCH("",$4:$4,-1),1,1)),"N/A")</f>
        <v>0</v>
      </c>
      <c r="K25" s="47"/>
      <c r="L25" s="50"/>
      <c r="M25" s="50"/>
      <c r="N25" s="104"/>
    </row>
    <row r="26" spans="1:14" s="5" customFormat="1" ht="16.5" customHeight="1">
      <c r="A26" s="240" t="s">
        <v>241</v>
      </c>
      <c r="B26" s="102" t="s">
        <v>273</v>
      </c>
      <c r="C26" s="49" t="s">
        <v>313</v>
      </c>
      <c r="D26" s="47" t="s">
        <v>33</v>
      </c>
      <c r="E26" s="78">
        <v>5</v>
      </c>
      <c r="F26" s="47">
        <f ca="1">COUNTA($L26:INDIRECT(ADDRESS(ROW(),MATCH("",$4:$4,-1),1,1)))</f>
        <v>0</v>
      </c>
      <c r="G26" s="47">
        <f t="shared" ca="1" si="0"/>
        <v>0</v>
      </c>
      <c r="H26" s="47">
        <f ca="1">COUNTIF($L26:INDIRECT(ADDRESS(ROW(),MATCH("",$4:$4,-1),1,1)),"양호")</f>
        <v>0</v>
      </c>
      <c r="I26" s="47">
        <f ca="1">COUNTIF($L26:INDIRECT(ADDRESS(ROW(),MATCH("",$4:$4,-1),1,1)),"취약")</f>
        <v>0</v>
      </c>
      <c r="J26" s="47">
        <f ca="1">COUNTIF($L26:INDIRECT(ADDRESS(ROW(),MATCH("",$4:$4,-1),1,1)),"N/A")</f>
        <v>0</v>
      </c>
      <c r="K26" s="47"/>
      <c r="L26" s="50"/>
      <c r="M26" s="50"/>
      <c r="N26" s="104"/>
    </row>
    <row r="27" spans="1:14" s="5" customFormat="1" ht="16.5" customHeight="1">
      <c r="A27" s="240" t="s">
        <v>241</v>
      </c>
      <c r="B27" s="102" t="s">
        <v>274</v>
      </c>
      <c r="C27" s="49" t="s">
        <v>314</v>
      </c>
      <c r="D27" s="47" t="s">
        <v>34</v>
      </c>
      <c r="E27" s="78">
        <v>3</v>
      </c>
      <c r="F27" s="47">
        <f ca="1">COUNTA($L27:INDIRECT(ADDRESS(ROW(),MATCH("",$4:$4,-1),1,1)))</f>
        <v>0</v>
      </c>
      <c r="G27" s="47">
        <f t="shared" ca="1" si="0"/>
        <v>0</v>
      </c>
      <c r="H27" s="47">
        <f ca="1">COUNTIF($L27:INDIRECT(ADDRESS(ROW(),MATCH("",$4:$4,-1),1,1)),"양호")</f>
        <v>0</v>
      </c>
      <c r="I27" s="47">
        <f ca="1">COUNTIF($L27:INDIRECT(ADDRESS(ROW(),MATCH("",$4:$4,-1),1,1)),"취약")</f>
        <v>0</v>
      </c>
      <c r="J27" s="47">
        <f ca="1">COUNTIF($L27:INDIRECT(ADDRESS(ROW(),MATCH("",$4:$4,-1),1,1)),"N/A")</f>
        <v>0</v>
      </c>
      <c r="K27" s="47"/>
      <c r="L27" s="50"/>
      <c r="M27" s="50"/>
      <c r="N27" s="104"/>
    </row>
    <row r="28" spans="1:14" s="5" customFormat="1" ht="16.5" customHeight="1">
      <c r="A28" s="240" t="s">
        <v>241</v>
      </c>
      <c r="B28" s="102" t="s">
        <v>275</v>
      </c>
      <c r="C28" s="49" t="s">
        <v>315</v>
      </c>
      <c r="D28" s="47" t="s">
        <v>34</v>
      </c>
      <c r="E28" s="78">
        <v>3</v>
      </c>
      <c r="F28" s="47">
        <f ca="1">COUNTA($L28:INDIRECT(ADDRESS(ROW(),MATCH("",$4:$4,-1),1,1)))</f>
        <v>0</v>
      </c>
      <c r="G28" s="47">
        <f t="shared" ca="1" si="0"/>
        <v>0</v>
      </c>
      <c r="H28" s="47">
        <f ca="1">COUNTIF($L28:INDIRECT(ADDRESS(ROW(),MATCH("",$4:$4,-1),1,1)),"양호")</f>
        <v>0</v>
      </c>
      <c r="I28" s="47">
        <f ca="1">COUNTIF($L28:INDIRECT(ADDRESS(ROW(),MATCH("",$4:$4,-1),1,1)),"취약")</f>
        <v>0</v>
      </c>
      <c r="J28" s="47">
        <f ca="1">COUNTIF($L28:INDIRECT(ADDRESS(ROW(),MATCH("",$4:$4,-1),1,1)),"N/A")</f>
        <v>0</v>
      </c>
      <c r="K28" s="47"/>
      <c r="L28" s="50"/>
      <c r="M28" s="50"/>
      <c r="N28" s="104"/>
    </row>
    <row r="29" spans="1:14" s="5" customFormat="1" ht="16.5" customHeight="1">
      <c r="A29" s="240" t="s">
        <v>241</v>
      </c>
      <c r="B29" s="102" t="s">
        <v>276</v>
      </c>
      <c r="C29" s="49" t="s">
        <v>316</v>
      </c>
      <c r="D29" s="47" t="s">
        <v>33</v>
      </c>
      <c r="E29" s="78">
        <v>4</v>
      </c>
      <c r="F29" s="47">
        <f ca="1">COUNTA($L29:INDIRECT(ADDRESS(ROW(),MATCH("",$4:$4,-1),1,1)))</f>
        <v>0</v>
      </c>
      <c r="G29" s="47">
        <f t="shared" ca="1" si="0"/>
        <v>0</v>
      </c>
      <c r="H29" s="47">
        <f ca="1">COUNTIF($L29:INDIRECT(ADDRESS(ROW(),MATCH("",$4:$4,-1),1,1)),"양호")</f>
        <v>0</v>
      </c>
      <c r="I29" s="47">
        <f ca="1">COUNTIF($L29:INDIRECT(ADDRESS(ROW(),MATCH("",$4:$4,-1),1,1)),"취약")</f>
        <v>0</v>
      </c>
      <c r="J29" s="47">
        <f ca="1">COUNTIF($L29:INDIRECT(ADDRESS(ROW(),MATCH("",$4:$4,-1),1,1)),"N/A")</f>
        <v>0</v>
      </c>
      <c r="K29" s="47"/>
      <c r="L29" s="50"/>
      <c r="M29" s="50"/>
      <c r="N29" s="104"/>
    </row>
    <row r="30" spans="1:14" s="5" customFormat="1" ht="16.5" customHeight="1">
      <c r="A30" s="240" t="s">
        <v>241</v>
      </c>
      <c r="B30" s="102" t="s">
        <v>277</v>
      </c>
      <c r="C30" s="49" t="s">
        <v>317</v>
      </c>
      <c r="D30" s="47" t="s">
        <v>35</v>
      </c>
      <c r="E30" s="78">
        <v>2</v>
      </c>
      <c r="F30" s="47">
        <f ca="1">COUNTA($L30:INDIRECT(ADDRESS(ROW(),MATCH("",$4:$4,-1),1,1)))</f>
        <v>0</v>
      </c>
      <c r="G30" s="47">
        <f t="shared" ca="1" si="0"/>
        <v>0</v>
      </c>
      <c r="H30" s="47">
        <f ca="1">COUNTIF($L30:INDIRECT(ADDRESS(ROW(),MATCH("",$4:$4,-1),1,1)),"양호")</f>
        <v>0</v>
      </c>
      <c r="I30" s="47">
        <f ca="1">COUNTIF($L30:INDIRECT(ADDRESS(ROW(),MATCH("",$4:$4,-1),1,1)),"취약")</f>
        <v>0</v>
      </c>
      <c r="J30" s="47">
        <f ca="1">COUNTIF($L30:INDIRECT(ADDRESS(ROW(),MATCH("",$4:$4,-1),1,1)),"N/A")</f>
        <v>0</v>
      </c>
      <c r="K30" s="47"/>
      <c r="L30" s="50"/>
      <c r="M30" s="50"/>
      <c r="N30" s="104"/>
    </row>
    <row r="31" spans="1:14" s="5" customFormat="1" ht="16.5" customHeight="1">
      <c r="A31" s="240" t="s">
        <v>241</v>
      </c>
      <c r="B31" s="102" t="s">
        <v>278</v>
      </c>
      <c r="C31" s="49" t="s">
        <v>318</v>
      </c>
      <c r="D31" s="47" t="s">
        <v>35</v>
      </c>
      <c r="E31" s="78">
        <v>2</v>
      </c>
      <c r="F31" s="47">
        <f ca="1">COUNTA($L31:INDIRECT(ADDRESS(ROW(),MATCH("",$4:$4,-1),1,1)))</f>
        <v>0</v>
      </c>
      <c r="G31" s="47">
        <f t="shared" ca="1" si="0"/>
        <v>0</v>
      </c>
      <c r="H31" s="47">
        <f ca="1">COUNTIF($L31:INDIRECT(ADDRESS(ROW(),MATCH("",$4:$4,-1),1,1)),"양호")</f>
        <v>0</v>
      </c>
      <c r="I31" s="47">
        <f ca="1">COUNTIF($L31:INDIRECT(ADDRESS(ROW(),MATCH("",$4:$4,-1),1,1)),"취약")</f>
        <v>0</v>
      </c>
      <c r="J31" s="47">
        <f ca="1">COUNTIF($L31:INDIRECT(ADDRESS(ROW(),MATCH("",$4:$4,-1),1,1)),"N/A")</f>
        <v>0</v>
      </c>
      <c r="K31" s="47"/>
      <c r="L31" s="50"/>
      <c r="M31" s="50"/>
      <c r="N31" s="104"/>
    </row>
    <row r="32" spans="1:14" s="5" customFormat="1" ht="16.5" customHeight="1">
      <c r="A32" s="240" t="s">
        <v>241</v>
      </c>
      <c r="B32" s="102" t="s">
        <v>279</v>
      </c>
      <c r="C32" s="49" t="s">
        <v>319</v>
      </c>
      <c r="D32" s="47" t="s">
        <v>35</v>
      </c>
      <c r="E32" s="78">
        <v>2</v>
      </c>
      <c r="F32" s="47">
        <f ca="1">COUNTA($L32:INDIRECT(ADDRESS(ROW(),MATCH("",$4:$4,-1),1,1)))</f>
        <v>0</v>
      </c>
      <c r="G32" s="47">
        <f t="shared" ca="1" si="0"/>
        <v>0</v>
      </c>
      <c r="H32" s="47">
        <f ca="1">COUNTIF($L32:INDIRECT(ADDRESS(ROW(),MATCH("",$4:$4,-1),1,1)),"양호")</f>
        <v>0</v>
      </c>
      <c r="I32" s="47">
        <f ca="1">COUNTIF($L32:INDIRECT(ADDRESS(ROW(),MATCH("",$4:$4,-1),1,1)),"취약")</f>
        <v>0</v>
      </c>
      <c r="J32" s="47">
        <f ca="1">COUNTIF($L32:INDIRECT(ADDRESS(ROW(),MATCH("",$4:$4,-1),1,1)),"N/A")</f>
        <v>0</v>
      </c>
      <c r="K32" s="47"/>
      <c r="L32" s="50"/>
      <c r="M32" s="50"/>
      <c r="N32" s="104"/>
    </row>
    <row r="33" spans="1:14" s="5" customFormat="1" ht="16.5" customHeight="1">
      <c r="A33" s="240" t="s">
        <v>241</v>
      </c>
      <c r="B33" s="102" t="s">
        <v>280</v>
      </c>
      <c r="C33" s="49" t="s">
        <v>320</v>
      </c>
      <c r="D33" s="47" t="s">
        <v>33</v>
      </c>
      <c r="E33" s="78">
        <v>4</v>
      </c>
      <c r="F33" s="47">
        <f ca="1">COUNTA($L33:INDIRECT(ADDRESS(ROW(),MATCH("",$4:$4,-1),1,1)))</f>
        <v>0</v>
      </c>
      <c r="G33" s="47">
        <f t="shared" ca="1" si="0"/>
        <v>0</v>
      </c>
      <c r="H33" s="47">
        <f ca="1">COUNTIF($L33:INDIRECT(ADDRESS(ROW(),MATCH("",$4:$4,-1),1,1)),"양호")</f>
        <v>0</v>
      </c>
      <c r="I33" s="47">
        <f ca="1">COUNTIF($L33:INDIRECT(ADDRESS(ROW(),MATCH("",$4:$4,-1),1,1)),"취약")</f>
        <v>0</v>
      </c>
      <c r="J33" s="47">
        <f ca="1">COUNTIF($L33:INDIRECT(ADDRESS(ROW(),MATCH("",$4:$4,-1),1,1)),"N/A")</f>
        <v>0</v>
      </c>
      <c r="K33" s="47"/>
      <c r="L33" s="50"/>
      <c r="M33" s="50"/>
      <c r="N33" s="104"/>
    </row>
    <row r="34" spans="1:14" s="5" customFormat="1" ht="16.5" customHeight="1">
      <c r="A34" s="240" t="s">
        <v>241</v>
      </c>
      <c r="B34" s="102" t="s">
        <v>281</v>
      </c>
      <c r="C34" s="49" t="s">
        <v>321</v>
      </c>
      <c r="D34" s="47" t="s">
        <v>33</v>
      </c>
      <c r="E34" s="78">
        <v>4</v>
      </c>
      <c r="F34" s="47">
        <f ca="1">COUNTA($L34:INDIRECT(ADDRESS(ROW(),MATCH("",$4:$4,-1),1,1)))</f>
        <v>0</v>
      </c>
      <c r="G34" s="47">
        <f t="shared" ca="1" si="0"/>
        <v>0</v>
      </c>
      <c r="H34" s="47">
        <f ca="1">COUNTIF($L34:INDIRECT(ADDRESS(ROW(),MATCH("",$4:$4,-1),1,1)),"양호")</f>
        <v>0</v>
      </c>
      <c r="I34" s="47">
        <f ca="1">COUNTIF($L34:INDIRECT(ADDRESS(ROW(),MATCH("",$4:$4,-1),1,1)),"취약")</f>
        <v>0</v>
      </c>
      <c r="J34" s="47">
        <f ca="1">COUNTIF($L34:INDIRECT(ADDRESS(ROW(),MATCH("",$4:$4,-1),1,1)),"N/A")</f>
        <v>0</v>
      </c>
      <c r="K34" s="47"/>
      <c r="L34" s="50"/>
      <c r="M34" s="50"/>
      <c r="N34" s="104"/>
    </row>
    <row r="35" spans="1:14" s="5" customFormat="1" ht="16.5" customHeight="1">
      <c r="A35" s="240" t="s">
        <v>241</v>
      </c>
      <c r="B35" s="102" t="s">
        <v>282</v>
      </c>
      <c r="C35" s="49" t="s">
        <v>322</v>
      </c>
      <c r="D35" s="47" t="s">
        <v>33</v>
      </c>
      <c r="E35" s="78">
        <v>5</v>
      </c>
      <c r="F35" s="47">
        <f ca="1">COUNTA($L35:INDIRECT(ADDRESS(ROW(),MATCH("",$4:$4,-1),1,1)))</f>
        <v>0</v>
      </c>
      <c r="G35" s="47">
        <f t="shared" ca="1" si="0"/>
        <v>0</v>
      </c>
      <c r="H35" s="47">
        <f ca="1">COUNTIF($L35:INDIRECT(ADDRESS(ROW(),MATCH("",$4:$4,-1),1,1)),"양호")</f>
        <v>0</v>
      </c>
      <c r="I35" s="47">
        <f ca="1">COUNTIF($L35:INDIRECT(ADDRESS(ROW(),MATCH("",$4:$4,-1),1,1)),"취약")</f>
        <v>0</v>
      </c>
      <c r="J35" s="47">
        <f ca="1">COUNTIF($L35:INDIRECT(ADDRESS(ROW(),MATCH("",$4:$4,-1),1,1)),"N/A")</f>
        <v>0</v>
      </c>
      <c r="K35" s="47"/>
      <c r="L35" s="50"/>
      <c r="M35" s="50"/>
      <c r="N35" s="104"/>
    </row>
    <row r="36" spans="1:14" s="5" customFormat="1" ht="16.5" customHeight="1">
      <c r="A36" s="240" t="s">
        <v>241</v>
      </c>
      <c r="B36" s="102" t="s">
        <v>283</v>
      </c>
      <c r="C36" s="49" t="s">
        <v>323</v>
      </c>
      <c r="D36" s="47" t="s">
        <v>33</v>
      </c>
      <c r="E36" s="78">
        <v>5</v>
      </c>
      <c r="F36" s="47">
        <f ca="1">COUNTA($L36:INDIRECT(ADDRESS(ROW(),MATCH("",$4:$4,-1),1,1)))</f>
        <v>0</v>
      </c>
      <c r="G36" s="47">
        <f t="shared" ca="1" si="0"/>
        <v>0</v>
      </c>
      <c r="H36" s="47">
        <f ca="1">COUNTIF($L36:INDIRECT(ADDRESS(ROW(),MATCH("",$4:$4,-1),1,1)),"양호")</f>
        <v>0</v>
      </c>
      <c r="I36" s="47">
        <f ca="1">COUNTIF($L36:INDIRECT(ADDRESS(ROW(),MATCH("",$4:$4,-1),1,1)),"취약")</f>
        <v>0</v>
      </c>
      <c r="J36" s="47">
        <f ca="1">COUNTIF($L36:INDIRECT(ADDRESS(ROW(),MATCH("",$4:$4,-1),1,1)),"N/A")</f>
        <v>0</v>
      </c>
      <c r="K36" s="47"/>
      <c r="L36" s="50"/>
      <c r="M36" s="50"/>
      <c r="N36" s="104"/>
    </row>
    <row r="37" spans="1:14" s="5" customFormat="1" ht="16.5" customHeight="1">
      <c r="A37" s="240" t="s">
        <v>241</v>
      </c>
      <c r="B37" s="102" t="s">
        <v>284</v>
      </c>
      <c r="C37" s="49" t="s">
        <v>324</v>
      </c>
      <c r="D37" s="47" t="s">
        <v>33</v>
      </c>
      <c r="E37" s="78">
        <v>5</v>
      </c>
      <c r="F37" s="47">
        <f ca="1">COUNTA($L37:INDIRECT(ADDRESS(ROW(),MATCH("",$4:$4,-1),1,1)))</f>
        <v>0</v>
      </c>
      <c r="G37" s="47">
        <f t="shared" ca="1" si="0"/>
        <v>0</v>
      </c>
      <c r="H37" s="47">
        <f ca="1">COUNTIF($L37:INDIRECT(ADDRESS(ROW(),MATCH("",$4:$4,-1),1,1)),"양호")</f>
        <v>0</v>
      </c>
      <c r="I37" s="47">
        <f ca="1">COUNTIF($L37:INDIRECT(ADDRESS(ROW(),MATCH("",$4:$4,-1),1,1)),"취약")</f>
        <v>0</v>
      </c>
      <c r="J37" s="47">
        <f ca="1">COUNTIF($L37:INDIRECT(ADDRESS(ROW(),MATCH("",$4:$4,-1),1,1)),"N/A")</f>
        <v>0</v>
      </c>
      <c r="K37" s="47"/>
      <c r="L37" s="50"/>
      <c r="M37" s="50"/>
      <c r="N37" s="104"/>
    </row>
    <row r="38" spans="1:14" s="5" customFormat="1" ht="16.5" customHeight="1">
      <c r="A38" s="240" t="s">
        <v>241</v>
      </c>
      <c r="B38" s="102" t="s">
        <v>285</v>
      </c>
      <c r="C38" s="49" t="s">
        <v>325</v>
      </c>
      <c r="D38" s="47" t="s">
        <v>33</v>
      </c>
      <c r="E38" s="78">
        <v>4</v>
      </c>
      <c r="F38" s="47">
        <f ca="1">COUNTA($L38:INDIRECT(ADDRESS(ROW(),MATCH("",$4:$4,-1),1,1)))</f>
        <v>0</v>
      </c>
      <c r="G38" s="47">
        <f t="shared" ca="1" si="0"/>
        <v>0</v>
      </c>
      <c r="H38" s="47">
        <f ca="1">COUNTIF($L38:INDIRECT(ADDRESS(ROW(),MATCH("",$4:$4,-1),1,1)),"양호")</f>
        <v>0</v>
      </c>
      <c r="I38" s="47">
        <f ca="1">COUNTIF($L38:INDIRECT(ADDRESS(ROW(),MATCH("",$4:$4,-1),1,1)),"취약")</f>
        <v>0</v>
      </c>
      <c r="J38" s="47">
        <f ca="1">COUNTIF($L38:INDIRECT(ADDRESS(ROW(),MATCH("",$4:$4,-1),1,1)),"N/A")</f>
        <v>0</v>
      </c>
      <c r="K38" s="47"/>
      <c r="L38" s="50"/>
      <c r="M38" s="50"/>
      <c r="N38" s="104"/>
    </row>
    <row r="39" spans="1:14" s="5" customFormat="1" ht="16.5" customHeight="1">
      <c r="A39" s="240" t="s">
        <v>241</v>
      </c>
      <c r="B39" s="102" t="s">
        <v>286</v>
      </c>
      <c r="C39" s="49" t="s">
        <v>326</v>
      </c>
      <c r="D39" s="47" t="s">
        <v>33</v>
      </c>
      <c r="E39" s="78">
        <v>4</v>
      </c>
      <c r="F39" s="47">
        <f ca="1">COUNTA($L39:INDIRECT(ADDRESS(ROW(),MATCH("",$4:$4,-1),1,1)))</f>
        <v>0</v>
      </c>
      <c r="G39" s="47">
        <f t="shared" ca="1" si="0"/>
        <v>0</v>
      </c>
      <c r="H39" s="47">
        <f ca="1">COUNTIF($L39:INDIRECT(ADDRESS(ROW(),MATCH("",$4:$4,-1),1,1)),"양호")</f>
        <v>0</v>
      </c>
      <c r="I39" s="47">
        <f ca="1">COUNTIF($L39:INDIRECT(ADDRESS(ROW(),MATCH("",$4:$4,-1),1,1)),"취약")</f>
        <v>0</v>
      </c>
      <c r="J39" s="47">
        <f ca="1">COUNTIF($L39:INDIRECT(ADDRESS(ROW(),MATCH("",$4:$4,-1),1,1)),"N/A")</f>
        <v>0</v>
      </c>
      <c r="K39" s="47"/>
      <c r="L39" s="50"/>
      <c r="M39" s="50"/>
      <c r="N39" s="104"/>
    </row>
    <row r="40" spans="1:14" s="5" customFormat="1" ht="16.5" customHeight="1">
      <c r="A40" s="240" t="s">
        <v>241</v>
      </c>
      <c r="B40" s="102" t="s">
        <v>287</v>
      </c>
      <c r="C40" s="49" t="s">
        <v>327</v>
      </c>
      <c r="D40" s="47" t="s">
        <v>33</v>
      </c>
      <c r="E40" s="78">
        <v>5</v>
      </c>
      <c r="F40" s="47">
        <f ca="1">COUNTA($L40:INDIRECT(ADDRESS(ROW(),MATCH("",$4:$4,-1),1,1)))</f>
        <v>0</v>
      </c>
      <c r="G40" s="47">
        <f t="shared" ca="1" si="0"/>
        <v>0</v>
      </c>
      <c r="H40" s="47">
        <f ca="1">COUNTIF($L40:INDIRECT(ADDRESS(ROW(),MATCH("",$4:$4,-1),1,1)),"양호")</f>
        <v>0</v>
      </c>
      <c r="I40" s="47">
        <f ca="1">COUNTIF($L40:INDIRECT(ADDRESS(ROW(),MATCH("",$4:$4,-1),1,1)),"취약")</f>
        <v>0</v>
      </c>
      <c r="J40" s="47">
        <f ca="1">COUNTIF($L40:INDIRECT(ADDRESS(ROW(),MATCH("",$4:$4,-1),1,1)),"N/A")</f>
        <v>0</v>
      </c>
      <c r="K40" s="47"/>
      <c r="L40" s="50"/>
      <c r="M40" s="50"/>
      <c r="N40" s="104"/>
    </row>
    <row r="41" spans="1:14" s="5" customFormat="1" ht="16.5" customHeight="1">
      <c r="A41" s="240" t="s">
        <v>241</v>
      </c>
      <c r="B41" s="102" t="s">
        <v>288</v>
      </c>
      <c r="C41" s="49" t="s">
        <v>328</v>
      </c>
      <c r="D41" s="47" t="s">
        <v>33</v>
      </c>
      <c r="E41" s="78">
        <v>5</v>
      </c>
      <c r="F41" s="47">
        <f ca="1">COUNTA($L41:INDIRECT(ADDRESS(ROW(),MATCH("",$4:$4,-1),1,1)))</f>
        <v>0</v>
      </c>
      <c r="G41" s="47">
        <f t="shared" ca="1" si="0"/>
        <v>0</v>
      </c>
      <c r="H41" s="47">
        <f ca="1">COUNTIF($L41:INDIRECT(ADDRESS(ROW(),MATCH("",$4:$4,-1),1,1)),"양호")</f>
        <v>0</v>
      </c>
      <c r="I41" s="47">
        <f ca="1">COUNTIF($L41:INDIRECT(ADDRESS(ROW(),MATCH("",$4:$4,-1),1,1)),"취약")</f>
        <v>0</v>
      </c>
      <c r="J41" s="47">
        <f ca="1">COUNTIF($L41:INDIRECT(ADDRESS(ROW(),MATCH("",$4:$4,-1),1,1)),"N/A")</f>
        <v>0</v>
      </c>
      <c r="K41" s="47"/>
      <c r="L41" s="50"/>
      <c r="M41" s="50"/>
      <c r="N41" s="104"/>
    </row>
    <row r="42" spans="1:14" s="5" customFormat="1" ht="16.5" customHeight="1">
      <c r="A42" s="240" t="s">
        <v>241</v>
      </c>
      <c r="B42" s="102" t="s">
        <v>289</v>
      </c>
      <c r="C42" s="49" t="s">
        <v>329</v>
      </c>
      <c r="D42" s="47" t="s">
        <v>33</v>
      </c>
      <c r="E42" s="78">
        <v>4</v>
      </c>
      <c r="F42" s="47">
        <f ca="1">COUNTA($L42:INDIRECT(ADDRESS(ROW(),MATCH("",$4:$4,-1),1,1)))</f>
        <v>0</v>
      </c>
      <c r="G42" s="47">
        <f t="shared" ca="1" si="0"/>
        <v>0</v>
      </c>
      <c r="H42" s="47">
        <f ca="1">COUNTIF($L42:INDIRECT(ADDRESS(ROW(),MATCH("",$4:$4,-1),1,1)),"양호")</f>
        <v>0</v>
      </c>
      <c r="I42" s="47">
        <f ca="1">COUNTIF($L42:INDIRECT(ADDRESS(ROW(),MATCH("",$4:$4,-1),1,1)),"취약")</f>
        <v>0</v>
      </c>
      <c r="J42" s="47">
        <f ca="1">COUNTIF($L42:INDIRECT(ADDRESS(ROW(),MATCH("",$4:$4,-1),1,1)),"N/A")</f>
        <v>0</v>
      </c>
      <c r="K42" s="47"/>
      <c r="L42" s="50"/>
      <c r="M42" s="50"/>
      <c r="N42" s="104"/>
    </row>
    <row r="43" spans="1:14" s="5" customFormat="1" ht="16.5" customHeight="1">
      <c r="A43" s="240" t="s">
        <v>241</v>
      </c>
      <c r="B43" s="102" t="s">
        <v>290</v>
      </c>
      <c r="C43" s="49" t="s">
        <v>330</v>
      </c>
      <c r="D43" s="47" t="s">
        <v>33</v>
      </c>
      <c r="E43" s="78">
        <v>5</v>
      </c>
      <c r="F43" s="47">
        <f ca="1">COUNTA($L43:INDIRECT(ADDRESS(ROW(),MATCH("",$4:$4,-1),1,1)))</f>
        <v>0</v>
      </c>
      <c r="G43" s="47">
        <f t="shared" ca="1" si="0"/>
        <v>0</v>
      </c>
      <c r="H43" s="47">
        <f ca="1">COUNTIF($L43:INDIRECT(ADDRESS(ROW(),MATCH("",$4:$4,-1),1,1)),"양호")</f>
        <v>0</v>
      </c>
      <c r="I43" s="47">
        <f ca="1">COUNTIF($L43:INDIRECT(ADDRESS(ROW(),MATCH("",$4:$4,-1),1,1)),"취약")</f>
        <v>0</v>
      </c>
      <c r="J43" s="47">
        <f ca="1">COUNTIF($L43:INDIRECT(ADDRESS(ROW(),MATCH("",$4:$4,-1),1,1)),"N/A")</f>
        <v>0</v>
      </c>
      <c r="K43" s="47"/>
      <c r="L43" s="50"/>
      <c r="M43" s="50"/>
      <c r="N43" s="104"/>
    </row>
    <row r="44" spans="1:14" s="5" customFormat="1" ht="16.5" customHeight="1">
      <c r="A44" s="240" t="s">
        <v>241</v>
      </c>
      <c r="B44" s="102" t="s">
        <v>291</v>
      </c>
      <c r="C44" s="49" t="s">
        <v>331</v>
      </c>
      <c r="D44" s="47" t="s">
        <v>33</v>
      </c>
      <c r="E44" s="78">
        <v>5</v>
      </c>
      <c r="F44" s="47">
        <f ca="1">COUNTA($L44:INDIRECT(ADDRESS(ROW(),MATCH("",$4:$4,-1),1,1)))</f>
        <v>0</v>
      </c>
      <c r="G44" s="47">
        <f t="shared" ca="1" si="0"/>
        <v>0</v>
      </c>
      <c r="H44" s="47">
        <f ca="1">COUNTIF($L44:INDIRECT(ADDRESS(ROW(),MATCH("",$4:$4,-1),1,1)),"양호")</f>
        <v>0</v>
      </c>
      <c r="I44" s="47">
        <f ca="1">COUNTIF($L44:INDIRECT(ADDRESS(ROW(),MATCH("",$4:$4,-1),1,1)),"취약")</f>
        <v>0</v>
      </c>
      <c r="J44" s="47">
        <f ca="1">COUNTIF($L44:INDIRECT(ADDRESS(ROW(),MATCH("",$4:$4,-1),1,1)),"N/A")</f>
        <v>0</v>
      </c>
      <c r="K44" s="47"/>
      <c r="L44" s="50"/>
      <c r="M44" s="50"/>
      <c r="N44" s="104"/>
    </row>
    <row r="45" spans="1:14" s="5" customFormat="1" ht="16.5" customHeight="1">
      <c r="A45" s="240" t="s">
        <v>241</v>
      </c>
      <c r="B45" s="102" t="s">
        <v>292</v>
      </c>
      <c r="C45" s="49" t="s">
        <v>332</v>
      </c>
      <c r="D45" s="47" t="s">
        <v>34</v>
      </c>
      <c r="E45" s="78">
        <v>3</v>
      </c>
      <c r="F45" s="47">
        <f ca="1">COUNTA($L45:INDIRECT(ADDRESS(ROW(),MATCH("",$4:$4,-1),1,1)))</f>
        <v>0</v>
      </c>
      <c r="G45" s="47">
        <f t="shared" ca="1" si="0"/>
        <v>0</v>
      </c>
      <c r="H45" s="47">
        <f ca="1">COUNTIF($L45:INDIRECT(ADDRESS(ROW(),MATCH("",$4:$4,-1),1,1)),"양호")</f>
        <v>0</v>
      </c>
      <c r="I45" s="47">
        <f ca="1">COUNTIF($L45:INDIRECT(ADDRESS(ROW(),MATCH("",$4:$4,-1),1,1)),"취약")</f>
        <v>0</v>
      </c>
      <c r="J45" s="47">
        <f ca="1">COUNTIF($L45:INDIRECT(ADDRESS(ROW(),MATCH("",$4:$4,-1),1,1)),"N/A")</f>
        <v>0</v>
      </c>
      <c r="K45" s="47"/>
      <c r="L45" s="50"/>
      <c r="M45" s="50"/>
      <c r="N45" s="104"/>
    </row>
    <row r="46" spans="1:14" s="5" customFormat="1" ht="16.5" customHeight="1">
      <c r="A46" s="240" t="s">
        <v>241</v>
      </c>
      <c r="B46" s="102" t="s">
        <v>293</v>
      </c>
      <c r="C46" s="49" t="s">
        <v>333</v>
      </c>
      <c r="D46" s="47" t="s">
        <v>33</v>
      </c>
      <c r="E46" s="78">
        <v>4</v>
      </c>
      <c r="F46" s="47">
        <f ca="1">COUNTA($L46:INDIRECT(ADDRESS(ROW(),MATCH("",$4:$4,-1),1,1)))</f>
        <v>0</v>
      </c>
      <c r="G46" s="47">
        <f t="shared" ca="1" si="0"/>
        <v>0</v>
      </c>
      <c r="H46" s="47">
        <f ca="1">COUNTIF($L46:INDIRECT(ADDRESS(ROW(),MATCH("",$4:$4,-1),1,1)),"양호")</f>
        <v>0</v>
      </c>
      <c r="I46" s="47">
        <f ca="1">COUNTIF($L46:INDIRECT(ADDRESS(ROW(),MATCH("",$4:$4,-1),1,1)),"취약")</f>
        <v>0</v>
      </c>
      <c r="J46" s="47">
        <f ca="1">COUNTIF($L46:INDIRECT(ADDRESS(ROW(),MATCH("",$4:$4,-1),1,1)),"N/A")</f>
        <v>0</v>
      </c>
      <c r="K46" s="47"/>
      <c r="L46" s="50"/>
      <c r="M46" s="50"/>
      <c r="N46" s="104"/>
    </row>
    <row r="47" spans="1:14" s="5" customFormat="1" ht="16.5" customHeight="1" thickBot="1">
      <c r="A47" s="240" t="s">
        <v>241</v>
      </c>
      <c r="B47" s="102" t="s">
        <v>453</v>
      </c>
      <c r="C47" s="49" t="s">
        <v>455</v>
      </c>
      <c r="D47" s="47" t="s">
        <v>33</v>
      </c>
      <c r="E47" s="78">
        <v>5</v>
      </c>
      <c r="F47" s="47">
        <f ca="1">COUNTA($L47:INDIRECT(ADDRESS(ROW(),MATCH("",$4:$4,-1),1,1)))</f>
        <v>0</v>
      </c>
      <c r="G47" s="47">
        <f t="shared" ca="1" si="0"/>
        <v>0</v>
      </c>
      <c r="H47" s="47">
        <f ca="1">COUNTIF($L47:INDIRECT(ADDRESS(ROW(),MATCH("",$4:$4,-1),1,1)),"양호")</f>
        <v>0</v>
      </c>
      <c r="I47" s="47">
        <f ca="1">COUNTIF($L47:INDIRECT(ADDRESS(ROW(),MATCH("",$4:$4,-1),1,1)),"취약")</f>
        <v>0</v>
      </c>
      <c r="J47" s="47">
        <f ca="1">COUNTIF($L47:INDIRECT(ADDRESS(ROW(),MATCH("",$4:$4,-1),1,1)),"N/A")</f>
        <v>0</v>
      </c>
      <c r="K47" s="47"/>
      <c r="L47" s="50"/>
      <c r="M47" s="50"/>
      <c r="N47" s="104"/>
    </row>
    <row r="48" spans="1:14" s="242" customFormat="1" ht="14.25" thickBot="1">
      <c r="A48" s="514" t="s">
        <v>19</v>
      </c>
      <c r="B48" s="503"/>
      <c r="C48" s="503"/>
      <c r="D48" s="503"/>
      <c r="E48" s="117">
        <f t="shared" ref="E48:J48" si="1">SUM(E6:E47)</f>
        <v>159</v>
      </c>
      <c r="F48" s="117">
        <f t="shared" ca="1" si="1"/>
        <v>0</v>
      </c>
      <c r="G48" s="117">
        <f t="shared" ca="1" si="1"/>
        <v>0</v>
      </c>
      <c r="H48" s="117">
        <f t="shared" ca="1" si="1"/>
        <v>0</v>
      </c>
      <c r="I48" s="117">
        <f t="shared" ca="1" si="1"/>
        <v>0</v>
      </c>
      <c r="J48" s="117">
        <f t="shared" ca="1" si="1"/>
        <v>0</v>
      </c>
      <c r="K48" s="117"/>
      <c r="L48" s="118">
        <f>COUNTIF(L6:L47,"양호")+COUNTIF(L6:L47,"취약")+COUNTIF(L6:L47,"부분만족")+COUNTIF(L6:L47,"N/A")</f>
        <v>0</v>
      </c>
      <c r="M48" s="118">
        <f>COUNTIF(M6:M47,"양호")+COUNTIF(M6:M47,"취약")+COUNTIF(M6:M47,"부분만족")+COUNTIF(M6:M47,"N/A")</f>
        <v>0</v>
      </c>
      <c r="N48" s="119">
        <f>COUNTIF(N6:N47,"양호")+COUNTIF(N6:N47,"취약")+COUNTIF(N6:N47,"부분만족")+COUNTIF(N6:N47,"N/A")</f>
        <v>0</v>
      </c>
    </row>
    <row r="49" spans="7:14" ht="17.25" thickBot="1"/>
    <row r="50" spans="7:14">
      <c r="G50" s="490" t="s">
        <v>18</v>
      </c>
      <c r="H50" s="491"/>
      <c r="I50" s="492"/>
      <c r="J50" s="11">
        <f>SUM(K50:N50)</f>
        <v>0</v>
      </c>
      <c r="K50" s="22"/>
      <c r="L50" s="12">
        <f>COUNTIF(L$6:L$47,$G$50)</f>
        <v>0</v>
      </c>
      <c r="M50" s="12">
        <f>COUNTIF(M$6:M$47,$G$50)</f>
        <v>0</v>
      </c>
      <c r="N50" s="12">
        <f>COUNTIF(N$6:N$47,$G$50)</f>
        <v>0</v>
      </c>
    </row>
    <row r="51" spans="7:14">
      <c r="G51" s="493" t="s">
        <v>38</v>
      </c>
      <c r="H51" s="494"/>
      <c r="I51" s="495"/>
      <c r="J51" s="13">
        <f>SUM(K51:N51)</f>
        <v>0</v>
      </c>
      <c r="K51" s="23"/>
      <c r="L51" s="14">
        <f>COUNTIF(L$6:L$47,$G$51)</f>
        <v>0</v>
      </c>
      <c r="M51" s="14">
        <f>COUNTIF(M$6:M$47,$G$51)</f>
        <v>0</v>
      </c>
      <c r="N51" s="14">
        <f>COUNTIF(N$6:N$47,$G$51)</f>
        <v>0</v>
      </c>
    </row>
    <row r="52" spans="7:14" ht="17.25" thickBot="1">
      <c r="G52" s="496" t="s">
        <v>40</v>
      </c>
      <c r="H52" s="497"/>
      <c r="I52" s="498"/>
      <c r="J52" s="15">
        <f>SUM(K52:N52)</f>
        <v>0</v>
      </c>
      <c r="K52" s="24"/>
      <c r="L52" s="16">
        <f>COUNTIF(L$6:L$47,$G$52)</f>
        <v>0</v>
      </c>
      <c r="M52" s="16">
        <f>COUNTIF(M$6:M$47,$G$52)</f>
        <v>0</v>
      </c>
      <c r="N52" s="16">
        <f>COUNTIF(N$6:N$47,$G$52)</f>
        <v>0</v>
      </c>
    </row>
    <row r="53" spans="7:14" ht="17.25" thickBot="1"/>
    <row r="54" spans="7:14">
      <c r="I54" s="499" t="s">
        <v>1</v>
      </c>
      <c r="J54" s="11">
        <f t="shared" ref="J54:J62" si="2">SUM(K54:N54)</f>
        <v>0</v>
      </c>
      <c r="K54" s="32"/>
      <c r="L54" s="32">
        <f>COUNTIFS($D$6:$D$47,$I$54,L$6:L$47,$G$50)</f>
        <v>0</v>
      </c>
      <c r="M54" s="32">
        <f>COUNTIFS($D$6:$D$47,$I$54,M$6:M$47,$G$50)</f>
        <v>0</v>
      </c>
      <c r="N54" s="32">
        <f>COUNTIFS($D$6:$D$47,$I$54,N$6:N$47,$G$50)</f>
        <v>0</v>
      </c>
    </row>
    <row r="55" spans="7:14" ht="16.5" customHeight="1">
      <c r="I55" s="500"/>
      <c r="J55" s="13">
        <f t="shared" si="2"/>
        <v>0</v>
      </c>
      <c r="K55" s="18"/>
      <c r="L55" s="18">
        <f>COUNTIFS($D$6:$D$47,$I$54,L$6:L$47,$G$51)</f>
        <v>0</v>
      </c>
      <c r="M55" s="18">
        <f>COUNTIFS($D$6:$D$47,$I$54,M$6:M$47,$G$51)</f>
        <v>0</v>
      </c>
      <c r="N55" s="18">
        <f>COUNTIFS($D$6:$D$47,$I$54,N$6:N$47,$G$51)</f>
        <v>0</v>
      </c>
    </row>
    <row r="56" spans="7:14" ht="16.5" customHeight="1" thickBot="1">
      <c r="I56" s="501"/>
      <c r="J56" s="15">
        <f t="shared" si="2"/>
        <v>0</v>
      </c>
      <c r="K56" s="33"/>
      <c r="L56" s="33">
        <f>COUNTIFS($D$6:$D$47,$I$54,L$6:L$47,$G$52)</f>
        <v>0</v>
      </c>
      <c r="M56" s="33">
        <f>COUNTIFS($D$6:$D$47,$I$54,M$6:M$47,$G$52)</f>
        <v>0</v>
      </c>
      <c r="N56" s="33">
        <f>COUNTIFS($D$6:$D$47,$I$54,N$6:N$47,$G$52)</f>
        <v>0</v>
      </c>
    </row>
    <row r="57" spans="7:14" ht="16.5" customHeight="1" thickBot="1">
      <c r="I57" s="489" t="s">
        <v>2</v>
      </c>
      <c r="J57" s="11">
        <f t="shared" si="2"/>
        <v>0</v>
      </c>
      <c r="K57" s="32"/>
      <c r="L57" s="32">
        <f>COUNTIFS($D$6:$D$47,$I$57,L$6:L$47,$G$50)</f>
        <v>0</v>
      </c>
      <c r="M57" s="32">
        <f>COUNTIFS($D$6:$D$47,$I$57,M$6:M$47,$G$50)</f>
        <v>0</v>
      </c>
      <c r="N57" s="32">
        <f>COUNTIFS($D$6:$D$47,$I$57,N$6:N$47,$G$50)</f>
        <v>0</v>
      </c>
    </row>
    <row r="58" spans="7:14" ht="16.5" customHeight="1" thickBot="1">
      <c r="I58" s="489"/>
      <c r="J58" s="13">
        <f t="shared" si="2"/>
        <v>0</v>
      </c>
      <c r="K58" s="18"/>
      <c r="L58" s="18">
        <f>COUNTIFS($D$6:$D$47,$I$57,L$6:L$47,$G$51)</f>
        <v>0</v>
      </c>
      <c r="M58" s="18">
        <f>COUNTIFS($D$6:$D$47,$I$57,M$6:M$47,$G$51)</f>
        <v>0</v>
      </c>
      <c r="N58" s="18">
        <f>COUNTIFS($D$6:$D$47,$I$57,N$6:N$47,$G$51)</f>
        <v>0</v>
      </c>
    </row>
    <row r="59" spans="7:14" ht="16.5" customHeight="1" thickBot="1">
      <c r="I59" s="489"/>
      <c r="J59" s="15">
        <f t="shared" si="2"/>
        <v>0</v>
      </c>
      <c r="K59" s="33"/>
      <c r="L59" s="33">
        <f>COUNTIFS($D$6:$D$47,$I$57,L$6:L$47,$G$52)</f>
        <v>0</v>
      </c>
      <c r="M59" s="33">
        <f>COUNTIFS($D$6:$D$47,$I$57,M$6:M$47,$G$52)</f>
        <v>0</v>
      </c>
      <c r="N59" s="33">
        <f>COUNTIFS($D$6:$D$47,$I$57,N$6:N$47,$G$52)</f>
        <v>0</v>
      </c>
    </row>
    <row r="60" spans="7:14" ht="16.5" customHeight="1" thickBot="1">
      <c r="I60" s="489" t="s">
        <v>3</v>
      </c>
      <c r="J60" s="11">
        <f t="shared" si="2"/>
        <v>0</v>
      </c>
      <c r="K60" s="32"/>
      <c r="L60" s="32">
        <f>COUNTIFS($D$6:$D$47,$I$60,L$6:L$47,$G$50)</f>
        <v>0</v>
      </c>
      <c r="M60" s="32">
        <f>COUNTIFS($D$6:$D$47,$I$60,M$6:M$47,$G$50)</f>
        <v>0</v>
      </c>
      <c r="N60" s="32">
        <f>COUNTIFS($D$6:$D$47,$I$60,N$6:N$47,$G$50)</f>
        <v>0</v>
      </c>
    </row>
    <row r="61" spans="7:14" ht="16.5" customHeight="1" thickBot="1">
      <c r="I61" s="489"/>
      <c r="J61" s="13">
        <f t="shared" si="2"/>
        <v>0</v>
      </c>
      <c r="K61" s="18"/>
      <c r="L61" s="18">
        <f>COUNTIFS($D$6:$D$47,$I$60,L$6:L$47,$G$51)</f>
        <v>0</v>
      </c>
      <c r="M61" s="18">
        <f>COUNTIFS($D$6:$D$47,$I$60,M$6:M$47,$G$51)</f>
        <v>0</v>
      </c>
      <c r="N61" s="18">
        <f>COUNTIFS($D$6:$D$47,$I$60,N$6:N$47,$G$51)</f>
        <v>0</v>
      </c>
    </row>
    <row r="62" spans="7:14" ht="16.5" customHeight="1" thickBot="1">
      <c r="I62" s="489"/>
      <c r="J62" s="15">
        <f t="shared" si="2"/>
        <v>0</v>
      </c>
      <c r="K62" s="33"/>
      <c r="L62" s="33">
        <f>COUNTIFS($D$6:$D$47,$I$60,L$6:L$47,$G$52)</f>
        <v>0</v>
      </c>
      <c r="M62" s="33">
        <f>COUNTIFS($D$6:$D$47,$I$60,M$6:M$47,$G$52)</f>
        <v>0</v>
      </c>
      <c r="N62" s="33">
        <f>COUNTIFS($D$6:$D$47,$I$60,N$6:N$47,$G$52)</f>
        <v>0</v>
      </c>
    </row>
    <row r="63" spans="7:14" ht="16.5" customHeight="1"/>
    <row r="64" spans="7:1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</sheetData>
  <mergeCells count="15">
    <mergeCell ref="I54:I56"/>
    <mergeCell ref="I57:I59"/>
    <mergeCell ref="I60:I62"/>
    <mergeCell ref="N4:N5"/>
    <mergeCell ref="A48:D48"/>
    <mergeCell ref="G50:I50"/>
    <mergeCell ref="G51:I51"/>
    <mergeCell ref="G52:I52"/>
    <mergeCell ref="M4:M5"/>
    <mergeCell ref="A4:C4"/>
    <mergeCell ref="D4:D5"/>
    <mergeCell ref="E4:E5"/>
    <mergeCell ref="F4:J4"/>
    <mergeCell ref="L4:L5"/>
    <mergeCell ref="K4:K5"/>
  </mergeCells>
  <phoneticPr fontId="1" type="noConversion"/>
  <conditionalFormatting sqref="L6:N47">
    <cfRule type="cellIs" dxfId="31" priority="1" stopIfTrue="1" operator="equal">
      <formula>"취약"</formula>
    </cfRule>
    <cfRule type="cellIs" dxfId="30" priority="2" stopIfTrue="1" operator="equal">
      <formula>"부분만족"</formula>
    </cfRule>
    <cfRule type="cellIs" dxfId="29" priority="3" stopIfTrue="1" operator="equal">
      <formula>"N/A"</formula>
    </cfRule>
  </conditionalFormatting>
  <printOptions horizontalCentered="1"/>
  <pageMargins left="0.39370078740157483" right="0.39370078740157483" top="0.59055118110236215" bottom="0.59055118110236215" header="0.19685039370078741" footer="0.19685039370078741"/>
  <pageSetup paperSize="9" scale="64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rgb="FF7030A0"/>
    <pageSetUpPr fitToPage="1"/>
  </sheetPr>
  <dimension ref="A1:N108"/>
  <sheetViews>
    <sheetView showGridLines="0" view="pageBreakPreview" zoomScale="85" zoomScaleNormal="85" zoomScaleSheetLayoutView="85" workbookViewId="0">
      <pane ySplit="5" topLeftCell="A6" activePane="bottomLeft" state="frozen"/>
      <selection pane="bottomLeft"/>
    </sheetView>
  </sheetViews>
  <sheetFormatPr defaultRowHeight="16.5"/>
  <cols>
    <col min="1" max="1" width="9.25" style="8" bestFit="1" customWidth="1"/>
    <col min="2" max="2" width="9" style="8"/>
    <col min="3" max="3" width="40.5" style="8" customWidth="1"/>
    <col min="4" max="5" width="6.125" style="8" customWidth="1"/>
    <col min="6" max="11" width="6.75" style="8" customWidth="1"/>
    <col min="12" max="14" width="9.25" style="8" customWidth="1"/>
    <col min="15" max="15" width="2.625" style="8" customWidth="1"/>
    <col min="16" max="207" width="9" style="8"/>
    <col min="208" max="208" width="2.625" style="8" customWidth="1"/>
    <col min="209" max="209" width="9.25" style="8" bestFit="1" customWidth="1"/>
    <col min="210" max="210" width="9" style="8"/>
    <col min="211" max="211" width="40.5" style="8" customWidth="1"/>
    <col min="212" max="213" width="6.125" style="8" customWidth="1"/>
    <col min="214" max="219" width="6.75" style="8" customWidth="1"/>
    <col min="220" max="269" width="9.25" style="8" customWidth="1"/>
    <col min="270" max="270" width="2.625" style="8" customWidth="1"/>
    <col min="271" max="463" width="9" style="8"/>
    <col min="464" max="464" width="2.625" style="8" customWidth="1"/>
    <col min="465" max="465" width="9.25" style="8" bestFit="1" customWidth="1"/>
    <col min="466" max="466" width="9" style="8"/>
    <col min="467" max="467" width="40.5" style="8" customWidth="1"/>
    <col min="468" max="469" width="6.125" style="8" customWidth="1"/>
    <col min="470" max="475" width="6.75" style="8" customWidth="1"/>
    <col min="476" max="525" width="9.25" style="8" customWidth="1"/>
    <col min="526" max="526" width="2.625" style="8" customWidth="1"/>
    <col min="527" max="719" width="9" style="8"/>
    <col min="720" max="720" width="2.625" style="8" customWidth="1"/>
    <col min="721" max="721" width="9.25" style="8" bestFit="1" customWidth="1"/>
    <col min="722" max="722" width="9" style="8"/>
    <col min="723" max="723" width="40.5" style="8" customWidth="1"/>
    <col min="724" max="725" width="6.125" style="8" customWidth="1"/>
    <col min="726" max="731" width="6.75" style="8" customWidth="1"/>
    <col min="732" max="781" width="9.25" style="8" customWidth="1"/>
    <col min="782" max="782" width="2.625" style="8" customWidth="1"/>
    <col min="783" max="975" width="9" style="8"/>
    <col min="976" max="976" width="2.625" style="8" customWidth="1"/>
    <col min="977" max="977" width="9.25" style="8" bestFit="1" customWidth="1"/>
    <col min="978" max="978" width="9" style="8"/>
    <col min="979" max="979" width="40.5" style="8" customWidth="1"/>
    <col min="980" max="981" width="6.125" style="8" customWidth="1"/>
    <col min="982" max="987" width="6.75" style="8" customWidth="1"/>
    <col min="988" max="1037" width="9.25" style="8" customWidth="1"/>
    <col min="1038" max="1038" width="2.625" style="8" customWidth="1"/>
    <col min="1039" max="1231" width="9" style="8"/>
    <col min="1232" max="1232" width="2.625" style="8" customWidth="1"/>
    <col min="1233" max="1233" width="9.25" style="8" bestFit="1" customWidth="1"/>
    <col min="1234" max="1234" width="9" style="8"/>
    <col min="1235" max="1235" width="40.5" style="8" customWidth="1"/>
    <col min="1236" max="1237" width="6.125" style="8" customWidth="1"/>
    <col min="1238" max="1243" width="6.75" style="8" customWidth="1"/>
    <col min="1244" max="1293" width="9.25" style="8" customWidth="1"/>
    <col min="1294" max="1294" width="2.625" style="8" customWidth="1"/>
    <col min="1295" max="1487" width="9" style="8"/>
    <col min="1488" max="1488" width="2.625" style="8" customWidth="1"/>
    <col min="1489" max="1489" width="9.25" style="8" bestFit="1" customWidth="1"/>
    <col min="1490" max="1490" width="9" style="8"/>
    <col min="1491" max="1491" width="40.5" style="8" customWidth="1"/>
    <col min="1492" max="1493" width="6.125" style="8" customWidth="1"/>
    <col min="1494" max="1499" width="6.75" style="8" customWidth="1"/>
    <col min="1500" max="1549" width="9.25" style="8" customWidth="1"/>
    <col min="1550" max="1550" width="2.625" style="8" customWidth="1"/>
    <col min="1551" max="1743" width="9" style="8"/>
    <col min="1744" max="1744" width="2.625" style="8" customWidth="1"/>
    <col min="1745" max="1745" width="9.25" style="8" bestFit="1" customWidth="1"/>
    <col min="1746" max="1746" width="9" style="8"/>
    <col min="1747" max="1747" width="40.5" style="8" customWidth="1"/>
    <col min="1748" max="1749" width="6.125" style="8" customWidth="1"/>
    <col min="1750" max="1755" width="6.75" style="8" customWidth="1"/>
    <col min="1756" max="1805" width="9.25" style="8" customWidth="1"/>
    <col min="1806" max="1806" width="2.625" style="8" customWidth="1"/>
    <col min="1807" max="1999" width="9" style="8"/>
    <col min="2000" max="2000" width="2.625" style="8" customWidth="1"/>
    <col min="2001" max="2001" width="9.25" style="8" bestFit="1" customWidth="1"/>
    <col min="2002" max="2002" width="9" style="8"/>
    <col min="2003" max="2003" width="40.5" style="8" customWidth="1"/>
    <col min="2004" max="2005" width="6.125" style="8" customWidth="1"/>
    <col min="2006" max="2011" width="6.75" style="8" customWidth="1"/>
    <col min="2012" max="2061" width="9.25" style="8" customWidth="1"/>
    <col min="2062" max="2062" width="2.625" style="8" customWidth="1"/>
    <col min="2063" max="2255" width="9" style="8"/>
    <col min="2256" max="2256" width="2.625" style="8" customWidth="1"/>
    <col min="2257" max="2257" width="9.25" style="8" bestFit="1" customWidth="1"/>
    <col min="2258" max="2258" width="9" style="8"/>
    <col min="2259" max="2259" width="40.5" style="8" customWidth="1"/>
    <col min="2260" max="2261" width="6.125" style="8" customWidth="1"/>
    <col min="2262" max="2267" width="6.75" style="8" customWidth="1"/>
    <col min="2268" max="2317" width="9.25" style="8" customWidth="1"/>
    <col min="2318" max="2318" width="2.625" style="8" customWidth="1"/>
    <col min="2319" max="2511" width="9" style="8"/>
    <col min="2512" max="2512" width="2.625" style="8" customWidth="1"/>
    <col min="2513" max="2513" width="9.25" style="8" bestFit="1" customWidth="1"/>
    <col min="2514" max="2514" width="9" style="8"/>
    <col min="2515" max="2515" width="40.5" style="8" customWidth="1"/>
    <col min="2516" max="2517" width="6.125" style="8" customWidth="1"/>
    <col min="2518" max="2523" width="6.75" style="8" customWidth="1"/>
    <col min="2524" max="2573" width="9.25" style="8" customWidth="1"/>
    <col min="2574" max="2574" width="2.625" style="8" customWidth="1"/>
    <col min="2575" max="2767" width="9" style="8"/>
    <col min="2768" max="2768" width="2.625" style="8" customWidth="1"/>
    <col min="2769" max="2769" width="9.25" style="8" bestFit="1" customWidth="1"/>
    <col min="2770" max="2770" width="9" style="8"/>
    <col min="2771" max="2771" width="40.5" style="8" customWidth="1"/>
    <col min="2772" max="2773" width="6.125" style="8" customWidth="1"/>
    <col min="2774" max="2779" width="6.75" style="8" customWidth="1"/>
    <col min="2780" max="2829" width="9.25" style="8" customWidth="1"/>
    <col min="2830" max="2830" width="2.625" style="8" customWidth="1"/>
    <col min="2831" max="3023" width="9" style="8"/>
    <col min="3024" max="3024" width="2.625" style="8" customWidth="1"/>
    <col min="3025" max="3025" width="9.25" style="8" bestFit="1" customWidth="1"/>
    <col min="3026" max="3026" width="9" style="8"/>
    <col min="3027" max="3027" width="40.5" style="8" customWidth="1"/>
    <col min="3028" max="3029" width="6.125" style="8" customWidth="1"/>
    <col min="3030" max="3035" width="6.75" style="8" customWidth="1"/>
    <col min="3036" max="3085" width="9.25" style="8" customWidth="1"/>
    <col min="3086" max="3086" width="2.625" style="8" customWidth="1"/>
    <col min="3087" max="3279" width="9" style="8"/>
    <col min="3280" max="3280" width="2.625" style="8" customWidth="1"/>
    <col min="3281" max="3281" width="9.25" style="8" bestFit="1" customWidth="1"/>
    <col min="3282" max="3282" width="9" style="8"/>
    <col min="3283" max="3283" width="40.5" style="8" customWidth="1"/>
    <col min="3284" max="3285" width="6.125" style="8" customWidth="1"/>
    <col min="3286" max="3291" width="6.75" style="8" customWidth="1"/>
    <col min="3292" max="3341" width="9.25" style="8" customWidth="1"/>
    <col min="3342" max="3342" width="2.625" style="8" customWidth="1"/>
    <col min="3343" max="3535" width="9" style="8"/>
    <col min="3536" max="3536" width="2.625" style="8" customWidth="1"/>
    <col min="3537" max="3537" width="9.25" style="8" bestFit="1" customWidth="1"/>
    <col min="3538" max="3538" width="9" style="8"/>
    <col min="3539" max="3539" width="40.5" style="8" customWidth="1"/>
    <col min="3540" max="3541" width="6.125" style="8" customWidth="1"/>
    <col min="3542" max="3547" width="6.75" style="8" customWidth="1"/>
    <col min="3548" max="3597" width="9.25" style="8" customWidth="1"/>
    <col min="3598" max="3598" width="2.625" style="8" customWidth="1"/>
    <col min="3599" max="3791" width="9" style="8"/>
    <col min="3792" max="3792" width="2.625" style="8" customWidth="1"/>
    <col min="3793" max="3793" width="9.25" style="8" bestFit="1" customWidth="1"/>
    <col min="3794" max="3794" width="9" style="8"/>
    <col min="3795" max="3795" width="40.5" style="8" customWidth="1"/>
    <col min="3796" max="3797" width="6.125" style="8" customWidth="1"/>
    <col min="3798" max="3803" width="6.75" style="8" customWidth="1"/>
    <col min="3804" max="3853" width="9.25" style="8" customWidth="1"/>
    <col min="3854" max="3854" width="2.625" style="8" customWidth="1"/>
    <col min="3855" max="4047" width="9" style="8"/>
    <col min="4048" max="4048" width="2.625" style="8" customWidth="1"/>
    <col min="4049" max="4049" width="9.25" style="8" bestFit="1" customWidth="1"/>
    <col min="4050" max="4050" width="9" style="8"/>
    <col min="4051" max="4051" width="40.5" style="8" customWidth="1"/>
    <col min="4052" max="4053" width="6.125" style="8" customWidth="1"/>
    <col min="4054" max="4059" width="6.75" style="8" customWidth="1"/>
    <col min="4060" max="4109" width="9.25" style="8" customWidth="1"/>
    <col min="4110" max="4110" width="2.625" style="8" customWidth="1"/>
    <col min="4111" max="4303" width="9" style="8"/>
    <col min="4304" max="4304" width="2.625" style="8" customWidth="1"/>
    <col min="4305" max="4305" width="9.25" style="8" bestFit="1" customWidth="1"/>
    <col min="4306" max="4306" width="9" style="8"/>
    <col min="4307" max="4307" width="40.5" style="8" customWidth="1"/>
    <col min="4308" max="4309" width="6.125" style="8" customWidth="1"/>
    <col min="4310" max="4315" width="6.75" style="8" customWidth="1"/>
    <col min="4316" max="4365" width="9.25" style="8" customWidth="1"/>
    <col min="4366" max="4366" width="2.625" style="8" customWidth="1"/>
    <col min="4367" max="4559" width="9" style="8"/>
    <col min="4560" max="4560" width="2.625" style="8" customWidth="1"/>
    <col min="4561" max="4561" width="9.25" style="8" bestFit="1" customWidth="1"/>
    <col min="4562" max="4562" width="9" style="8"/>
    <col min="4563" max="4563" width="40.5" style="8" customWidth="1"/>
    <col min="4564" max="4565" width="6.125" style="8" customWidth="1"/>
    <col min="4566" max="4571" width="6.75" style="8" customWidth="1"/>
    <col min="4572" max="4621" width="9.25" style="8" customWidth="1"/>
    <col min="4622" max="4622" width="2.625" style="8" customWidth="1"/>
    <col min="4623" max="4815" width="9" style="8"/>
    <col min="4816" max="4816" width="2.625" style="8" customWidth="1"/>
    <col min="4817" max="4817" width="9.25" style="8" bestFit="1" customWidth="1"/>
    <col min="4818" max="4818" width="9" style="8"/>
    <col min="4819" max="4819" width="40.5" style="8" customWidth="1"/>
    <col min="4820" max="4821" width="6.125" style="8" customWidth="1"/>
    <col min="4822" max="4827" width="6.75" style="8" customWidth="1"/>
    <col min="4828" max="4877" width="9.25" style="8" customWidth="1"/>
    <col min="4878" max="4878" width="2.625" style="8" customWidth="1"/>
    <col min="4879" max="5071" width="9" style="8"/>
    <col min="5072" max="5072" width="2.625" style="8" customWidth="1"/>
    <col min="5073" max="5073" width="9.25" style="8" bestFit="1" customWidth="1"/>
    <col min="5074" max="5074" width="9" style="8"/>
    <col min="5075" max="5075" width="40.5" style="8" customWidth="1"/>
    <col min="5076" max="5077" width="6.125" style="8" customWidth="1"/>
    <col min="5078" max="5083" width="6.75" style="8" customWidth="1"/>
    <col min="5084" max="5133" width="9.25" style="8" customWidth="1"/>
    <col min="5134" max="5134" width="2.625" style="8" customWidth="1"/>
    <col min="5135" max="5327" width="9" style="8"/>
    <col min="5328" max="5328" width="2.625" style="8" customWidth="1"/>
    <col min="5329" max="5329" width="9.25" style="8" bestFit="1" customWidth="1"/>
    <col min="5330" max="5330" width="9" style="8"/>
    <col min="5331" max="5331" width="40.5" style="8" customWidth="1"/>
    <col min="5332" max="5333" width="6.125" style="8" customWidth="1"/>
    <col min="5334" max="5339" width="6.75" style="8" customWidth="1"/>
    <col min="5340" max="5389" width="9.25" style="8" customWidth="1"/>
    <col min="5390" max="5390" width="2.625" style="8" customWidth="1"/>
    <col min="5391" max="5583" width="9" style="8"/>
    <col min="5584" max="5584" width="2.625" style="8" customWidth="1"/>
    <col min="5585" max="5585" width="9.25" style="8" bestFit="1" customWidth="1"/>
    <col min="5586" max="5586" width="9" style="8"/>
    <col min="5587" max="5587" width="40.5" style="8" customWidth="1"/>
    <col min="5588" max="5589" width="6.125" style="8" customWidth="1"/>
    <col min="5590" max="5595" width="6.75" style="8" customWidth="1"/>
    <col min="5596" max="5645" width="9.25" style="8" customWidth="1"/>
    <col min="5646" max="5646" width="2.625" style="8" customWidth="1"/>
    <col min="5647" max="5839" width="9" style="8"/>
    <col min="5840" max="5840" width="2.625" style="8" customWidth="1"/>
    <col min="5841" max="5841" width="9.25" style="8" bestFit="1" customWidth="1"/>
    <col min="5842" max="5842" width="9" style="8"/>
    <col min="5843" max="5843" width="40.5" style="8" customWidth="1"/>
    <col min="5844" max="5845" width="6.125" style="8" customWidth="1"/>
    <col min="5846" max="5851" width="6.75" style="8" customWidth="1"/>
    <col min="5852" max="5901" width="9.25" style="8" customWidth="1"/>
    <col min="5902" max="5902" width="2.625" style="8" customWidth="1"/>
    <col min="5903" max="6095" width="9" style="8"/>
    <col min="6096" max="6096" width="2.625" style="8" customWidth="1"/>
    <col min="6097" max="6097" width="9.25" style="8" bestFit="1" customWidth="1"/>
    <col min="6098" max="6098" width="9" style="8"/>
    <col min="6099" max="6099" width="40.5" style="8" customWidth="1"/>
    <col min="6100" max="6101" width="6.125" style="8" customWidth="1"/>
    <col min="6102" max="6107" width="6.75" style="8" customWidth="1"/>
    <col min="6108" max="6157" width="9.25" style="8" customWidth="1"/>
    <col min="6158" max="6158" width="2.625" style="8" customWidth="1"/>
    <col min="6159" max="6351" width="9" style="8"/>
    <col min="6352" max="6352" width="2.625" style="8" customWidth="1"/>
    <col min="6353" max="6353" width="9.25" style="8" bestFit="1" customWidth="1"/>
    <col min="6354" max="6354" width="9" style="8"/>
    <col min="6355" max="6355" width="40.5" style="8" customWidth="1"/>
    <col min="6356" max="6357" width="6.125" style="8" customWidth="1"/>
    <col min="6358" max="6363" width="6.75" style="8" customWidth="1"/>
    <col min="6364" max="6413" width="9.25" style="8" customWidth="1"/>
    <col min="6414" max="6414" width="2.625" style="8" customWidth="1"/>
    <col min="6415" max="6607" width="9" style="8"/>
    <col min="6608" max="6608" width="2.625" style="8" customWidth="1"/>
    <col min="6609" max="6609" width="9.25" style="8" bestFit="1" customWidth="1"/>
    <col min="6610" max="6610" width="9" style="8"/>
    <col min="6611" max="6611" width="40.5" style="8" customWidth="1"/>
    <col min="6612" max="6613" width="6.125" style="8" customWidth="1"/>
    <col min="6614" max="6619" width="6.75" style="8" customWidth="1"/>
    <col min="6620" max="6669" width="9.25" style="8" customWidth="1"/>
    <col min="6670" max="6670" width="2.625" style="8" customWidth="1"/>
    <col min="6671" max="6863" width="9" style="8"/>
    <col min="6864" max="6864" width="2.625" style="8" customWidth="1"/>
    <col min="6865" max="6865" width="9.25" style="8" bestFit="1" customWidth="1"/>
    <col min="6866" max="6866" width="9" style="8"/>
    <col min="6867" max="6867" width="40.5" style="8" customWidth="1"/>
    <col min="6868" max="6869" width="6.125" style="8" customWidth="1"/>
    <col min="6870" max="6875" width="6.75" style="8" customWidth="1"/>
    <col min="6876" max="6925" width="9.25" style="8" customWidth="1"/>
    <col min="6926" max="6926" width="2.625" style="8" customWidth="1"/>
    <col min="6927" max="7119" width="9" style="8"/>
    <col min="7120" max="7120" width="2.625" style="8" customWidth="1"/>
    <col min="7121" max="7121" width="9.25" style="8" bestFit="1" customWidth="1"/>
    <col min="7122" max="7122" width="9" style="8"/>
    <col min="7123" max="7123" width="40.5" style="8" customWidth="1"/>
    <col min="7124" max="7125" width="6.125" style="8" customWidth="1"/>
    <col min="7126" max="7131" width="6.75" style="8" customWidth="1"/>
    <col min="7132" max="7181" width="9.25" style="8" customWidth="1"/>
    <col min="7182" max="7182" width="2.625" style="8" customWidth="1"/>
    <col min="7183" max="7375" width="9" style="8"/>
    <col min="7376" max="7376" width="2.625" style="8" customWidth="1"/>
    <col min="7377" max="7377" width="9.25" style="8" bestFit="1" customWidth="1"/>
    <col min="7378" max="7378" width="9" style="8"/>
    <col min="7379" max="7379" width="40.5" style="8" customWidth="1"/>
    <col min="7380" max="7381" width="6.125" style="8" customWidth="1"/>
    <col min="7382" max="7387" width="6.75" style="8" customWidth="1"/>
    <col min="7388" max="7437" width="9.25" style="8" customWidth="1"/>
    <col min="7438" max="7438" width="2.625" style="8" customWidth="1"/>
    <col min="7439" max="7631" width="9" style="8"/>
    <col min="7632" max="7632" width="2.625" style="8" customWidth="1"/>
    <col min="7633" max="7633" width="9.25" style="8" bestFit="1" customWidth="1"/>
    <col min="7634" max="7634" width="9" style="8"/>
    <col min="7635" max="7635" width="40.5" style="8" customWidth="1"/>
    <col min="7636" max="7637" width="6.125" style="8" customWidth="1"/>
    <col min="7638" max="7643" width="6.75" style="8" customWidth="1"/>
    <col min="7644" max="7693" width="9.25" style="8" customWidth="1"/>
    <col min="7694" max="7694" width="2.625" style="8" customWidth="1"/>
    <col min="7695" max="7887" width="9" style="8"/>
    <col min="7888" max="7888" width="2.625" style="8" customWidth="1"/>
    <col min="7889" max="7889" width="9.25" style="8" bestFit="1" customWidth="1"/>
    <col min="7890" max="7890" width="9" style="8"/>
    <col min="7891" max="7891" width="40.5" style="8" customWidth="1"/>
    <col min="7892" max="7893" width="6.125" style="8" customWidth="1"/>
    <col min="7894" max="7899" width="6.75" style="8" customWidth="1"/>
    <col min="7900" max="7949" width="9.25" style="8" customWidth="1"/>
    <col min="7950" max="7950" width="2.625" style="8" customWidth="1"/>
    <col min="7951" max="8143" width="9" style="8"/>
    <col min="8144" max="8144" width="2.625" style="8" customWidth="1"/>
    <col min="8145" max="8145" width="9.25" style="8" bestFit="1" customWidth="1"/>
    <col min="8146" max="8146" width="9" style="8"/>
    <col min="8147" max="8147" width="40.5" style="8" customWidth="1"/>
    <col min="8148" max="8149" width="6.125" style="8" customWidth="1"/>
    <col min="8150" max="8155" width="6.75" style="8" customWidth="1"/>
    <col min="8156" max="8205" width="9.25" style="8" customWidth="1"/>
    <col min="8206" max="8206" width="2.625" style="8" customWidth="1"/>
    <col min="8207" max="8399" width="9" style="8"/>
    <col min="8400" max="8400" width="2.625" style="8" customWidth="1"/>
    <col min="8401" max="8401" width="9.25" style="8" bestFit="1" customWidth="1"/>
    <col min="8402" max="8402" width="9" style="8"/>
    <col min="8403" max="8403" width="40.5" style="8" customWidth="1"/>
    <col min="8404" max="8405" width="6.125" style="8" customWidth="1"/>
    <col min="8406" max="8411" width="6.75" style="8" customWidth="1"/>
    <col min="8412" max="8461" width="9.25" style="8" customWidth="1"/>
    <col min="8462" max="8462" width="2.625" style="8" customWidth="1"/>
    <col min="8463" max="8655" width="9" style="8"/>
    <col min="8656" max="8656" width="2.625" style="8" customWidth="1"/>
    <col min="8657" max="8657" width="9.25" style="8" bestFit="1" customWidth="1"/>
    <col min="8658" max="8658" width="9" style="8"/>
    <col min="8659" max="8659" width="40.5" style="8" customWidth="1"/>
    <col min="8660" max="8661" width="6.125" style="8" customWidth="1"/>
    <col min="8662" max="8667" width="6.75" style="8" customWidth="1"/>
    <col min="8668" max="8717" width="9.25" style="8" customWidth="1"/>
    <col min="8718" max="8718" width="2.625" style="8" customWidth="1"/>
    <col min="8719" max="8911" width="9" style="8"/>
    <col min="8912" max="8912" width="2.625" style="8" customWidth="1"/>
    <col min="8913" max="8913" width="9.25" style="8" bestFit="1" customWidth="1"/>
    <col min="8914" max="8914" width="9" style="8"/>
    <col min="8915" max="8915" width="40.5" style="8" customWidth="1"/>
    <col min="8916" max="8917" width="6.125" style="8" customWidth="1"/>
    <col min="8918" max="8923" width="6.75" style="8" customWidth="1"/>
    <col min="8924" max="8973" width="9.25" style="8" customWidth="1"/>
    <col min="8974" max="8974" width="2.625" style="8" customWidth="1"/>
    <col min="8975" max="9167" width="9" style="8"/>
    <col min="9168" max="9168" width="2.625" style="8" customWidth="1"/>
    <col min="9169" max="9169" width="9.25" style="8" bestFit="1" customWidth="1"/>
    <col min="9170" max="9170" width="9" style="8"/>
    <col min="9171" max="9171" width="40.5" style="8" customWidth="1"/>
    <col min="9172" max="9173" width="6.125" style="8" customWidth="1"/>
    <col min="9174" max="9179" width="6.75" style="8" customWidth="1"/>
    <col min="9180" max="9229" width="9.25" style="8" customWidth="1"/>
    <col min="9230" max="9230" width="2.625" style="8" customWidth="1"/>
    <col min="9231" max="9423" width="9" style="8"/>
    <col min="9424" max="9424" width="2.625" style="8" customWidth="1"/>
    <col min="9425" max="9425" width="9.25" style="8" bestFit="1" customWidth="1"/>
    <col min="9426" max="9426" width="9" style="8"/>
    <col min="9427" max="9427" width="40.5" style="8" customWidth="1"/>
    <col min="9428" max="9429" width="6.125" style="8" customWidth="1"/>
    <col min="9430" max="9435" width="6.75" style="8" customWidth="1"/>
    <col min="9436" max="9485" width="9.25" style="8" customWidth="1"/>
    <col min="9486" max="9486" width="2.625" style="8" customWidth="1"/>
    <col min="9487" max="9679" width="9" style="8"/>
    <col min="9680" max="9680" width="2.625" style="8" customWidth="1"/>
    <col min="9681" max="9681" width="9.25" style="8" bestFit="1" customWidth="1"/>
    <col min="9682" max="9682" width="9" style="8"/>
    <col min="9683" max="9683" width="40.5" style="8" customWidth="1"/>
    <col min="9684" max="9685" width="6.125" style="8" customWidth="1"/>
    <col min="9686" max="9691" width="6.75" style="8" customWidth="1"/>
    <col min="9692" max="9741" width="9.25" style="8" customWidth="1"/>
    <col min="9742" max="9742" width="2.625" style="8" customWidth="1"/>
    <col min="9743" max="9935" width="9" style="8"/>
    <col min="9936" max="9936" width="2.625" style="8" customWidth="1"/>
    <col min="9937" max="9937" width="9.25" style="8" bestFit="1" customWidth="1"/>
    <col min="9938" max="9938" width="9" style="8"/>
    <col min="9939" max="9939" width="40.5" style="8" customWidth="1"/>
    <col min="9940" max="9941" width="6.125" style="8" customWidth="1"/>
    <col min="9942" max="9947" width="6.75" style="8" customWidth="1"/>
    <col min="9948" max="9997" width="9.25" style="8" customWidth="1"/>
    <col min="9998" max="9998" width="2.625" style="8" customWidth="1"/>
    <col min="9999" max="10191" width="9" style="8"/>
    <col min="10192" max="10192" width="2.625" style="8" customWidth="1"/>
    <col min="10193" max="10193" width="9.25" style="8" bestFit="1" customWidth="1"/>
    <col min="10194" max="10194" width="9" style="8"/>
    <col min="10195" max="10195" width="40.5" style="8" customWidth="1"/>
    <col min="10196" max="10197" width="6.125" style="8" customWidth="1"/>
    <col min="10198" max="10203" width="6.75" style="8" customWidth="1"/>
    <col min="10204" max="10253" width="9.25" style="8" customWidth="1"/>
    <col min="10254" max="10254" width="2.625" style="8" customWidth="1"/>
    <col min="10255" max="10447" width="9" style="8"/>
    <col min="10448" max="10448" width="2.625" style="8" customWidth="1"/>
    <col min="10449" max="10449" width="9.25" style="8" bestFit="1" customWidth="1"/>
    <col min="10450" max="10450" width="9" style="8"/>
    <col min="10451" max="10451" width="40.5" style="8" customWidth="1"/>
    <col min="10452" max="10453" width="6.125" style="8" customWidth="1"/>
    <col min="10454" max="10459" width="6.75" style="8" customWidth="1"/>
    <col min="10460" max="10509" width="9.25" style="8" customWidth="1"/>
    <col min="10510" max="10510" width="2.625" style="8" customWidth="1"/>
    <col min="10511" max="10703" width="9" style="8"/>
    <col min="10704" max="10704" width="2.625" style="8" customWidth="1"/>
    <col min="10705" max="10705" width="9.25" style="8" bestFit="1" customWidth="1"/>
    <col min="10706" max="10706" width="9" style="8"/>
    <col min="10707" max="10707" width="40.5" style="8" customWidth="1"/>
    <col min="10708" max="10709" width="6.125" style="8" customWidth="1"/>
    <col min="10710" max="10715" width="6.75" style="8" customWidth="1"/>
    <col min="10716" max="10765" width="9.25" style="8" customWidth="1"/>
    <col min="10766" max="10766" width="2.625" style="8" customWidth="1"/>
    <col min="10767" max="10959" width="9" style="8"/>
    <col min="10960" max="10960" width="2.625" style="8" customWidth="1"/>
    <col min="10961" max="10961" width="9.25" style="8" bestFit="1" customWidth="1"/>
    <col min="10962" max="10962" width="9" style="8"/>
    <col min="10963" max="10963" width="40.5" style="8" customWidth="1"/>
    <col min="10964" max="10965" width="6.125" style="8" customWidth="1"/>
    <col min="10966" max="10971" width="6.75" style="8" customWidth="1"/>
    <col min="10972" max="11021" width="9.25" style="8" customWidth="1"/>
    <col min="11022" max="11022" width="2.625" style="8" customWidth="1"/>
    <col min="11023" max="11215" width="9" style="8"/>
    <col min="11216" max="11216" width="2.625" style="8" customWidth="1"/>
    <col min="11217" max="11217" width="9.25" style="8" bestFit="1" customWidth="1"/>
    <col min="11218" max="11218" width="9" style="8"/>
    <col min="11219" max="11219" width="40.5" style="8" customWidth="1"/>
    <col min="11220" max="11221" width="6.125" style="8" customWidth="1"/>
    <col min="11222" max="11227" width="6.75" style="8" customWidth="1"/>
    <col min="11228" max="11277" width="9.25" style="8" customWidth="1"/>
    <col min="11278" max="11278" width="2.625" style="8" customWidth="1"/>
    <col min="11279" max="11471" width="9" style="8"/>
    <col min="11472" max="11472" width="2.625" style="8" customWidth="1"/>
    <col min="11473" max="11473" width="9.25" style="8" bestFit="1" customWidth="1"/>
    <col min="11474" max="11474" width="9" style="8"/>
    <col min="11475" max="11475" width="40.5" style="8" customWidth="1"/>
    <col min="11476" max="11477" width="6.125" style="8" customWidth="1"/>
    <col min="11478" max="11483" width="6.75" style="8" customWidth="1"/>
    <col min="11484" max="11533" width="9.25" style="8" customWidth="1"/>
    <col min="11534" max="11534" width="2.625" style="8" customWidth="1"/>
    <col min="11535" max="11727" width="9" style="8"/>
    <col min="11728" max="11728" width="2.625" style="8" customWidth="1"/>
    <col min="11729" max="11729" width="9.25" style="8" bestFit="1" customWidth="1"/>
    <col min="11730" max="11730" width="9" style="8"/>
    <col min="11731" max="11731" width="40.5" style="8" customWidth="1"/>
    <col min="11732" max="11733" width="6.125" style="8" customWidth="1"/>
    <col min="11734" max="11739" width="6.75" style="8" customWidth="1"/>
    <col min="11740" max="11789" width="9.25" style="8" customWidth="1"/>
    <col min="11790" max="11790" width="2.625" style="8" customWidth="1"/>
    <col min="11791" max="11983" width="9" style="8"/>
    <col min="11984" max="11984" width="2.625" style="8" customWidth="1"/>
    <col min="11985" max="11985" width="9.25" style="8" bestFit="1" customWidth="1"/>
    <col min="11986" max="11986" width="9" style="8"/>
    <col min="11987" max="11987" width="40.5" style="8" customWidth="1"/>
    <col min="11988" max="11989" width="6.125" style="8" customWidth="1"/>
    <col min="11990" max="11995" width="6.75" style="8" customWidth="1"/>
    <col min="11996" max="12045" width="9.25" style="8" customWidth="1"/>
    <col min="12046" max="12046" width="2.625" style="8" customWidth="1"/>
    <col min="12047" max="12239" width="9" style="8"/>
    <col min="12240" max="12240" width="2.625" style="8" customWidth="1"/>
    <col min="12241" max="12241" width="9.25" style="8" bestFit="1" customWidth="1"/>
    <col min="12242" max="12242" width="9" style="8"/>
    <col min="12243" max="12243" width="40.5" style="8" customWidth="1"/>
    <col min="12244" max="12245" width="6.125" style="8" customWidth="1"/>
    <col min="12246" max="12251" width="6.75" style="8" customWidth="1"/>
    <col min="12252" max="12301" width="9.25" style="8" customWidth="1"/>
    <col min="12302" max="12302" width="2.625" style="8" customWidth="1"/>
    <col min="12303" max="12495" width="9" style="8"/>
    <col min="12496" max="12496" width="2.625" style="8" customWidth="1"/>
    <col min="12497" max="12497" width="9.25" style="8" bestFit="1" customWidth="1"/>
    <col min="12498" max="12498" width="9" style="8"/>
    <col min="12499" max="12499" width="40.5" style="8" customWidth="1"/>
    <col min="12500" max="12501" width="6.125" style="8" customWidth="1"/>
    <col min="12502" max="12507" width="6.75" style="8" customWidth="1"/>
    <col min="12508" max="12557" width="9.25" style="8" customWidth="1"/>
    <col min="12558" max="12558" width="2.625" style="8" customWidth="1"/>
    <col min="12559" max="12751" width="9" style="8"/>
    <col min="12752" max="12752" width="2.625" style="8" customWidth="1"/>
    <col min="12753" max="12753" width="9.25" style="8" bestFit="1" customWidth="1"/>
    <col min="12754" max="12754" width="9" style="8"/>
    <col min="12755" max="12755" width="40.5" style="8" customWidth="1"/>
    <col min="12756" max="12757" width="6.125" style="8" customWidth="1"/>
    <col min="12758" max="12763" width="6.75" style="8" customWidth="1"/>
    <col min="12764" max="12813" width="9.25" style="8" customWidth="1"/>
    <col min="12814" max="12814" width="2.625" style="8" customWidth="1"/>
    <col min="12815" max="13007" width="9" style="8"/>
    <col min="13008" max="13008" width="2.625" style="8" customWidth="1"/>
    <col min="13009" max="13009" width="9.25" style="8" bestFit="1" customWidth="1"/>
    <col min="13010" max="13010" width="9" style="8"/>
    <col min="13011" max="13011" width="40.5" style="8" customWidth="1"/>
    <col min="13012" max="13013" width="6.125" style="8" customWidth="1"/>
    <col min="13014" max="13019" width="6.75" style="8" customWidth="1"/>
    <col min="13020" max="13069" width="9.25" style="8" customWidth="1"/>
    <col min="13070" max="13070" width="2.625" style="8" customWidth="1"/>
    <col min="13071" max="13263" width="9" style="8"/>
    <col min="13264" max="13264" width="2.625" style="8" customWidth="1"/>
    <col min="13265" max="13265" width="9.25" style="8" bestFit="1" customWidth="1"/>
    <col min="13266" max="13266" width="9" style="8"/>
    <col min="13267" max="13267" width="40.5" style="8" customWidth="1"/>
    <col min="13268" max="13269" width="6.125" style="8" customWidth="1"/>
    <col min="13270" max="13275" width="6.75" style="8" customWidth="1"/>
    <col min="13276" max="13325" width="9.25" style="8" customWidth="1"/>
    <col min="13326" max="13326" width="2.625" style="8" customWidth="1"/>
    <col min="13327" max="13519" width="9" style="8"/>
    <col min="13520" max="13520" width="2.625" style="8" customWidth="1"/>
    <col min="13521" max="13521" width="9.25" style="8" bestFit="1" customWidth="1"/>
    <col min="13522" max="13522" width="9" style="8"/>
    <col min="13523" max="13523" width="40.5" style="8" customWidth="1"/>
    <col min="13524" max="13525" width="6.125" style="8" customWidth="1"/>
    <col min="13526" max="13531" width="6.75" style="8" customWidth="1"/>
    <col min="13532" max="13581" width="9.25" style="8" customWidth="1"/>
    <col min="13582" max="13582" width="2.625" style="8" customWidth="1"/>
    <col min="13583" max="13775" width="9" style="8"/>
    <col min="13776" max="13776" width="2.625" style="8" customWidth="1"/>
    <col min="13777" max="13777" width="9.25" style="8" bestFit="1" customWidth="1"/>
    <col min="13778" max="13778" width="9" style="8"/>
    <col min="13779" max="13779" width="40.5" style="8" customWidth="1"/>
    <col min="13780" max="13781" width="6.125" style="8" customWidth="1"/>
    <col min="13782" max="13787" width="6.75" style="8" customWidth="1"/>
    <col min="13788" max="13837" width="9.25" style="8" customWidth="1"/>
    <col min="13838" max="13838" width="2.625" style="8" customWidth="1"/>
    <col min="13839" max="14031" width="9" style="8"/>
    <col min="14032" max="14032" width="2.625" style="8" customWidth="1"/>
    <col min="14033" max="14033" width="9.25" style="8" bestFit="1" customWidth="1"/>
    <col min="14034" max="14034" width="9" style="8"/>
    <col min="14035" max="14035" width="40.5" style="8" customWidth="1"/>
    <col min="14036" max="14037" width="6.125" style="8" customWidth="1"/>
    <col min="14038" max="14043" width="6.75" style="8" customWidth="1"/>
    <col min="14044" max="14093" width="9.25" style="8" customWidth="1"/>
    <col min="14094" max="14094" width="2.625" style="8" customWidth="1"/>
    <col min="14095" max="14287" width="9" style="8"/>
    <col min="14288" max="14288" width="2.625" style="8" customWidth="1"/>
    <col min="14289" max="14289" width="9.25" style="8" bestFit="1" customWidth="1"/>
    <col min="14290" max="14290" width="9" style="8"/>
    <col min="14291" max="14291" width="40.5" style="8" customWidth="1"/>
    <col min="14292" max="14293" width="6.125" style="8" customWidth="1"/>
    <col min="14294" max="14299" width="6.75" style="8" customWidth="1"/>
    <col min="14300" max="14349" width="9.25" style="8" customWidth="1"/>
    <col min="14350" max="14350" width="2.625" style="8" customWidth="1"/>
    <col min="14351" max="14543" width="9" style="8"/>
    <col min="14544" max="14544" width="2.625" style="8" customWidth="1"/>
    <col min="14545" max="14545" width="9.25" style="8" bestFit="1" customWidth="1"/>
    <col min="14546" max="14546" width="9" style="8"/>
    <col min="14547" max="14547" width="40.5" style="8" customWidth="1"/>
    <col min="14548" max="14549" width="6.125" style="8" customWidth="1"/>
    <col min="14550" max="14555" width="6.75" style="8" customWidth="1"/>
    <col min="14556" max="14605" width="9.25" style="8" customWidth="1"/>
    <col min="14606" max="14606" width="2.625" style="8" customWidth="1"/>
    <col min="14607" max="14799" width="9" style="8"/>
    <col min="14800" max="14800" width="2.625" style="8" customWidth="1"/>
    <col min="14801" max="14801" width="9.25" style="8" bestFit="1" customWidth="1"/>
    <col min="14802" max="14802" width="9" style="8"/>
    <col min="14803" max="14803" width="40.5" style="8" customWidth="1"/>
    <col min="14804" max="14805" width="6.125" style="8" customWidth="1"/>
    <col min="14806" max="14811" width="6.75" style="8" customWidth="1"/>
    <col min="14812" max="14861" width="9.25" style="8" customWidth="1"/>
    <col min="14862" max="14862" width="2.625" style="8" customWidth="1"/>
    <col min="14863" max="15055" width="9" style="8"/>
    <col min="15056" max="15056" width="2.625" style="8" customWidth="1"/>
    <col min="15057" max="15057" width="9.25" style="8" bestFit="1" customWidth="1"/>
    <col min="15058" max="15058" width="9" style="8"/>
    <col min="15059" max="15059" width="40.5" style="8" customWidth="1"/>
    <col min="15060" max="15061" width="6.125" style="8" customWidth="1"/>
    <col min="15062" max="15067" width="6.75" style="8" customWidth="1"/>
    <col min="15068" max="15117" width="9.25" style="8" customWidth="1"/>
    <col min="15118" max="15118" width="2.625" style="8" customWidth="1"/>
    <col min="15119" max="15311" width="9" style="8"/>
    <col min="15312" max="15312" width="2.625" style="8" customWidth="1"/>
    <col min="15313" max="15313" width="9.25" style="8" bestFit="1" customWidth="1"/>
    <col min="15314" max="15314" width="9" style="8"/>
    <col min="15315" max="15315" width="40.5" style="8" customWidth="1"/>
    <col min="15316" max="15317" width="6.125" style="8" customWidth="1"/>
    <col min="15318" max="15323" width="6.75" style="8" customWidth="1"/>
    <col min="15324" max="15373" width="9.25" style="8" customWidth="1"/>
    <col min="15374" max="15374" width="2.625" style="8" customWidth="1"/>
    <col min="15375" max="15567" width="9" style="8"/>
    <col min="15568" max="15568" width="2.625" style="8" customWidth="1"/>
    <col min="15569" max="15569" width="9.25" style="8" bestFit="1" customWidth="1"/>
    <col min="15570" max="15570" width="9" style="8"/>
    <col min="15571" max="15571" width="40.5" style="8" customWidth="1"/>
    <col min="15572" max="15573" width="6.125" style="8" customWidth="1"/>
    <col min="15574" max="15579" width="6.75" style="8" customWidth="1"/>
    <col min="15580" max="15629" width="9.25" style="8" customWidth="1"/>
    <col min="15630" max="15630" width="2.625" style="8" customWidth="1"/>
    <col min="15631" max="15823" width="9" style="8"/>
    <col min="15824" max="15824" width="2.625" style="8" customWidth="1"/>
    <col min="15825" max="15825" width="9.25" style="8" bestFit="1" customWidth="1"/>
    <col min="15826" max="15826" width="9" style="8"/>
    <col min="15827" max="15827" width="40.5" style="8" customWidth="1"/>
    <col min="15828" max="15829" width="6.125" style="8" customWidth="1"/>
    <col min="15830" max="15835" width="6.75" style="8" customWidth="1"/>
    <col min="15836" max="15885" width="9.25" style="8" customWidth="1"/>
    <col min="15886" max="15886" width="2.625" style="8" customWidth="1"/>
    <col min="15887" max="16079" width="9" style="8"/>
    <col min="16080" max="16080" width="2.625" style="8" customWidth="1"/>
    <col min="16081" max="16081" width="9.25" style="8" bestFit="1" customWidth="1"/>
    <col min="16082" max="16082" width="9" style="8"/>
    <col min="16083" max="16083" width="40.5" style="8" customWidth="1"/>
    <col min="16084" max="16085" width="6.125" style="8" customWidth="1"/>
    <col min="16086" max="16091" width="6.75" style="8" customWidth="1"/>
    <col min="16092" max="16141" width="9.25" style="8" customWidth="1"/>
    <col min="16142" max="16142" width="2.625" style="8" customWidth="1"/>
    <col min="16143" max="16384" width="9" style="8"/>
  </cols>
  <sheetData>
    <row r="1" spans="1:14" s="5" customFormat="1" ht="13.5">
      <c r="L1" s="41"/>
      <c r="M1" s="41"/>
    </row>
    <row r="2" spans="1:14" s="7" customFormat="1" ht="18" customHeight="1">
      <c r="A2" s="72" t="s">
        <v>539</v>
      </c>
      <c r="B2" s="6"/>
      <c r="C2" s="6"/>
      <c r="D2" s="36"/>
      <c r="E2" s="6"/>
      <c r="F2" s="6"/>
      <c r="G2" s="6"/>
      <c r="H2" s="6"/>
      <c r="I2" s="6"/>
      <c r="J2" s="6"/>
      <c r="K2" s="6"/>
      <c r="L2" s="6"/>
      <c r="M2" s="6"/>
    </row>
    <row r="3" spans="1:14" s="7" customFormat="1" ht="5.0999999999999996" customHeight="1" thickBot="1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4" ht="18" customHeight="1">
      <c r="A4" s="361" t="s">
        <v>87</v>
      </c>
      <c r="B4" s="363"/>
      <c r="C4" s="363"/>
      <c r="D4" s="363" t="s">
        <v>88</v>
      </c>
      <c r="E4" s="363" t="s">
        <v>89</v>
      </c>
      <c r="F4" s="363" t="s">
        <v>12</v>
      </c>
      <c r="G4" s="363"/>
      <c r="H4" s="363"/>
      <c r="I4" s="363"/>
      <c r="J4" s="363"/>
      <c r="K4" s="363"/>
      <c r="L4" s="512" t="str">
        <f ca="1">'요약 통계'!L4:L5</f>
        <v>SS(샘플)</v>
      </c>
      <c r="M4" s="512" t="str">
        <f ca="1">'요약 통계'!M4:M5</f>
        <v>SS(샘플)_이행</v>
      </c>
      <c r="N4" s="510">
        <f ca="1">'요약 통계'!N4:N5</f>
        <v>0</v>
      </c>
    </row>
    <row r="5" spans="1:14" ht="17.25" thickBot="1">
      <c r="A5" s="74" t="s">
        <v>90</v>
      </c>
      <c r="B5" s="75" t="s">
        <v>91</v>
      </c>
      <c r="C5" s="75" t="s">
        <v>15</v>
      </c>
      <c r="D5" s="509"/>
      <c r="E5" s="509"/>
      <c r="F5" s="75" t="s">
        <v>92</v>
      </c>
      <c r="G5" s="75" t="s">
        <v>17</v>
      </c>
      <c r="H5" s="75" t="s">
        <v>66</v>
      </c>
      <c r="I5" s="75" t="s">
        <v>93</v>
      </c>
      <c r="J5" s="75" t="s">
        <v>42</v>
      </c>
      <c r="K5" s="75" t="s">
        <v>94</v>
      </c>
      <c r="L5" s="513"/>
      <c r="M5" s="513"/>
      <c r="N5" s="511"/>
    </row>
    <row r="6" spans="1:14" ht="16.5" customHeight="1">
      <c r="A6" s="187" t="s">
        <v>241</v>
      </c>
      <c r="B6" s="101" t="s">
        <v>253</v>
      </c>
      <c r="C6" s="100" t="s">
        <v>294</v>
      </c>
      <c r="D6" s="51" t="s">
        <v>33</v>
      </c>
      <c r="E6" s="77">
        <v>4</v>
      </c>
      <c r="F6" s="51">
        <f ca="1">COUNTA($L6:INDIRECT(ADDRESS(ROW(),MATCH("",$4:$4,-1),1,1)))</f>
        <v>2</v>
      </c>
      <c r="G6" s="51">
        <f ca="1">F6-K6</f>
        <v>2</v>
      </c>
      <c r="H6" s="51">
        <f ca="1">COUNTIF($L6:INDIRECT(ADDRESS(ROW(),MATCH("",$4:$4,-1),1,1)),"양호")</f>
        <v>0</v>
      </c>
      <c r="I6" s="51">
        <f ca="1">COUNTIF($L6:INDIRECT(ADDRESS(ROW(),MATCH("",$4:$4,-1),1,1)),"신규")</f>
        <v>0</v>
      </c>
      <c r="J6" s="51">
        <f ca="1">COUNTIF($L6:INDIRECT(ADDRESS(ROW(),MATCH("",$4:$4,-1),1,1)),"조치")</f>
        <v>0</v>
      </c>
      <c r="K6" s="51">
        <f ca="1">COUNTIF($L6:INDIRECT(ADDRESS(ROW(),MATCH("",$4:$4,-1),1,1)),"미조치")</f>
        <v>0</v>
      </c>
      <c r="L6" s="52" t="str">
        <f ca="1">IFERROR(fn_Compare(ADDRESS(ROW(),COLUMN())),"")</f>
        <v/>
      </c>
      <c r="M6" s="52" t="str">
        <f ca="1">IFERROR(fn_Compare(ADDRESS(ROW(),COLUMN())),"")</f>
        <v/>
      </c>
      <c r="N6" s="103" t="str">
        <f ca="1">IFERROR(fn_Compare(ADDRESS(ROW(),COLUMN())),"")</f>
        <v/>
      </c>
    </row>
    <row r="7" spans="1:14" ht="16.5" customHeight="1">
      <c r="A7" s="188" t="s">
        <v>241</v>
      </c>
      <c r="B7" s="102" t="s">
        <v>254</v>
      </c>
      <c r="C7" s="49" t="s">
        <v>295</v>
      </c>
      <c r="D7" s="47" t="s">
        <v>34</v>
      </c>
      <c r="E7" s="78">
        <v>3</v>
      </c>
      <c r="F7" s="47">
        <f ca="1">COUNTA($L7:INDIRECT(ADDRESS(ROW(),MATCH("",$4:$4,-1),1,1)))</f>
        <v>2</v>
      </c>
      <c r="G7" s="47">
        <f t="shared" ref="G7:G47" ca="1" si="0">F7-K7</f>
        <v>2</v>
      </c>
      <c r="H7" s="47">
        <f ca="1">COUNTIF($L7:INDIRECT(ADDRESS(ROW(),MATCH("",$4:$4,-1),1,1)),"양호")</f>
        <v>0</v>
      </c>
      <c r="I7" s="47">
        <f ca="1">COUNTIF($L7:INDIRECT(ADDRESS(ROW(),MATCH("",$4:$4,-1),1,1)),"신규")</f>
        <v>0</v>
      </c>
      <c r="J7" s="47">
        <f ca="1">COUNTIF($L7:INDIRECT(ADDRESS(ROW(),MATCH("",$4:$4,-1),1,1)),"조치")</f>
        <v>0</v>
      </c>
      <c r="K7" s="47">
        <f ca="1">COUNTIF($L7:INDIRECT(ADDRESS(ROW(),MATCH("",$4:$4,-1),1,1)),"미조치")</f>
        <v>0</v>
      </c>
      <c r="L7" s="50" t="str">
        <f ca="1">IFERROR(fn_Compare(ADDRESS(ROW(),COLUMN())),"")</f>
        <v/>
      </c>
      <c r="M7" s="50" t="str">
        <f ca="1">IFERROR(fn_Compare(ADDRESS(ROW(),COLUMN())),"")</f>
        <v/>
      </c>
      <c r="N7" s="104" t="str">
        <f ca="1">IFERROR(fn_Compare(ADDRESS(ROW(),COLUMN())),"")</f>
        <v/>
      </c>
    </row>
    <row r="8" spans="1:14" ht="16.5" customHeight="1">
      <c r="A8" s="188" t="s">
        <v>241</v>
      </c>
      <c r="B8" s="102" t="s">
        <v>255</v>
      </c>
      <c r="C8" s="49" t="s">
        <v>296</v>
      </c>
      <c r="D8" s="47" t="s">
        <v>33</v>
      </c>
      <c r="E8" s="78">
        <v>4</v>
      </c>
      <c r="F8" s="47">
        <f ca="1">COUNTA($L8:INDIRECT(ADDRESS(ROW(),MATCH("",$4:$4,-1),1,1)))</f>
        <v>2</v>
      </c>
      <c r="G8" s="47">
        <f t="shared" ca="1" si="0"/>
        <v>2</v>
      </c>
      <c r="H8" s="47">
        <f ca="1">COUNTIF($L8:INDIRECT(ADDRESS(ROW(),MATCH("",$4:$4,-1),1,1)),"양호")</f>
        <v>0</v>
      </c>
      <c r="I8" s="47">
        <f ca="1">COUNTIF($L8:INDIRECT(ADDRESS(ROW(),MATCH("",$4:$4,-1),1,1)),"신규")</f>
        <v>0</v>
      </c>
      <c r="J8" s="47">
        <f ca="1">COUNTIF($L8:INDIRECT(ADDRESS(ROW(),MATCH("",$4:$4,-1),1,1)),"조치")</f>
        <v>0</v>
      </c>
      <c r="K8" s="47">
        <f ca="1">COUNTIF($L8:INDIRECT(ADDRESS(ROW(),MATCH("",$4:$4,-1),1,1)),"미조치")</f>
        <v>0</v>
      </c>
      <c r="L8" s="50" t="str">
        <f ca="1">IFERROR(fn_Compare(ADDRESS(ROW(),COLUMN())),"")</f>
        <v/>
      </c>
      <c r="M8" s="50" t="str">
        <f ca="1">IFERROR(fn_Compare(ADDRESS(ROW(),COLUMN())),"")</f>
        <v/>
      </c>
      <c r="N8" s="104" t="str">
        <f ca="1">IFERROR(fn_Compare(ADDRESS(ROW(),COLUMN())),"")</f>
        <v/>
      </c>
    </row>
    <row r="9" spans="1:14" ht="16.5" customHeight="1">
      <c r="A9" s="188" t="s">
        <v>241</v>
      </c>
      <c r="B9" s="102" t="s">
        <v>256</v>
      </c>
      <c r="C9" s="49" t="s">
        <v>297</v>
      </c>
      <c r="D9" s="47" t="s">
        <v>33</v>
      </c>
      <c r="E9" s="78">
        <v>4</v>
      </c>
      <c r="F9" s="47">
        <f ca="1">COUNTA($L9:INDIRECT(ADDRESS(ROW(),MATCH("",$4:$4,-1),1,1)))</f>
        <v>2</v>
      </c>
      <c r="G9" s="47">
        <f t="shared" ca="1" si="0"/>
        <v>2</v>
      </c>
      <c r="H9" s="47">
        <f ca="1">COUNTIF($L9:INDIRECT(ADDRESS(ROW(),MATCH("",$4:$4,-1),1,1)),"양호")</f>
        <v>0</v>
      </c>
      <c r="I9" s="47">
        <f ca="1">COUNTIF($L9:INDIRECT(ADDRESS(ROW(),MATCH("",$4:$4,-1),1,1)),"신규")</f>
        <v>0</v>
      </c>
      <c r="J9" s="47">
        <f ca="1">COUNTIF($L9:INDIRECT(ADDRESS(ROW(),MATCH("",$4:$4,-1),1,1)),"조치")</f>
        <v>0</v>
      </c>
      <c r="K9" s="47">
        <f ca="1">COUNTIF($L9:INDIRECT(ADDRESS(ROW(),MATCH("",$4:$4,-1),1,1)),"미조치")</f>
        <v>0</v>
      </c>
      <c r="L9" s="50" t="str">
        <f ca="1">IFERROR(fn_Compare(ADDRESS(ROW(),COLUMN())),"")</f>
        <v/>
      </c>
      <c r="M9" s="50" t="str">
        <f ca="1">IFERROR(fn_Compare(ADDRESS(ROW(),COLUMN())),"")</f>
        <v/>
      </c>
      <c r="N9" s="104" t="str">
        <f ca="1">IFERROR(fn_Compare(ADDRESS(ROW(),COLUMN())),"")</f>
        <v/>
      </c>
    </row>
    <row r="10" spans="1:14" ht="16.5" customHeight="1">
      <c r="A10" s="188" t="s">
        <v>233</v>
      </c>
      <c r="B10" s="102" t="s">
        <v>257</v>
      </c>
      <c r="C10" s="49" t="s">
        <v>298</v>
      </c>
      <c r="D10" s="47" t="s">
        <v>33</v>
      </c>
      <c r="E10" s="78">
        <v>5</v>
      </c>
      <c r="F10" s="47">
        <f ca="1">COUNTA($L10:INDIRECT(ADDRESS(ROW(),MATCH("",$4:$4,-1),1,1)))</f>
        <v>2</v>
      </c>
      <c r="G10" s="47">
        <f t="shared" ca="1" si="0"/>
        <v>2</v>
      </c>
      <c r="H10" s="47">
        <f ca="1">COUNTIF($L10:INDIRECT(ADDRESS(ROW(),MATCH("",$4:$4,-1),1,1)),"양호")</f>
        <v>0</v>
      </c>
      <c r="I10" s="47">
        <f ca="1">COUNTIF($L10:INDIRECT(ADDRESS(ROW(),MATCH("",$4:$4,-1),1,1)),"신규")</f>
        <v>0</v>
      </c>
      <c r="J10" s="47">
        <f ca="1">COUNTIF($L10:INDIRECT(ADDRESS(ROW(),MATCH("",$4:$4,-1),1,1)),"조치")</f>
        <v>0</v>
      </c>
      <c r="K10" s="47">
        <f ca="1">COUNTIF($L10:INDIRECT(ADDRESS(ROW(),MATCH("",$4:$4,-1),1,1)),"미조치")</f>
        <v>0</v>
      </c>
      <c r="L10" s="50" t="str">
        <f ca="1">IFERROR(fn_Compare(ADDRESS(ROW(),COLUMN())),"")</f>
        <v/>
      </c>
      <c r="M10" s="50" t="str">
        <f ca="1">IFERROR(fn_Compare(ADDRESS(ROW(),COLUMN())),"")</f>
        <v/>
      </c>
      <c r="N10" s="104" t="str">
        <f ca="1">IFERROR(fn_Compare(ADDRESS(ROW(),COLUMN())),"")</f>
        <v/>
      </c>
    </row>
    <row r="11" spans="1:14" ht="16.5" customHeight="1">
      <c r="A11" s="188" t="s">
        <v>241</v>
      </c>
      <c r="B11" s="102" t="s">
        <v>258</v>
      </c>
      <c r="C11" s="49" t="s">
        <v>299</v>
      </c>
      <c r="D11" s="47" t="s">
        <v>33</v>
      </c>
      <c r="E11" s="78">
        <v>4</v>
      </c>
      <c r="F11" s="47">
        <f ca="1">COUNTA($L11:INDIRECT(ADDRESS(ROW(),MATCH("",$4:$4,-1),1,1)))</f>
        <v>2</v>
      </c>
      <c r="G11" s="47">
        <f t="shared" ca="1" si="0"/>
        <v>2</v>
      </c>
      <c r="H11" s="47">
        <f ca="1">COUNTIF($L11:INDIRECT(ADDRESS(ROW(),MATCH("",$4:$4,-1),1,1)),"양호")</f>
        <v>0</v>
      </c>
      <c r="I11" s="47">
        <f ca="1">COUNTIF($L11:INDIRECT(ADDRESS(ROW(),MATCH("",$4:$4,-1),1,1)),"신규")</f>
        <v>0</v>
      </c>
      <c r="J11" s="47">
        <f ca="1">COUNTIF($L11:INDIRECT(ADDRESS(ROW(),MATCH("",$4:$4,-1),1,1)),"조치")</f>
        <v>0</v>
      </c>
      <c r="K11" s="47">
        <f ca="1">COUNTIF($L11:INDIRECT(ADDRESS(ROW(),MATCH("",$4:$4,-1),1,1)),"미조치")</f>
        <v>0</v>
      </c>
      <c r="L11" s="50" t="str">
        <f ca="1">IFERROR(fn_Compare(ADDRESS(ROW(),COLUMN())),"")</f>
        <v/>
      </c>
      <c r="M11" s="50" t="str">
        <f ca="1">IFERROR(fn_Compare(ADDRESS(ROW(),COLUMN())),"")</f>
        <v/>
      </c>
      <c r="N11" s="104" t="str">
        <f ca="1">IFERROR(fn_Compare(ADDRESS(ROW(),COLUMN())),"")</f>
        <v/>
      </c>
    </row>
    <row r="12" spans="1:14" ht="16.5" customHeight="1">
      <c r="A12" s="188" t="s">
        <v>241</v>
      </c>
      <c r="B12" s="102" t="s">
        <v>259</v>
      </c>
      <c r="C12" s="49" t="s">
        <v>300</v>
      </c>
      <c r="D12" s="47" t="s">
        <v>33</v>
      </c>
      <c r="E12" s="78">
        <v>4</v>
      </c>
      <c r="F12" s="47">
        <f ca="1">COUNTA($L12:INDIRECT(ADDRESS(ROW(),MATCH("",$4:$4,-1),1,1)))</f>
        <v>2</v>
      </c>
      <c r="G12" s="47">
        <f t="shared" ca="1" si="0"/>
        <v>2</v>
      </c>
      <c r="H12" s="47">
        <f ca="1">COUNTIF($L12:INDIRECT(ADDRESS(ROW(),MATCH("",$4:$4,-1),1,1)),"양호")</f>
        <v>0</v>
      </c>
      <c r="I12" s="47">
        <f ca="1">COUNTIF($L12:INDIRECT(ADDRESS(ROW(),MATCH("",$4:$4,-1),1,1)),"신규")</f>
        <v>0</v>
      </c>
      <c r="J12" s="47">
        <f ca="1">COUNTIF($L12:INDIRECT(ADDRESS(ROW(),MATCH("",$4:$4,-1),1,1)),"조치")</f>
        <v>0</v>
      </c>
      <c r="K12" s="47">
        <f ca="1">COUNTIF($L12:INDIRECT(ADDRESS(ROW(),MATCH("",$4:$4,-1),1,1)),"미조치")</f>
        <v>0</v>
      </c>
      <c r="L12" s="50" t="str">
        <f ca="1">IFERROR(fn_Compare(ADDRESS(ROW(),COLUMN())),"")</f>
        <v/>
      </c>
      <c r="M12" s="50" t="str">
        <f ca="1">IFERROR(fn_Compare(ADDRESS(ROW(),COLUMN())),"")</f>
        <v/>
      </c>
      <c r="N12" s="104" t="str">
        <f ca="1">IFERROR(fn_Compare(ADDRESS(ROW(),COLUMN())),"")</f>
        <v/>
      </c>
    </row>
    <row r="13" spans="1:14" ht="16.5" customHeight="1">
      <c r="A13" s="188" t="s">
        <v>241</v>
      </c>
      <c r="B13" s="102" t="s">
        <v>260</v>
      </c>
      <c r="C13" s="49" t="s">
        <v>301</v>
      </c>
      <c r="D13" s="47" t="s">
        <v>34</v>
      </c>
      <c r="E13" s="78">
        <v>3</v>
      </c>
      <c r="F13" s="47">
        <f ca="1">COUNTA($L13:INDIRECT(ADDRESS(ROW(),MATCH("",$4:$4,-1),1,1)))</f>
        <v>2</v>
      </c>
      <c r="G13" s="47">
        <f t="shared" ca="1" si="0"/>
        <v>2</v>
      </c>
      <c r="H13" s="47">
        <f ca="1">COUNTIF($L13:INDIRECT(ADDRESS(ROW(),MATCH("",$4:$4,-1),1,1)),"양호")</f>
        <v>0</v>
      </c>
      <c r="I13" s="47">
        <f ca="1">COUNTIF($L13:INDIRECT(ADDRESS(ROW(),MATCH("",$4:$4,-1),1,1)),"신규")</f>
        <v>0</v>
      </c>
      <c r="J13" s="47">
        <f ca="1">COUNTIF($L13:INDIRECT(ADDRESS(ROW(),MATCH("",$4:$4,-1),1,1)),"조치")</f>
        <v>0</v>
      </c>
      <c r="K13" s="47">
        <f ca="1">COUNTIF($L13:INDIRECT(ADDRESS(ROW(),MATCH("",$4:$4,-1),1,1)),"미조치")</f>
        <v>0</v>
      </c>
      <c r="L13" s="50" t="str">
        <f ca="1">IFERROR(fn_Compare(ADDRESS(ROW(),COLUMN())),"")</f>
        <v/>
      </c>
      <c r="M13" s="50" t="str">
        <f ca="1">IFERROR(fn_Compare(ADDRESS(ROW(),COLUMN())),"")</f>
        <v/>
      </c>
      <c r="N13" s="104" t="str">
        <f ca="1">IFERROR(fn_Compare(ADDRESS(ROW(),COLUMN())),"")</f>
        <v/>
      </c>
    </row>
    <row r="14" spans="1:14" ht="16.5" customHeight="1">
      <c r="A14" s="188" t="s">
        <v>241</v>
      </c>
      <c r="B14" s="102" t="s">
        <v>261</v>
      </c>
      <c r="C14" s="49" t="s">
        <v>302</v>
      </c>
      <c r="D14" s="47" t="s">
        <v>35</v>
      </c>
      <c r="E14" s="78">
        <v>2</v>
      </c>
      <c r="F14" s="47">
        <f ca="1">COUNTA($L14:INDIRECT(ADDRESS(ROW(),MATCH("",$4:$4,-1),1,1)))</f>
        <v>2</v>
      </c>
      <c r="G14" s="47">
        <f t="shared" ca="1" si="0"/>
        <v>2</v>
      </c>
      <c r="H14" s="47">
        <f ca="1">COUNTIF($L14:INDIRECT(ADDRESS(ROW(),MATCH("",$4:$4,-1),1,1)),"양호")</f>
        <v>0</v>
      </c>
      <c r="I14" s="47">
        <f ca="1">COUNTIF($L14:INDIRECT(ADDRESS(ROW(),MATCH("",$4:$4,-1),1,1)),"신규")</f>
        <v>0</v>
      </c>
      <c r="J14" s="47">
        <f ca="1">COUNTIF($L14:INDIRECT(ADDRESS(ROW(),MATCH("",$4:$4,-1),1,1)),"조치")</f>
        <v>0</v>
      </c>
      <c r="K14" s="47">
        <f ca="1">COUNTIF($L14:INDIRECT(ADDRESS(ROW(),MATCH("",$4:$4,-1),1,1)),"미조치")</f>
        <v>0</v>
      </c>
      <c r="L14" s="50" t="str">
        <f ca="1">IFERROR(fn_Compare(ADDRESS(ROW(),COLUMN())),"")</f>
        <v/>
      </c>
      <c r="M14" s="50" t="str">
        <f ca="1">IFERROR(fn_Compare(ADDRESS(ROW(),COLUMN())),"")</f>
        <v/>
      </c>
      <c r="N14" s="104" t="str">
        <f ca="1">IFERROR(fn_Compare(ADDRESS(ROW(),COLUMN())),"")</f>
        <v/>
      </c>
    </row>
    <row r="15" spans="1:14" ht="16.5" customHeight="1">
      <c r="A15" s="188" t="s">
        <v>241</v>
      </c>
      <c r="B15" s="102" t="s">
        <v>262</v>
      </c>
      <c r="C15" s="49" t="s">
        <v>303</v>
      </c>
      <c r="D15" s="47" t="s">
        <v>35</v>
      </c>
      <c r="E15" s="78">
        <v>2</v>
      </c>
      <c r="F15" s="47">
        <f ca="1">COUNTA($L15:INDIRECT(ADDRESS(ROW(),MATCH("",$4:$4,-1),1,1)))</f>
        <v>2</v>
      </c>
      <c r="G15" s="47">
        <f t="shared" ca="1" si="0"/>
        <v>2</v>
      </c>
      <c r="H15" s="47">
        <f ca="1">COUNTIF($L15:INDIRECT(ADDRESS(ROW(),MATCH("",$4:$4,-1),1,1)),"양호")</f>
        <v>0</v>
      </c>
      <c r="I15" s="47">
        <f ca="1">COUNTIF($L15:INDIRECT(ADDRESS(ROW(),MATCH("",$4:$4,-1),1,1)),"신규")</f>
        <v>0</v>
      </c>
      <c r="J15" s="47">
        <f ca="1">COUNTIF($L15:INDIRECT(ADDRESS(ROW(),MATCH("",$4:$4,-1),1,1)),"조치")</f>
        <v>0</v>
      </c>
      <c r="K15" s="47">
        <f ca="1">COUNTIF($L15:INDIRECT(ADDRESS(ROW(),MATCH("",$4:$4,-1),1,1)),"미조치")</f>
        <v>0</v>
      </c>
      <c r="L15" s="50" t="str">
        <f ca="1">IFERROR(fn_Compare(ADDRESS(ROW(),COLUMN())),"")</f>
        <v/>
      </c>
      <c r="M15" s="50" t="str">
        <f ca="1">IFERROR(fn_Compare(ADDRESS(ROW(),COLUMN())),"")</f>
        <v/>
      </c>
      <c r="N15" s="104" t="str">
        <f ca="1">IFERROR(fn_Compare(ADDRESS(ROW(),COLUMN())),"")</f>
        <v/>
      </c>
    </row>
    <row r="16" spans="1:14" ht="16.5" customHeight="1">
      <c r="A16" s="188" t="s">
        <v>241</v>
      </c>
      <c r="B16" s="102" t="s">
        <v>263</v>
      </c>
      <c r="C16" s="49" t="s">
        <v>304</v>
      </c>
      <c r="D16" s="47" t="s">
        <v>35</v>
      </c>
      <c r="E16" s="78">
        <v>2</v>
      </c>
      <c r="F16" s="47">
        <f ca="1">COUNTA($L16:INDIRECT(ADDRESS(ROW(),MATCH("",$4:$4,-1),1,1)))</f>
        <v>2</v>
      </c>
      <c r="G16" s="47">
        <f t="shared" ca="1" si="0"/>
        <v>2</v>
      </c>
      <c r="H16" s="47">
        <f ca="1">COUNTIF($L16:INDIRECT(ADDRESS(ROW(),MATCH("",$4:$4,-1),1,1)),"양호")</f>
        <v>0</v>
      </c>
      <c r="I16" s="47">
        <f ca="1">COUNTIF($L16:INDIRECT(ADDRESS(ROW(),MATCH("",$4:$4,-1),1,1)),"신규")</f>
        <v>0</v>
      </c>
      <c r="J16" s="47">
        <f ca="1">COUNTIF($L16:INDIRECT(ADDRESS(ROW(),MATCH("",$4:$4,-1),1,1)),"조치")</f>
        <v>0</v>
      </c>
      <c r="K16" s="47">
        <f ca="1">COUNTIF($L16:INDIRECT(ADDRESS(ROW(),MATCH("",$4:$4,-1),1,1)),"미조치")</f>
        <v>0</v>
      </c>
      <c r="L16" s="50" t="str">
        <f ca="1">IFERROR(fn_Compare(ADDRESS(ROW(),COLUMN())),"")</f>
        <v/>
      </c>
      <c r="M16" s="50" t="str">
        <f ca="1">IFERROR(fn_Compare(ADDRESS(ROW(),COLUMN())),"")</f>
        <v/>
      </c>
      <c r="N16" s="104" t="str">
        <f ca="1">IFERROR(fn_Compare(ADDRESS(ROW(),COLUMN())),"")</f>
        <v/>
      </c>
    </row>
    <row r="17" spans="1:14" ht="16.5" customHeight="1">
      <c r="A17" s="188" t="s">
        <v>241</v>
      </c>
      <c r="B17" s="102" t="s">
        <v>264</v>
      </c>
      <c r="C17" s="49" t="s">
        <v>305</v>
      </c>
      <c r="D17" s="47" t="s">
        <v>35</v>
      </c>
      <c r="E17" s="78">
        <v>2</v>
      </c>
      <c r="F17" s="47">
        <f ca="1">COUNTA($L17:INDIRECT(ADDRESS(ROW(),MATCH("",$4:$4,-1),1,1)))</f>
        <v>2</v>
      </c>
      <c r="G17" s="47">
        <f t="shared" ca="1" si="0"/>
        <v>2</v>
      </c>
      <c r="H17" s="47">
        <f ca="1">COUNTIF($L17:INDIRECT(ADDRESS(ROW(),MATCH("",$4:$4,-1),1,1)),"양호")</f>
        <v>0</v>
      </c>
      <c r="I17" s="47">
        <f ca="1">COUNTIF($L17:INDIRECT(ADDRESS(ROW(),MATCH("",$4:$4,-1),1,1)),"신규")</f>
        <v>0</v>
      </c>
      <c r="J17" s="47">
        <f ca="1">COUNTIF($L17:INDIRECT(ADDRESS(ROW(),MATCH("",$4:$4,-1),1,1)),"조치")</f>
        <v>0</v>
      </c>
      <c r="K17" s="47">
        <f ca="1">COUNTIF($L17:INDIRECT(ADDRESS(ROW(),MATCH("",$4:$4,-1),1,1)),"미조치")</f>
        <v>0</v>
      </c>
      <c r="L17" s="50" t="str">
        <f ca="1">IFERROR(fn_Compare(ADDRESS(ROW(),COLUMN())),"")</f>
        <v/>
      </c>
      <c r="M17" s="50" t="str">
        <f ca="1">IFERROR(fn_Compare(ADDRESS(ROW(),COLUMN())),"")</f>
        <v/>
      </c>
      <c r="N17" s="104" t="str">
        <f ca="1">IFERROR(fn_Compare(ADDRESS(ROW(),COLUMN())),"")</f>
        <v/>
      </c>
    </row>
    <row r="18" spans="1:14" ht="16.5" customHeight="1">
      <c r="A18" s="188" t="s">
        <v>241</v>
      </c>
      <c r="B18" s="102" t="s">
        <v>265</v>
      </c>
      <c r="C18" s="49" t="s">
        <v>306</v>
      </c>
      <c r="D18" s="47" t="s">
        <v>35</v>
      </c>
      <c r="E18" s="78">
        <v>2</v>
      </c>
      <c r="F18" s="47">
        <f ca="1">COUNTA($L18:INDIRECT(ADDRESS(ROW(),MATCH("",$4:$4,-1),1,1)))</f>
        <v>2</v>
      </c>
      <c r="G18" s="47">
        <f t="shared" ca="1" si="0"/>
        <v>2</v>
      </c>
      <c r="H18" s="47">
        <f ca="1">COUNTIF($L18:INDIRECT(ADDRESS(ROW(),MATCH("",$4:$4,-1),1,1)),"양호")</f>
        <v>0</v>
      </c>
      <c r="I18" s="47">
        <f ca="1">COUNTIF($L18:INDIRECT(ADDRESS(ROW(),MATCH("",$4:$4,-1),1,1)),"신규")</f>
        <v>0</v>
      </c>
      <c r="J18" s="47">
        <f ca="1">COUNTIF($L18:INDIRECT(ADDRESS(ROW(),MATCH("",$4:$4,-1),1,1)),"조치")</f>
        <v>0</v>
      </c>
      <c r="K18" s="47">
        <f ca="1">COUNTIF($L18:INDIRECT(ADDRESS(ROW(),MATCH("",$4:$4,-1),1,1)),"미조치")</f>
        <v>0</v>
      </c>
      <c r="L18" s="50" t="str">
        <f ca="1">IFERROR(fn_Compare(ADDRESS(ROW(),COLUMN())),"")</f>
        <v/>
      </c>
      <c r="M18" s="50" t="str">
        <f ca="1">IFERROR(fn_Compare(ADDRESS(ROW(),COLUMN())),"")</f>
        <v/>
      </c>
      <c r="N18" s="104" t="str">
        <f ca="1">IFERROR(fn_Compare(ADDRESS(ROW(),COLUMN())),"")</f>
        <v/>
      </c>
    </row>
    <row r="19" spans="1:14" ht="16.5" customHeight="1">
      <c r="A19" s="188" t="s">
        <v>241</v>
      </c>
      <c r="B19" s="102" t="s">
        <v>266</v>
      </c>
      <c r="C19" s="49" t="s">
        <v>307</v>
      </c>
      <c r="D19" s="47" t="s">
        <v>33</v>
      </c>
      <c r="E19" s="78">
        <v>4</v>
      </c>
      <c r="F19" s="47">
        <f ca="1">COUNTA($L19:INDIRECT(ADDRESS(ROW(),MATCH("",$4:$4,-1),1,1)))</f>
        <v>2</v>
      </c>
      <c r="G19" s="47">
        <f t="shared" ca="1" si="0"/>
        <v>2</v>
      </c>
      <c r="H19" s="47">
        <f ca="1">COUNTIF($L19:INDIRECT(ADDRESS(ROW(),MATCH("",$4:$4,-1),1,1)),"양호")</f>
        <v>0</v>
      </c>
      <c r="I19" s="47">
        <f ca="1">COUNTIF($L19:INDIRECT(ADDRESS(ROW(),MATCH("",$4:$4,-1),1,1)),"신규")</f>
        <v>0</v>
      </c>
      <c r="J19" s="47">
        <f ca="1">COUNTIF($L19:INDIRECT(ADDRESS(ROW(),MATCH("",$4:$4,-1),1,1)),"조치")</f>
        <v>0</v>
      </c>
      <c r="K19" s="47">
        <f ca="1">COUNTIF($L19:INDIRECT(ADDRESS(ROW(),MATCH("",$4:$4,-1),1,1)),"미조치")</f>
        <v>0</v>
      </c>
      <c r="L19" s="50" t="str">
        <f ca="1">IFERROR(fn_Compare(ADDRESS(ROW(),COLUMN())),"")</f>
        <v/>
      </c>
      <c r="M19" s="50" t="str">
        <f ca="1">IFERROR(fn_Compare(ADDRESS(ROW(),COLUMN())),"")</f>
        <v/>
      </c>
      <c r="N19" s="104" t="str">
        <f ca="1">IFERROR(fn_Compare(ADDRESS(ROW(),COLUMN())),"")</f>
        <v/>
      </c>
    </row>
    <row r="20" spans="1:14" ht="16.5" customHeight="1">
      <c r="A20" s="188" t="s">
        <v>241</v>
      </c>
      <c r="B20" s="102" t="s">
        <v>267</v>
      </c>
      <c r="C20" s="49" t="s">
        <v>598</v>
      </c>
      <c r="D20" s="47" t="s">
        <v>33</v>
      </c>
      <c r="E20" s="78">
        <v>4</v>
      </c>
      <c r="F20" s="47">
        <f ca="1">COUNTA($L20:INDIRECT(ADDRESS(ROW(),MATCH("",$4:$4,-1),1,1)))</f>
        <v>2</v>
      </c>
      <c r="G20" s="47">
        <f t="shared" ca="1" si="0"/>
        <v>2</v>
      </c>
      <c r="H20" s="47">
        <f ca="1">COUNTIF($L20:INDIRECT(ADDRESS(ROW(),MATCH("",$4:$4,-1),1,1)),"양호")</f>
        <v>0</v>
      </c>
      <c r="I20" s="47">
        <f ca="1">COUNTIF($L20:INDIRECT(ADDRESS(ROW(),MATCH("",$4:$4,-1),1,1)),"신규")</f>
        <v>0</v>
      </c>
      <c r="J20" s="47">
        <f ca="1">COUNTIF($L20:INDIRECT(ADDRESS(ROW(),MATCH("",$4:$4,-1),1,1)),"조치")</f>
        <v>0</v>
      </c>
      <c r="K20" s="47">
        <f ca="1">COUNTIF($L20:INDIRECT(ADDRESS(ROW(),MATCH("",$4:$4,-1),1,1)),"미조치")</f>
        <v>0</v>
      </c>
      <c r="L20" s="50" t="str">
        <f ca="1">IFERROR(fn_Compare(ADDRESS(ROW(),COLUMN())),"")</f>
        <v/>
      </c>
      <c r="M20" s="50" t="str">
        <f ca="1">IFERROR(fn_Compare(ADDRESS(ROW(),COLUMN())),"")</f>
        <v/>
      </c>
      <c r="N20" s="104" t="str">
        <f ca="1">IFERROR(fn_Compare(ADDRESS(ROW(),COLUMN())),"")</f>
        <v/>
      </c>
    </row>
    <row r="21" spans="1:14" ht="16.5" customHeight="1">
      <c r="A21" s="188" t="s">
        <v>241</v>
      </c>
      <c r="B21" s="102" t="s">
        <v>268</v>
      </c>
      <c r="C21" s="49" t="s">
        <v>308</v>
      </c>
      <c r="D21" s="47" t="s">
        <v>33</v>
      </c>
      <c r="E21" s="78">
        <v>5</v>
      </c>
      <c r="F21" s="47">
        <f ca="1">COUNTA($L21:INDIRECT(ADDRESS(ROW(),MATCH("",$4:$4,-1),1,1)))</f>
        <v>2</v>
      </c>
      <c r="G21" s="47">
        <f t="shared" ca="1" si="0"/>
        <v>2</v>
      </c>
      <c r="H21" s="47">
        <f ca="1">COUNTIF($L21:INDIRECT(ADDRESS(ROW(),MATCH("",$4:$4,-1),1,1)),"양호")</f>
        <v>0</v>
      </c>
      <c r="I21" s="47">
        <f ca="1">COUNTIF($L21:INDIRECT(ADDRESS(ROW(),MATCH("",$4:$4,-1),1,1)),"신규")</f>
        <v>0</v>
      </c>
      <c r="J21" s="47">
        <f ca="1">COUNTIF($L21:INDIRECT(ADDRESS(ROW(),MATCH("",$4:$4,-1),1,1)),"조치")</f>
        <v>0</v>
      </c>
      <c r="K21" s="47">
        <f ca="1">COUNTIF($L21:INDIRECT(ADDRESS(ROW(),MATCH("",$4:$4,-1),1,1)),"미조치")</f>
        <v>0</v>
      </c>
      <c r="L21" s="50" t="str">
        <f ca="1">IFERROR(fn_Compare(ADDRESS(ROW(),COLUMN())),"")</f>
        <v/>
      </c>
      <c r="M21" s="50" t="str">
        <f ca="1">IFERROR(fn_Compare(ADDRESS(ROW(),COLUMN())),"")</f>
        <v/>
      </c>
      <c r="N21" s="104" t="str">
        <f ca="1">IFERROR(fn_Compare(ADDRESS(ROW(),COLUMN())),"")</f>
        <v/>
      </c>
    </row>
    <row r="22" spans="1:14" ht="16.5" customHeight="1">
      <c r="A22" s="188" t="s">
        <v>242</v>
      </c>
      <c r="B22" s="102" t="s">
        <v>269</v>
      </c>
      <c r="C22" s="49" t="s">
        <v>309</v>
      </c>
      <c r="D22" s="47" t="s">
        <v>33</v>
      </c>
      <c r="E22" s="78">
        <v>4</v>
      </c>
      <c r="F22" s="47">
        <f ca="1">COUNTA($L22:INDIRECT(ADDRESS(ROW(),MATCH("",$4:$4,-1),1,1)))</f>
        <v>2</v>
      </c>
      <c r="G22" s="47">
        <f t="shared" ca="1" si="0"/>
        <v>2</v>
      </c>
      <c r="H22" s="47">
        <f ca="1">COUNTIF($L22:INDIRECT(ADDRESS(ROW(),MATCH("",$4:$4,-1),1,1)),"양호")</f>
        <v>0</v>
      </c>
      <c r="I22" s="47">
        <f ca="1">COUNTIF($L22:INDIRECT(ADDRESS(ROW(),MATCH("",$4:$4,-1),1,1)),"신규")</f>
        <v>0</v>
      </c>
      <c r="J22" s="47">
        <f ca="1">COUNTIF($L22:INDIRECT(ADDRESS(ROW(),MATCH("",$4:$4,-1),1,1)),"조치")</f>
        <v>0</v>
      </c>
      <c r="K22" s="47">
        <f ca="1">COUNTIF($L22:INDIRECT(ADDRESS(ROW(),MATCH("",$4:$4,-1),1,1)),"미조치")</f>
        <v>0</v>
      </c>
      <c r="L22" s="50" t="str">
        <f ca="1">IFERROR(fn_Compare(ADDRESS(ROW(),COLUMN())),"")</f>
        <v/>
      </c>
      <c r="M22" s="50" t="str">
        <f ca="1">IFERROR(fn_Compare(ADDRESS(ROW(),COLUMN())),"")</f>
        <v/>
      </c>
      <c r="N22" s="104" t="str">
        <f ca="1">IFERROR(fn_Compare(ADDRESS(ROW(),COLUMN())),"")</f>
        <v/>
      </c>
    </row>
    <row r="23" spans="1:14" ht="16.5" customHeight="1">
      <c r="A23" s="188" t="s">
        <v>242</v>
      </c>
      <c r="B23" s="102" t="s">
        <v>270</v>
      </c>
      <c r="C23" s="49" t="s">
        <v>310</v>
      </c>
      <c r="D23" s="47" t="s">
        <v>33</v>
      </c>
      <c r="E23" s="78">
        <v>4</v>
      </c>
      <c r="F23" s="47">
        <f ca="1">COUNTA($L23:INDIRECT(ADDRESS(ROW(),MATCH("",$4:$4,-1),1,1)))</f>
        <v>2</v>
      </c>
      <c r="G23" s="47">
        <f t="shared" ca="1" si="0"/>
        <v>2</v>
      </c>
      <c r="H23" s="47">
        <f ca="1">COUNTIF($L23:INDIRECT(ADDRESS(ROW(),MATCH("",$4:$4,-1),1,1)),"양호")</f>
        <v>0</v>
      </c>
      <c r="I23" s="47">
        <f ca="1">COUNTIF($L23:INDIRECT(ADDRESS(ROW(),MATCH("",$4:$4,-1),1,1)),"신규")</f>
        <v>0</v>
      </c>
      <c r="J23" s="47">
        <f ca="1">COUNTIF($L23:INDIRECT(ADDRESS(ROW(),MATCH("",$4:$4,-1),1,1)),"조치")</f>
        <v>0</v>
      </c>
      <c r="K23" s="47">
        <f ca="1">COUNTIF($L23:INDIRECT(ADDRESS(ROW(),MATCH("",$4:$4,-1),1,1)),"미조치")</f>
        <v>0</v>
      </c>
      <c r="L23" s="50" t="str">
        <f ca="1">IFERROR(fn_Compare(ADDRESS(ROW(),COLUMN())),"")</f>
        <v/>
      </c>
      <c r="M23" s="50" t="str">
        <f ca="1">IFERROR(fn_Compare(ADDRESS(ROW(),COLUMN())),"")</f>
        <v/>
      </c>
      <c r="N23" s="104" t="str">
        <f ca="1">IFERROR(fn_Compare(ADDRESS(ROW(),COLUMN())),"")</f>
        <v/>
      </c>
    </row>
    <row r="24" spans="1:14" ht="16.5" customHeight="1">
      <c r="A24" s="188" t="s">
        <v>242</v>
      </c>
      <c r="B24" s="102" t="s">
        <v>271</v>
      </c>
      <c r="C24" s="49" t="s">
        <v>311</v>
      </c>
      <c r="D24" s="47" t="s">
        <v>33</v>
      </c>
      <c r="E24" s="78">
        <v>5</v>
      </c>
      <c r="F24" s="47">
        <f ca="1">COUNTA($L24:INDIRECT(ADDRESS(ROW(),MATCH("",$4:$4,-1),1,1)))</f>
        <v>2</v>
      </c>
      <c r="G24" s="47">
        <f t="shared" ca="1" si="0"/>
        <v>2</v>
      </c>
      <c r="H24" s="47">
        <f ca="1">COUNTIF($L24:INDIRECT(ADDRESS(ROW(),MATCH("",$4:$4,-1),1,1)),"양호")</f>
        <v>0</v>
      </c>
      <c r="I24" s="47">
        <f ca="1">COUNTIF($L24:INDIRECT(ADDRESS(ROW(),MATCH("",$4:$4,-1),1,1)),"신규")</f>
        <v>0</v>
      </c>
      <c r="J24" s="47">
        <f ca="1">COUNTIF($L24:INDIRECT(ADDRESS(ROW(),MATCH("",$4:$4,-1),1,1)),"조치")</f>
        <v>0</v>
      </c>
      <c r="K24" s="47">
        <f ca="1">COUNTIF($L24:INDIRECT(ADDRESS(ROW(),MATCH("",$4:$4,-1),1,1)),"미조치")</f>
        <v>0</v>
      </c>
      <c r="L24" s="50" t="str">
        <f ca="1">IFERROR(fn_Compare(ADDRESS(ROW(),COLUMN())),"")</f>
        <v/>
      </c>
      <c r="M24" s="50" t="str">
        <f ca="1">IFERROR(fn_Compare(ADDRESS(ROW(),COLUMN())),"")</f>
        <v/>
      </c>
      <c r="N24" s="104" t="str">
        <f ca="1">IFERROR(fn_Compare(ADDRESS(ROW(),COLUMN())),"")</f>
        <v/>
      </c>
    </row>
    <row r="25" spans="1:14" ht="16.5" customHeight="1">
      <c r="A25" s="188" t="s">
        <v>242</v>
      </c>
      <c r="B25" s="102" t="s">
        <v>272</v>
      </c>
      <c r="C25" s="49" t="s">
        <v>312</v>
      </c>
      <c r="D25" s="47" t="s">
        <v>33</v>
      </c>
      <c r="E25" s="78">
        <v>4</v>
      </c>
      <c r="F25" s="47">
        <f ca="1">COUNTA($L25:INDIRECT(ADDRESS(ROW(),MATCH("",$4:$4,-1),1,1)))</f>
        <v>2</v>
      </c>
      <c r="G25" s="47">
        <f t="shared" ca="1" si="0"/>
        <v>2</v>
      </c>
      <c r="H25" s="47">
        <f ca="1">COUNTIF($L25:INDIRECT(ADDRESS(ROW(),MATCH("",$4:$4,-1),1,1)),"양호")</f>
        <v>0</v>
      </c>
      <c r="I25" s="47">
        <f ca="1">COUNTIF($L25:INDIRECT(ADDRESS(ROW(),MATCH("",$4:$4,-1),1,1)),"신규")</f>
        <v>0</v>
      </c>
      <c r="J25" s="47">
        <f ca="1">COUNTIF($L25:INDIRECT(ADDRESS(ROW(),MATCH("",$4:$4,-1),1,1)),"조치")</f>
        <v>0</v>
      </c>
      <c r="K25" s="47">
        <f ca="1">COUNTIF($L25:INDIRECT(ADDRESS(ROW(),MATCH("",$4:$4,-1),1,1)),"미조치")</f>
        <v>0</v>
      </c>
      <c r="L25" s="50" t="str">
        <f ca="1">IFERROR(fn_Compare(ADDRESS(ROW(),COLUMN())),"")</f>
        <v/>
      </c>
      <c r="M25" s="50" t="str">
        <f ca="1">IFERROR(fn_Compare(ADDRESS(ROW(),COLUMN())),"")</f>
        <v/>
      </c>
      <c r="N25" s="104" t="str">
        <f ca="1">IFERROR(fn_Compare(ADDRESS(ROW(),COLUMN())),"")</f>
        <v/>
      </c>
    </row>
    <row r="26" spans="1:14" ht="16.5" customHeight="1">
      <c r="A26" s="188" t="s">
        <v>241</v>
      </c>
      <c r="B26" s="102" t="s">
        <v>273</v>
      </c>
      <c r="C26" s="49" t="s">
        <v>313</v>
      </c>
      <c r="D26" s="47" t="s">
        <v>33</v>
      </c>
      <c r="E26" s="78">
        <v>5</v>
      </c>
      <c r="F26" s="47">
        <f ca="1">COUNTA($L26:INDIRECT(ADDRESS(ROW(),MATCH("",$4:$4,-1),1,1)))</f>
        <v>2</v>
      </c>
      <c r="G26" s="47">
        <f t="shared" ca="1" si="0"/>
        <v>2</v>
      </c>
      <c r="H26" s="47">
        <f ca="1">COUNTIF($L26:INDIRECT(ADDRESS(ROW(),MATCH("",$4:$4,-1),1,1)),"양호")</f>
        <v>0</v>
      </c>
      <c r="I26" s="47">
        <f ca="1">COUNTIF($L26:INDIRECT(ADDRESS(ROW(),MATCH("",$4:$4,-1),1,1)),"신규")</f>
        <v>0</v>
      </c>
      <c r="J26" s="47">
        <f ca="1">COUNTIF($L26:INDIRECT(ADDRESS(ROW(),MATCH("",$4:$4,-1),1,1)),"조치")</f>
        <v>0</v>
      </c>
      <c r="K26" s="47">
        <f ca="1">COUNTIF($L26:INDIRECT(ADDRESS(ROW(),MATCH("",$4:$4,-1),1,1)),"미조치")</f>
        <v>0</v>
      </c>
      <c r="L26" s="50" t="str">
        <f ca="1">IFERROR(fn_Compare(ADDRESS(ROW(),COLUMN())),"")</f>
        <v/>
      </c>
      <c r="M26" s="50" t="str">
        <f ca="1">IFERROR(fn_Compare(ADDRESS(ROW(),COLUMN())),"")</f>
        <v/>
      </c>
      <c r="N26" s="104" t="str">
        <f ca="1">IFERROR(fn_Compare(ADDRESS(ROW(),COLUMN())),"")</f>
        <v/>
      </c>
    </row>
    <row r="27" spans="1:14" ht="16.5" customHeight="1">
      <c r="A27" s="188" t="s">
        <v>241</v>
      </c>
      <c r="B27" s="102" t="s">
        <v>274</v>
      </c>
      <c r="C27" s="49" t="s">
        <v>314</v>
      </c>
      <c r="D27" s="47" t="s">
        <v>34</v>
      </c>
      <c r="E27" s="78">
        <v>3</v>
      </c>
      <c r="F27" s="47">
        <f ca="1">COUNTA($L27:INDIRECT(ADDRESS(ROW(),MATCH("",$4:$4,-1),1,1)))</f>
        <v>2</v>
      </c>
      <c r="G27" s="47">
        <f t="shared" ca="1" si="0"/>
        <v>2</v>
      </c>
      <c r="H27" s="47">
        <f ca="1">COUNTIF($L27:INDIRECT(ADDRESS(ROW(),MATCH("",$4:$4,-1),1,1)),"양호")</f>
        <v>0</v>
      </c>
      <c r="I27" s="47">
        <f ca="1">COUNTIF($L27:INDIRECT(ADDRESS(ROW(),MATCH("",$4:$4,-1),1,1)),"신규")</f>
        <v>0</v>
      </c>
      <c r="J27" s="47">
        <f ca="1">COUNTIF($L27:INDIRECT(ADDRESS(ROW(),MATCH("",$4:$4,-1),1,1)),"조치")</f>
        <v>0</v>
      </c>
      <c r="K27" s="47">
        <f ca="1">COUNTIF($L27:INDIRECT(ADDRESS(ROW(),MATCH("",$4:$4,-1),1,1)),"미조치")</f>
        <v>0</v>
      </c>
      <c r="L27" s="50" t="str">
        <f ca="1">IFERROR(fn_Compare(ADDRESS(ROW(),COLUMN())),"")</f>
        <v/>
      </c>
      <c r="M27" s="50" t="str">
        <f ca="1">IFERROR(fn_Compare(ADDRESS(ROW(),COLUMN())),"")</f>
        <v/>
      </c>
      <c r="N27" s="104" t="str">
        <f ca="1">IFERROR(fn_Compare(ADDRESS(ROW(),COLUMN())),"")</f>
        <v/>
      </c>
    </row>
    <row r="28" spans="1:14" ht="16.5" customHeight="1">
      <c r="A28" s="188" t="s">
        <v>241</v>
      </c>
      <c r="B28" s="102" t="s">
        <v>275</v>
      </c>
      <c r="C28" s="49" t="s">
        <v>315</v>
      </c>
      <c r="D28" s="47" t="s">
        <v>34</v>
      </c>
      <c r="E28" s="78">
        <v>3</v>
      </c>
      <c r="F28" s="47">
        <f ca="1">COUNTA($L28:INDIRECT(ADDRESS(ROW(),MATCH("",$4:$4,-1),1,1)))</f>
        <v>2</v>
      </c>
      <c r="G28" s="47">
        <f t="shared" ca="1" si="0"/>
        <v>2</v>
      </c>
      <c r="H28" s="47">
        <f ca="1">COUNTIF($L28:INDIRECT(ADDRESS(ROW(),MATCH("",$4:$4,-1),1,1)),"양호")</f>
        <v>0</v>
      </c>
      <c r="I28" s="47">
        <f ca="1">COUNTIF($L28:INDIRECT(ADDRESS(ROW(),MATCH("",$4:$4,-1),1,1)),"신규")</f>
        <v>0</v>
      </c>
      <c r="J28" s="47">
        <f ca="1">COUNTIF($L28:INDIRECT(ADDRESS(ROW(),MATCH("",$4:$4,-1),1,1)),"조치")</f>
        <v>0</v>
      </c>
      <c r="K28" s="47">
        <f ca="1">COUNTIF($L28:INDIRECT(ADDRESS(ROW(),MATCH("",$4:$4,-1),1,1)),"미조치")</f>
        <v>0</v>
      </c>
      <c r="L28" s="50" t="str">
        <f ca="1">IFERROR(fn_Compare(ADDRESS(ROW(),COLUMN())),"")</f>
        <v/>
      </c>
      <c r="M28" s="50" t="str">
        <f ca="1">IFERROR(fn_Compare(ADDRESS(ROW(),COLUMN())),"")</f>
        <v/>
      </c>
      <c r="N28" s="104" t="str">
        <f ca="1">IFERROR(fn_Compare(ADDRESS(ROW(),COLUMN())),"")</f>
        <v/>
      </c>
    </row>
    <row r="29" spans="1:14" ht="16.5" customHeight="1">
      <c r="A29" s="188" t="s">
        <v>241</v>
      </c>
      <c r="B29" s="102" t="s">
        <v>276</v>
      </c>
      <c r="C29" s="49" t="s">
        <v>316</v>
      </c>
      <c r="D29" s="47" t="s">
        <v>33</v>
      </c>
      <c r="E29" s="78">
        <v>4</v>
      </c>
      <c r="F29" s="47">
        <f ca="1">COUNTA($L29:INDIRECT(ADDRESS(ROW(),MATCH("",$4:$4,-1),1,1)))</f>
        <v>2</v>
      </c>
      <c r="G29" s="47">
        <f t="shared" ca="1" si="0"/>
        <v>2</v>
      </c>
      <c r="H29" s="47">
        <f ca="1">COUNTIF($L29:INDIRECT(ADDRESS(ROW(),MATCH("",$4:$4,-1),1,1)),"양호")</f>
        <v>0</v>
      </c>
      <c r="I29" s="47">
        <f ca="1">COUNTIF($L29:INDIRECT(ADDRESS(ROW(),MATCH("",$4:$4,-1),1,1)),"신규")</f>
        <v>0</v>
      </c>
      <c r="J29" s="47">
        <f ca="1">COUNTIF($L29:INDIRECT(ADDRESS(ROW(),MATCH("",$4:$4,-1),1,1)),"조치")</f>
        <v>0</v>
      </c>
      <c r="K29" s="47">
        <f ca="1">COUNTIF($L29:INDIRECT(ADDRESS(ROW(),MATCH("",$4:$4,-1),1,1)),"미조치")</f>
        <v>0</v>
      </c>
      <c r="L29" s="50" t="str">
        <f ca="1">IFERROR(fn_Compare(ADDRESS(ROW(),COLUMN())),"")</f>
        <v/>
      </c>
      <c r="M29" s="50" t="str">
        <f ca="1">IFERROR(fn_Compare(ADDRESS(ROW(),COLUMN())),"")</f>
        <v/>
      </c>
      <c r="N29" s="104" t="str">
        <f ca="1">IFERROR(fn_Compare(ADDRESS(ROW(),COLUMN())),"")</f>
        <v/>
      </c>
    </row>
    <row r="30" spans="1:14" ht="16.5" customHeight="1">
      <c r="A30" s="188" t="s">
        <v>241</v>
      </c>
      <c r="B30" s="102" t="s">
        <v>277</v>
      </c>
      <c r="C30" s="49" t="s">
        <v>317</v>
      </c>
      <c r="D30" s="47" t="s">
        <v>35</v>
      </c>
      <c r="E30" s="78">
        <v>2</v>
      </c>
      <c r="F30" s="47">
        <f ca="1">COUNTA($L30:INDIRECT(ADDRESS(ROW(),MATCH("",$4:$4,-1),1,1)))</f>
        <v>2</v>
      </c>
      <c r="G30" s="47">
        <f t="shared" ca="1" si="0"/>
        <v>2</v>
      </c>
      <c r="H30" s="47">
        <f ca="1">COUNTIF($L30:INDIRECT(ADDRESS(ROW(),MATCH("",$4:$4,-1),1,1)),"양호")</f>
        <v>0</v>
      </c>
      <c r="I30" s="47">
        <f ca="1">COUNTIF($L30:INDIRECT(ADDRESS(ROW(),MATCH("",$4:$4,-1),1,1)),"신규")</f>
        <v>0</v>
      </c>
      <c r="J30" s="47">
        <f ca="1">COUNTIF($L30:INDIRECT(ADDRESS(ROW(),MATCH("",$4:$4,-1),1,1)),"조치")</f>
        <v>0</v>
      </c>
      <c r="K30" s="47">
        <f ca="1">COUNTIF($L30:INDIRECT(ADDRESS(ROW(),MATCH("",$4:$4,-1),1,1)),"미조치")</f>
        <v>0</v>
      </c>
      <c r="L30" s="50" t="str">
        <f ca="1">IFERROR(fn_Compare(ADDRESS(ROW(),COLUMN())),"")</f>
        <v/>
      </c>
      <c r="M30" s="50" t="str">
        <f ca="1">IFERROR(fn_Compare(ADDRESS(ROW(),COLUMN())),"")</f>
        <v/>
      </c>
      <c r="N30" s="104" t="str">
        <f ca="1">IFERROR(fn_Compare(ADDRESS(ROW(),COLUMN())),"")</f>
        <v/>
      </c>
    </row>
    <row r="31" spans="1:14" ht="16.5" customHeight="1">
      <c r="A31" s="188" t="s">
        <v>241</v>
      </c>
      <c r="B31" s="102" t="s">
        <v>278</v>
      </c>
      <c r="C31" s="49" t="s">
        <v>318</v>
      </c>
      <c r="D31" s="47" t="s">
        <v>35</v>
      </c>
      <c r="E31" s="78">
        <v>2</v>
      </c>
      <c r="F31" s="47">
        <f ca="1">COUNTA($L31:INDIRECT(ADDRESS(ROW(),MATCH("",$4:$4,-1),1,1)))</f>
        <v>2</v>
      </c>
      <c r="G31" s="47">
        <f t="shared" ca="1" si="0"/>
        <v>2</v>
      </c>
      <c r="H31" s="47">
        <f ca="1">COUNTIF($L31:INDIRECT(ADDRESS(ROW(),MATCH("",$4:$4,-1),1,1)),"양호")</f>
        <v>0</v>
      </c>
      <c r="I31" s="47">
        <f ca="1">COUNTIF($L31:INDIRECT(ADDRESS(ROW(),MATCH("",$4:$4,-1),1,1)),"신규")</f>
        <v>0</v>
      </c>
      <c r="J31" s="47">
        <f ca="1">COUNTIF($L31:INDIRECT(ADDRESS(ROW(),MATCH("",$4:$4,-1),1,1)),"조치")</f>
        <v>0</v>
      </c>
      <c r="K31" s="47">
        <f ca="1">COUNTIF($L31:INDIRECT(ADDRESS(ROW(),MATCH("",$4:$4,-1),1,1)),"미조치")</f>
        <v>0</v>
      </c>
      <c r="L31" s="50" t="str">
        <f ca="1">IFERROR(fn_Compare(ADDRESS(ROW(),COLUMN())),"")</f>
        <v/>
      </c>
      <c r="M31" s="50" t="str">
        <f ca="1">IFERROR(fn_Compare(ADDRESS(ROW(),COLUMN())),"")</f>
        <v/>
      </c>
      <c r="N31" s="104" t="str">
        <f ca="1">IFERROR(fn_Compare(ADDRESS(ROW(),COLUMN())),"")</f>
        <v/>
      </c>
    </row>
    <row r="32" spans="1:14" ht="16.5" customHeight="1">
      <c r="A32" s="188" t="s">
        <v>241</v>
      </c>
      <c r="B32" s="102" t="s">
        <v>279</v>
      </c>
      <c r="C32" s="49" t="s">
        <v>319</v>
      </c>
      <c r="D32" s="47" t="s">
        <v>35</v>
      </c>
      <c r="E32" s="78">
        <v>2</v>
      </c>
      <c r="F32" s="47">
        <f ca="1">COUNTA($L32:INDIRECT(ADDRESS(ROW(),MATCH("",$4:$4,-1),1,1)))</f>
        <v>2</v>
      </c>
      <c r="G32" s="47">
        <f t="shared" ca="1" si="0"/>
        <v>2</v>
      </c>
      <c r="H32" s="47">
        <f ca="1">COUNTIF($L32:INDIRECT(ADDRESS(ROW(),MATCH("",$4:$4,-1),1,1)),"양호")</f>
        <v>0</v>
      </c>
      <c r="I32" s="47">
        <f ca="1">COUNTIF($L32:INDIRECT(ADDRESS(ROW(),MATCH("",$4:$4,-1),1,1)),"신규")</f>
        <v>0</v>
      </c>
      <c r="J32" s="47">
        <f ca="1">COUNTIF($L32:INDIRECT(ADDRESS(ROW(),MATCH("",$4:$4,-1),1,1)),"조치")</f>
        <v>0</v>
      </c>
      <c r="K32" s="47">
        <f ca="1">COUNTIF($L32:INDIRECT(ADDRESS(ROW(),MATCH("",$4:$4,-1),1,1)),"미조치")</f>
        <v>0</v>
      </c>
      <c r="L32" s="50" t="str">
        <f ca="1">IFERROR(fn_Compare(ADDRESS(ROW(),COLUMN())),"")</f>
        <v/>
      </c>
      <c r="M32" s="50" t="str">
        <f ca="1">IFERROR(fn_Compare(ADDRESS(ROW(),COLUMN())),"")</f>
        <v/>
      </c>
      <c r="N32" s="104" t="str">
        <f ca="1">IFERROR(fn_Compare(ADDRESS(ROW(),COLUMN())),"")</f>
        <v/>
      </c>
    </row>
    <row r="33" spans="1:14" ht="16.5" customHeight="1">
      <c r="A33" s="188" t="s">
        <v>241</v>
      </c>
      <c r="B33" s="102" t="s">
        <v>280</v>
      </c>
      <c r="C33" s="49" t="s">
        <v>320</v>
      </c>
      <c r="D33" s="47" t="s">
        <v>33</v>
      </c>
      <c r="E33" s="78">
        <v>4</v>
      </c>
      <c r="F33" s="47">
        <f ca="1">COUNTA($L33:INDIRECT(ADDRESS(ROW(),MATCH("",$4:$4,-1),1,1)))</f>
        <v>2</v>
      </c>
      <c r="G33" s="47">
        <f t="shared" ca="1" si="0"/>
        <v>2</v>
      </c>
      <c r="H33" s="47">
        <f ca="1">COUNTIF($L33:INDIRECT(ADDRESS(ROW(),MATCH("",$4:$4,-1),1,1)),"양호")</f>
        <v>0</v>
      </c>
      <c r="I33" s="47">
        <f ca="1">COUNTIF($L33:INDIRECT(ADDRESS(ROW(),MATCH("",$4:$4,-1),1,1)),"신규")</f>
        <v>0</v>
      </c>
      <c r="J33" s="47">
        <f ca="1">COUNTIF($L33:INDIRECT(ADDRESS(ROW(),MATCH("",$4:$4,-1),1,1)),"조치")</f>
        <v>0</v>
      </c>
      <c r="K33" s="47">
        <f ca="1">COUNTIF($L33:INDIRECT(ADDRESS(ROW(),MATCH("",$4:$4,-1),1,1)),"미조치")</f>
        <v>0</v>
      </c>
      <c r="L33" s="50" t="str">
        <f ca="1">IFERROR(fn_Compare(ADDRESS(ROW(),COLUMN())),"")</f>
        <v/>
      </c>
      <c r="M33" s="50" t="str">
        <f ca="1">IFERROR(fn_Compare(ADDRESS(ROW(),COLUMN())),"")</f>
        <v/>
      </c>
      <c r="N33" s="104" t="str">
        <f ca="1">IFERROR(fn_Compare(ADDRESS(ROW(),COLUMN())),"")</f>
        <v/>
      </c>
    </row>
    <row r="34" spans="1:14" ht="16.5" customHeight="1">
      <c r="A34" s="188" t="s">
        <v>241</v>
      </c>
      <c r="B34" s="102" t="s">
        <v>281</v>
      </c>
      <c r="C34" s="49" t="s">
        <v>321</v>
      </c>
      <c r="D34" s="47" t="s">
        <v>33</v>
      </c>
      <c r="E34" s="78">
        <v>4</v>
      </c>
      <c r="F34" s="47">
        <f ca="1">COUNTA($L34:INDIRECT(ADDRESS(ROW(),MATCH("",$4:$4,-1),1,1)))</f>
        <v>2</v>
      </c>
      <c r="G34" s="47">
        <f t="shared" ca="1" si="0"/>
        <v>2</v>
      </c>
      <c r="H34" s="47">
        <f ca="1">COUNTIF($L34:INDIRECT(ADDRESS(ROW(),MATCH("",$4:$4,-1),1,1)),"양호")</f>
        <v>0</v>
      </c>
      <c r="I34" s="47">
        <f ca="1">COUNTIF($L34:INDIRECT(ADDRESS(ROW(),MATCH("",$4:$4,-1),1,1)),"신규")</f>
        <v>0</v>
      </c>
      <c r="J34" s="47">
        <f ca="1">COUNTIF($L34:INDIRECT(ADDRESS(ROW(),MATCH("",$4:$4,-1),1,1)),"조치")</f>
        <v>0</v>
      </c>
      <c r="K34" s="47">
        <f ca="1">COUNTIF($L34:INDIRECT(ADDRESS(ROW(),MATCH("",$4:$4,-1),1,1)),"미조치")</f>
        <v>0</v>
      </c>
      <c r="L34" s="50" t="str">
        <f ca="1">IFERROR(fn_Compare(ADDRESS(ROW(),COLUMN())),"")</f>
        <v/>
      </c>
      <c r="M34" s="50" t="str">
        <f ca="1">IFERROR(fn_Compare(ADDRESS(ROW(),COLUMN())),"")</f>
        <v/>
      </c>
      <c r="N34" s="104" t="str">
        <f ca="1">IFERROR(fn_Compare(ADDRESS(ROW(),COLUMN())),"")</f>
        <v/>
      </c>
    </row>
    <row r="35" spans="1:14" ht="16.5" customHeight="1">
      <c r="A35" s="188" t="s">
        <v>241</v>
      </c>
      <c r="B35" s="102" t="s">
        <v>282</v>
      </c>
      <c r="C35" s="49" t="s">
        <v>322</v>
      </c>
      <c r="D35" s="47" t="s">
        <v>33</v>
      </c>
      <c r="E35" s="78">
        <v>5</v>
      </c>
      <c r="F35" s="47">
        <f ca="1">COUNTA($L35:INDIRECT(ADDRESS(ROW(),MATCH("",$4:$4,-1),1,1)))</f>
        <v>2</v>
      </c>
      <c r="G35" s="47">
        <f t="shared" ca="1" si="0"/>
        <v>2</v>
      </c>
      <c r="H35" s="47">
        <f ca="1">COUNTIF($L35:INDIRECT(ADDRESS(ROW(),MATCH("",$4:$4,-1),1,1)),"양호")</f>
        <v>0</v>
      </c>
      <c r="I35" s="47">
        <f ca="1">COUNTIF($L35:INDIRECT(ADDRESS(ROW(),MATCH("",$4:$4,-1),1,1)),"신규")</f>
        <v>0</v>
      </c>
      <c r="J35" s="47">
        <f ca="1">COUNTIF($L35:INDIRECT(ADDRESS(ROW(),MATCH("",$4:$4,-1),1,1)),"조치")</f>
        <v>0</v>
      </c>
      <c r="K35" s="47">
        <f ca="1">COUNTIF($L35:INDIRECT(ADDRESS(ROW(),MATCH("",$4:$4,-1),1,1)),"미조치")</f>
        <v>0</v>
      </c>
      <c r="L35" s="50" t="str">
        <f ca="1">IFERROR(fn_Compare(ADDRESS(ROW(),COLUMN())),"")</f>
        <v/>
      </c>
      <c r="M35" s="50" t="str">
        <f ca="1">IFERROR(fn_Compare(ADDRESS(ROW(),COLUMN())),"")</f>
        <v/>
      </c>
      <c r="N35" s="104" t="str">
        <f ca="1">IFERROR(fn_Compare(ADDRESS(ROW(),COLUMN())),"")</f>
        <v/>
      </c>
    </row>
    <row r="36" spans="1:14" ht="16.5" customHeight="1">
      <c r="A36" s="188" t="s">
        <v>241</v>
      </c>
      <c r="B36" s="102" t="s">
        <v>283</v>
      </c>
      <c r="C36" s="49" t="s">
        <v>323</v>
      </c>
      <c r="D36" s="47" t="s">
        <v>33</v>
      </c>
      <c r="E36" s="78">
        <v>5</v>
      </c>
      <c r="F36" s="47">
        <f ca="1">COUNTA($L36:INDIRECT(ADDRESS(ROW(),MATCH("",$4:$4,-1),1,1)))</f>
        <v>2</v>
      </c>
      <c r="G36" s="47">
        <f t="shared" ca="1" si="0"/>
        <v>2</v>
      </c>
      <c r="H36" s="47">
        <f ca="1">COUNTIF($L36:INDIRECT(ADDRESS(ROW(),MATCH("",$4:$4,-1),1,1)),"양호")</f>
        <v>0</v>
      </c>
      <c r="I36" s="47">
        <f ca="1">COUNTIF($L36:INDIRECT(ADDRESS(ROW(),MATCH("",$4:$4,-1),1,1)),"신규")</f>
        <v>0</v>
      </c>
      <c r="J36" s="47">
        <f ca="1">COUNTIF($L36:INDIRECT(ADDRESS(ROW(),MATCH("",$4:$4,-1),1,1)),"조치")</f>
        <v>0</v>
      </c>
      <c r="K36" s="47">
        <f ca="1">COUNTIF($L36:INDIRECT(ADDRESS(ROW(),MATCH("",$4:$4,-1),1,1)),"미조치")</f>
        <v>0</v>
      </c>
      <c r="L36" s="50" t="str">
        <f ca="1">IFERROR(fn_Compare(ADDRESS(ROW(),COLUMN())),"")</f>
        <v/>
      </c>
      <c r="M36" s="50" t="str">
        <f ca="1">IFERROR(fn_Compare(ADDRESS(ROW(),COLUMN())),"")</f>
        <v/>
      </c>
      <c r="N36" s="104" t="str">
        <f ca="1">IFERROR(fn_Compare(ADDRESS(ROW(),COLUMN())),"")</f>
        <v/>
      </c>
    </row>
    <row r="37" spans="1:14" ht="16.5" customHeight="1">
      <c r="A37" s="188" t="s">
        <v>241</v>
      </c>
      <c r="B37" s="102" t="s">
        <v>284</v>
      </c>
      <c r="C37" s="49" t="s">
        <v>324</v>
      </c>
      <c r="D37" s="47" t="s">
        <v>33</v>
      </c>
      <c r="E37" s="78">
        <v>5</v>
      </c>
      <c r="F37" s="47">
        <f ca="1">COUNTA($L37:INDIRECT(ADDRESS(ROW(),MATCH("",$4:$4,-1),1,1)))</f>
        <v>2</v>
      </c>
      <c r="G37" s="47">
        <f t="shared" ca="1" si="0"/>
        <v>2</v>
      </c>
      <c r="H37" s="47">
        <f ca="1">COUNTIF($L37:INDIRECT(ADDRESS(ROW(),MATCH("",$4:$4,-1),1,1)),"양호")</f>
        <v>0</v>
      </c>
      <c r="I37" s="47">
        <f ca="1">COUNTIF($L37:INDIRECT(ADDRESS(ROW(),MATCH("",$4:$4,-1),1,1)),"신규")</f>
        <v>0</v>
      </c>
      <c r="J37" s="47">
        <f ca="1">COUNTIF($L37:INDIRECT(ADDRESS(ROW(),MATCH("",$4:$4,-1),1,1)),"조치")</f>
        <v>0</v>
      </c>
      <c r="K37" s="47">
        <f ca="1">COUNTIF($L37:INDIRECT(ADDRESS(ROW(),MATCH("",$4:$4,-1),1,1)),"미조치")</f>
        <v>0</v>
      </c>
      <c r="L37" s="50" t="str">
        <f ca="1">IFERROR(fn_Compare(ADDRESS(ROW(),COLUMN())),"")</f>
        <v/>
      </c>
      <c r="M37" s="50" t="str">
        <f ca="1">IFERROR(fn_Compare(ADDRESS(ROW(),COLUMN())),"")</f>
        <v/>
      </c>
      <c r="N37" s="104" t="str">
        <f ca="1">IFERROR(fn_Compare(ADDRESS(ROW(),COLUMN())),"")</f>
        <v/>
      </c>
    </row>
    <row r="38" spans="1:14" ht="16.5" customHeight="1">
      <c r="A38" s="188" t="s">
        <v>241</v>
      </c>
      <c r="B38" s="102" t="s">
        <v>285</v>
      </c>
      <c r="C38" s="49" t="s">
        <v>325</v>
      </c>
      <c r="D38" s="47" t="s">
        <v>33</v>
      </c>
      <c r="E38" s="78">
        <v>4</v>
      </c>
      <c r="F38" s="47">
        <f ca="1">COUNTA($L38:INDIRECT(ADDRESS(ROW(),MATCH("",$4:$4,-1),1,1)))</f>
        <v>2</v>
      </c>
      <c r="G38" s="47">
        <f t="shared" ca="1" si="0"/>
        <v>2</v>
      </c>
      <c r="H38" s="47">
        <f ca="1">COUNTIF($L38:INDIRECT(ADDRESS(ROW(),MATCH("",$4:$4,-1),1,1)),"양호")</f>
        <v>0</v>
      </c>
      <c r="I38" s="47">
        <f ca="1">COUNTIF($L38:INDIRECT(ADDRESS(ROW(),MATCH("",$4:$4,-1),1,1)),"신규")</f>
        <v>0</v>
      </c>
      <c r="J38" s="47">
        <f ca="1">COUNTIF($L38:INDIRECT(ADDRESS(ROW(),MATCH("",$4:$4,-1),1,1)),"조치")</f>
        <v>0</v>
      </c>
      <c r="K38" s="47">
        <f ca="1">COUNTIF($L38:INDIRECT(ADDRESS(ROW(),MATCH("",$4:$4,-1),1,1)),"미조치")</f>
        <v>0</v>
      </c>
      <c r="L38" s="50" t="str">
        <f ca="1">IFERROR(fn_Compare(ADDRESS(ROW(),COLUMN())),"")</f>
        <v/>
      </c>
      <c r="M38" s="50" t="str">
        <f ca="1">IFERROR(fn_Compare(ADDRESS(ROW(),COLUMN())),"")</f>
        <v/>
      </c>
      <c r="N38" s="104" t="str">
        <f ca="1">IFERROR(fn_Compare(ADDRESS(ROW(),COLUMN())),"")</f>
        <v/>
      </c>
    </row>
    <row r="39" spans="1:14" ht="16.5" customHeight="1">
      <c r="A39" s="188" t="s">
        <v>241</v>
      </c>
      <c r="B39" s="102" t="s">
        <v>286</v>
      </c>
      <c r="C39" s="49" t="s">
        <v>326</v>
      </c>
      <c r="D39" s="47" t="s">
        <v>33</v>
      </c>
      <c r="E39" s="78">
        <v>4</v>
      </c>
      <c r="F39" s="47">
        <f ca="1">COUNTA($L39:INDIRECT(ADDRESS(ROW(),MATCH("",$4:$4,-1),1,1)))</f>
        <v>2</v>
      </c>
      <c r="G39" s="47">
        <f t="shared" ca="1" si="0"/>
        <v>2</v>
      </c>
      <c r="H39" s="47">
        <f ca="1">COUNTIF($L39:INDIRECT(ADDRESS(ROW(),MATCH("",$4:$4,-1),1,1)),"양호")</f>
        <v>0</v>
      </c>
      <c r="I39" s="47">
        <f ca="1">COUNTIF($L39:INDIRECT(ADDRESS(ROW(),MATCH("",$4:$4,-1),1,1)),"신규")</f>
        <v>0</v>
      </c>
      <c r="J39" s="47">
        <f ca="1">COUNTIF($L39:INDIRECT(ADDRESS(ROW(),MATCH("",$4:$4,-1),1,1)),"조치")</f>
        <v>0</v>
      </c>
      <c r="K39" s="47">
        <f ca="1">COUNTIF($L39:INDIRECT(ADDRESS(ROW(),MATCH("",$4:$4,-1),1,1)),"미조치")</f>
        <v>0</v>
      </c>
      <c r="L39" s="50" t="str">
        <f ca="1">IFERROR(fn_Compare(ADDRESS(ROW(),COLUMN())),"")</f>
        <v/>
      </c>
      <c r="M39" s="50" t="str">
        <f ca="1">IFERROR(fn_Compare(ADDRESS(ROW(),COLUMN())),"")</f>
        <v/>
      </c>
      <c r="N39" s="104" t="str">
        <f ca="1">IFERROR(fn_Compare(ADDRESS(ROW(),COLUMN())),"")</f>
        <v/>
      </c>
    </row>
    <row r="40" spans="1:14" ht="16.5" customHeight="1">
      <c r="A40" s="188" t="s">
        <v>241</v>
      </c>
      <c r="B40" s="102" t="s">
        <v>287</v>
      </c>
      <c r="C40" s="49" t="s">
        <v>327</v>
      </c>
      <c r="D40" s="47" t="s">
        <v>33</v>
      </c>
      <c r="E40" s="78">
        <v>5</v>
      </c>
      <c r="F40" s="47">
        <f ca="1">COUNTA($L40:INDIRECT(ADDRESS(ROW(),MATCH("",$4:$4,-1),1,1)))</f>
        <v>2</v>
      </c>
      <c r="G40" s="47">
        <f t="shared" ca="1" si="0"/>
        <v>2</v>
      </c>
      <c r="H40" s="47">
        <f ca="1">COUNTIF($L40:INDIRECT(ADDRESS(ROW(),MATCH("",$4:$4,-1),1,1)),"양호")</f>
        <v>0</v>
      </c>
      <c r="I40" s="47">
        <f ca="1">COUNTIF($L40:INDIRECT(ADDRESS(ROW(),MATCH("",$4:$4,-1),1,1)),"신규")</f>
        <v>0</v>
      </c>
      <c r="J40" s="47">
        <f ca="1">COUNTIF($L40:INDIRECT(ADDRESS(ROW(),MATCH("",$4:$4,-1),1,1)),"조치")</f>
        <v>0</v>
      </c>
      <c r="K40" s="47">
        <f ca="1">COUNTIF($L40:INDIRECT(ADDRESS(ROW(),MATCH("",$4:$4,-1),1,1)),"미조치")</f>
        <v>0</v>
      </c>
      <c r="L40" s="50" t="str">
        <f ca="1">IFERROR(fn_Compare(ADDRESS(ROW(),COLUMN())),"")</f>
        <v/>
      </c>
      <c r="M40" s="50" t="str">
        <f ca="1">IFERROR(fn_Compare(ADDRESS(ROW(),COLUMN())),"")</f>
        <v/>
      </c>
      <c r="N40" s="104" t="str">
        <f ca="1">IFERROR(fn_Compare(ADDRESS(ROW(),COLUMN())),"")</f>
        <v/>
      </c>
    </row>
    <row r="41" spans="1:14" ht="16.5" customHeight="1">
      <c r="A41" s="188" t="s">
        <v>241</v>
      </c>
      <c r="B41" s="102" t="s">
        <v>288</v>
      </c>
      <c r="C41" s="49" t="s">
        <v>328</v>
      </c>
      <c r="D41" s="47" t="s">
        <v>33</v>
      </c>
      <c r="E41" s="78">
        <v>5</v>
      </c>
      <c r="F41" s="47">
        <f ca="1">COUNTA($L41:INDIRECT(ADDRESS(ROW(),MATCH("",$4:$4,-1),1,1)))</f>
        <v>2</v>
      </c>
      <c r="G41" s="47">
        <f t="shared" ca="1" si="0"/>
        <v>2</v>
      </c>
      <c r="H41" s="47">
        <f ca="1">COUNTIF($L41:INDIRECT(ADDRESS(ROW(),MATCH("",$4:$4,-1),1,1)),"양호")</f>
        <v>0</v>
      </c>
      <c r="I41" s="47">
        <f ca="1">COUNTIF($L41:INDIRECT(ADDRESS(ROW(),MATCH("",$4:$4,-1),1,1)),"신규")</f>
        <v>0</v>
      </c>
      <c r="J41" s="47">
        <f ca="1">COUNTIF($L41:INDIRECT(ADDRESS(ROW(),MATCH("",$4:$4,-1),1,1)),"조치")</f>
        <v>0</v>
      </c>
      <c r="K41" s="47">
        <f ca="1">COUNTIF($L41:INDIRECT(ADDRESS(ROW(),MATCH("",$4:$4,-1),1,1)),"미조치")</f>
        <v>0</v>
      </c>
      <c r="L41" s="50" t="str">
        <f ca="1">IFERROR(fn_Compare(ADDRESS(ROW(),COLUMN())),"")</f>
        <v/>
      </c>
      <c r="M41" s="50" t="str">
        <f ca="1">IFERROR(fn_Compare(ADDRESS(ROW(),COLUMN())),"")</f>
        <v/>
      </c>
      <c r="N41" s="104" t="str">
        <f ca="1">IFERROR(fn_Compare(ADDRESS(ROW(),COLUMN())),"")</f>
        <v/>
      </c>
    </row>
    <row r="42" spans="1:14" ht="16.5" customHeight="1">
      <c r="A42" s="188" t="s">
        <v>241</v>
      </c>
      <c r="B42" s="102" t="s">
        <v>289</v>
      </c>
      <c r="C42" s="49" t="s">
        <v>329</v>
      </c>
      <c r="D42" s="47" t="s">
        <v>33</v>
      </c>
      <c r="E42" s="78">
        <v>4</v>
      </c>
      <c r="F42" s="47">
        <f ca="1">COUNTA($L42:INDIRECT(ADDRESS(ROW(),MATCH("",$4:$4,-1),1,1)))</f>
        <v>2</v>
      </c>
      <c r="G42" s="47">
        <f t="shared" ca="1" si="0"/>
        <v>2</v>
      </c>
      <c r="H42" s="47">
        <f ca="1">COUNTIF($L42:INDIRECT(ADDRESS(ROW(),MATCH("",$4:$4,-1),1,1)),"양호")</f>
        <v>0</v>
      </c>
      <c r="I42" s="47">
        <f ca="1">COUNTIF($L42:INDIRECT(ADDRESS(ROW(),MATCH("",$4:$4,-1),1,1)),"신규")</f>
        <v>0</v>
      </c>
      <c r="J42" s="47">
        <f ca="1">COUNTIF($L42:INDIRECT(ADDRESS(ROW(),MATCH("",$4:$4,-1),1,1)),"조치")</f>
        <v>0</v>
      </c>
      <c r="K42" s="47">
        <f ca="1">COUNTIF($L42:INDIRECT(ADDRESS(ROW(),MATCH("",$4:$4,-1),1,1)),"미조치")</f>
        <v>0</v>
      </c>
      <c r="L42" s="50" t="str">
        <f ca="1">IFERROR(fn_Compare(ADDRESS(ROW(),COLUMN())),"")</f>
        <v/>
      </c>
      <c r="M42" s="50" t="str">
        <f ca="1">IFERROR(fn_Compare(ADDRESS(ROW(),COLUMN())),"")</f>
        <v/>
      </c>
      <c r="N42" s="104" t="str">
        <f ca="1">IFERROR(fn_Compare(ADDRESS(ROW(),COLUMN())),"")</f>
        <v/>
      </c>
    </row>
    <row r="43" spans="1:14" ht="16.5" customHeight="1">
      <c r="A43" s="188" t="s">
        <v>241</v>
      </c>
      <c r="B43" s="102" t="s">
        <v>290</v>
      </c>
      <c r="C43" s="49" t="s">
        <v>330</v>
      </c>
      <c r="D43" s="47" t="s">
        <v>33</v>
      </c>
      <c r="E43" s="78">
        <v>5</v>
      </c>
      <c r="F43" s="47">
        <f ca="1">COUNTA($L43:INDIRECT(ADDRESS(ROW(),MATCH("",$4:$4,-1),1,1)))</f>
        <v>2</v>
      </c>
      <c r="G43" s="47">
        <f t="shared" ca="1" si="0"/>
        <v>2</v>
      </c>
      <c r="H43" s="47">
        <f ca="1">COUNTIF($L43:INDIRECT(ADDRESS(ROW(),MATCH("",$4:$4,-1),1,1)),"양호")</f>
        <v>0</v>
      </c>
      <c r="I43" s="47">
        <f ca="1">COUNTIF($L43:INDIRECT(ADDRESS(ROW(),MATCH("",$4:$4,-1),1,1)),"신규")</f>
        <v>0</v>
      </c>
      <c r="J43" s="47">
        <f ca="1">COUNTIF($L43:INDIRECT(ADDRESS(ROW(),MATCH("",$4:$4,-1),1,1)),"조치")</f>
        <v>0</v>
      </c>
      <c r="K43" s="47">
        <f ca="1">COUNTIF($L43:INDIRECT(ADDRESS(ROW(),MATCH("",$4:$4,-1),1,1)),"미조치")</f>
        <v>0</v>
      </c>
      <c r="L43" s="50" t="str">
        <f ca="1">IFERROR(fn_Compare(ADDRESS(ROW(),COLUMN())),"")</f>
        <v/>
      </c>
      <c r="M43" s="50" t="str">
        <f ca="1">IFERROR(fn_Compare(ADDRESS(ROW(),COLUMN())),"")</f>
        <v/>
      </c>
      <c r="N43" s="104" t="str">
        <f ca="1">IFERROR(fn_Compare(ADDRESS(ROW(),COLUMN())),"")</f>
        <v/>
      </c>
    </row>
    <row r="44" spans="1:14" ht="16.5" customHeight="1">
      <c r="A44" s="188" t="s">
        <v>241</v>
      </c>
      <c r="B44" s="102" t="s">
        <v>291</v>
      </c>
      <c r="C44" s="49" t="s">
        <v>331</v>
      </c>
      <c r="D44" s="47" t="s">
        <v>33</v>
      </c>
      <c r="E44" s="78">
        <v>5</v>
      </c>
      <c r="F44" s="47">
        <f ca="1">COUNTA($L44:INDIRECT(ADDRESS(ROW(),MATCH("",$4:$4,-1),1,1)))</f>
        <v>2</v>
      </c>
      <c r="G44" s="47">
        <f t="shared" ca="1" si="0"/>
        <v>2</v>
      </c>
      <c r="H44" s="47">
        <f ca="1">COUNTIF($L44:INDIRECT(ADDRESS(ROW(),MATCH("",$4:$4,-1),1,1)),"양호")</f>
        <v>0</v>
      </c>
      <c r="I44" s="47">
        <f ca="1">COUNTIF($L44:INDIRECT(ADDRESS(ROW(),MATCH("",$4:$4,-1),1,1)),"신규")</f>
        <v>0</v>
      </c>
      <c r="J44" s="47">
        <f ca="1">COUNTIF($L44:INDIRECT(ADDRESS(ROW(),MATCH("",$4:$4,-1),1,1)),"조치")</f>
        <v>0</v>
      </c>
      <c r="K44" s="47">
        <f ca="1">COUNTIF($L44:INDIRECT(ADDRESS(ROW(),MATCH("",$4:$4,-1),1,1)),"미조치")</f>
        <v>0</v>
      </c>
      <c r="L44" s="50" t="str">
        <f ca="1">IFERROR(fn_Compare(ADDRESS(ROW(),COLUMN())),"")</f>
        <v/>
      </c>
      <c r="M44" s="50" t="str">
        <f ca="1">IFERROR(fn_Compare(ADDRESS(ROW(),COLUMN())),"")</f>
        <v/>
      </c>
      <c r="N44" s="104" t="str">
        <f ca="1">IFERROR(fn_Compare(ADDRESS(ROW(),COLUMN())),"")</f>
        <v/>
      </c>
    </row>
    <row r="45" spans="1:14" ht="16.5" customHeight="1">
      <c r="A45" s="188" t="s">
        <v>241</v>
      </c>
      <c r="B45" s="102" t="s">
        <v>292</v>
      </c>
      <c r="C45" s="49" t="s">
        <v>332</v>
      </c>
      <c r="D45" s="47" t="s">
        <v>34</v>
      </c>
      <c r="E45" s="78">
        <v>3</v>
      </c>
      <c r="F45" s="47">
        <f ca="1">COUNTA($L45:INDIRECT(ADDRESS(ROW(),MATCH("",$4:$4,-1),1,1)))</f>
        <v>2</v>
      </c>
      <c r="G45" s="47">
        <f t="shared" ca="1" si="0"/>
        <v>2</v>
      </c>
      <c r="H45" s="47">
        <f ca="1">COUNTIF($L45:INDIRECT(ADDRESS(ROW(),MATCH("",$4:$4,-1),1,1)),"양호")</f>
        <v>0</v>
      </c>
      <c r="I45" s="47">
        <f ca="1">COUNTIF($L45:INDIRECT(ADDRESS(ROW(),MATCH("",$4:$4,-1),1,1)),"신규")</f>
        <v>0</v>
      </c>
      <c r="J45" s="47">
        <f ca="1">COUNTIF($L45:INDIRECT(ADDRESS(ROW(),MATCH("",$4:$4,-1),1,1)),"조치")</f>
        <v>0</v>
      </c>
      <c r="K45" s="47">
        <f ca="1">COUNTIF($L45:INDIRECT(ADDRESS(ROW(),MATCH("",$4:$4,-1),1,1)),"미조치")</f>
        <v>0</v>
      </c>
      <c r="L45" s="50" t="str">
        <f ca="1">IFERROR(fn_Compare(ADDRESS(ROW(),COLUMN())),"")</f>
        <v/>
      </c>
      <c r="M45" s="50" t="str">
        <f ca="1">IFERROR(fn_Compare(ADDRESS(ROW(),COLUMN())),"")</f>
        <v/>
      </c>
      <c r="N45" s="104" t="str">
        <f ca="1">IFERROR(fn_Compare(ADDRESS(ROW(),COLUMN())),"")</f>
        <v/>
      </c>
    </row>
    <row r="46" spans="1:14" ht="16.5" customHeight="1">
      <c r="A46" s="188" t="s">
        <v>241</v>
      </c>
      <c r="B46" s="102" t="s">
        <v>293</v>
      </c>
      <c r="C46" s="49" t="s">
        <v>333</v>
      </c>
      <c r="D46" s="47" t="s">
        <v>33</v>
      </c>
      <c r="E46" s="78">
        <v>4</v>
      </c>
      <c r="F46" s="47">
        <f ca="1">COUNTA($L46:INDIRECT(ADDRESS(ROW(),MATCH("",$4:$4,-1),1,1)))</f>
        <v>2</v>
      </c>
      <c r="G46" s="47">
        <f t="shared" ca="1" si="0"/>
        <v>2</v>
      </c>
      <c r="H46" s="47">
        <f ca="1">COUNTIF($L46:INDIRECT(ADDRESS(ROW(),MATCH("",$4:$4,-1),1,1)),"양호")</f>
        <v>0</v>
      </c>
      <c r="I46" s="47">
        <f ca="1">COUNTIF($L46:INDIRECT(ADDRESS(ROW(),MATCH("",$4:$4,-1),1,1)),"신규")</f>
        <v>0</v>
      </c>
      <c r="J46" s="47">
        <f ca="1">COUNTIF($L46:INDIRECT(ADDRESS(ROW(),MATCH("",$4:$4,-1),1,1)),"조치")</f>
        <v>0</v>
      </c>
      <c r="K46" s="47">
        <f ca="1">COUNTIF($L46:INDIRECT(ADDRESS(ROW(),MATCH("",$4:$4,-1),1,1)),"미조치")</f>
        <v>0</v>
      </c>
      <c r="L46" s="50" t="str">
        <f ca="1">IFERROR(fn_Compare(ADDRESS(ROW(),COLUMN())),"")</f>
        <v/>
      </c>
      <c r="M46" s="50" t="str">
        <f ca="1">IFERROR(fn_Compare(ADDRESS(ROW(),COLUMN())),"")</f>
        <v/>
      </c>
      <c r="N46" s="104" t="str">
        <f ca="1">IFERROR(fn_Compare(ADDRESS(ROW(),COLUMN())),"")</f>
        <v/>
      </c>
    </row>
    <row r="47" spans="1:14" ht="16.5" customHeight="1" thickBot="1">
      <c r="A47" s="188" t="s">
        <v>241</v>
      </c>
      <c r="B47" s="102" t="s">
        <v>453</v>
      </c>
      <c r="C47" s="49" t="s">
        <v>455</v>
      </c>
      <c r="D47" s="47" t="s">
        <v>33</v>
      </c>
      <c r="E47" s="78">
        <v>5</v>
      </c>
      <c r="F47" s="47">
        <f ca="1">COUNTA($L47:INDIRECT(ADDRESS(ROW(),MATCH("",$4:$4,-1),1,1)))</f>
        <v>2</v>
      </c>
      <c r="G47" s="47">
        <f t="shared" ca="1" si="0"/>
        <v>2</v>
      </c>
      <c r="H47" s="47">
        <f ca="1">COUNTIF($L47:INDIRECT(ADDRESS(ROW(),MATCH("",$4:$4,-1),1,1)),"양호")</f>
        <v>0</v>
      </c>
      <c r="I47" s="47">
        <f ca="1">COUNTIF($L47:INDIRECT(ADDRESS(ROW(),MATCH("",$4:$4,-1),1,1)),"신규")</f>
        <v>0</v>
      </c>
      <c r="J47" s="47">
        <f ca="1">COUNTIF($L47:INDIRECT(ADDRESS(ROW(),MATCH("",$4:$4,-1),1,1)),"조치")</f>
        <v>0</v>
      </c>
      <c r="K47" s="47">
        <f ca="1">COUNTIF($L47:INDIRECT(ADDRESS(ROW(),MATCH("",$4:$4,-1),1,1)),"미조치")</f>
        <v>0</v>
      </c>
      <c r="L47" s="50" t="str">
        <f ca="1">IFERROR(fn_Compare(ADDRESS(ROW(),COLUMN())),"")</f>
        <v/>
      </c>
      <c r="M47" s="50" t="str">
        <f ca="1">IFERROR(fn_Compare(ADDRESS(ROW(),COLUMN())),"")</f>
        <v/>
      </c>
      <c r="N47" s="104" t="str">
        <f ca="1">IFERROR(fn_Compare(ADDRESS(ROW(),COLUMN())),"")</f>
        <v/>
      </c>
    </row>
    <row r="48" spans="1:14" ht="17.25" thickBot="1">
      <c r="A48" s="502" t="s">
        <v>19</v>
      </c>
      <c r="B48" s="503"/>
      <c r="C48" s="503"/>
      <c r="D48" s="503"/>
      <c r="E48" s="117">
        <f t="shared" ref="E48:K48" si="1">SUM(E6:E47)</f>
        <v>159</v>
      </c>
      <c r="F48" s="117">
        <f t="shared" ca="1" si="1"/>
        <v>84</v>
      </c>
      <c r="G48" s="117">
        <f t="shared" ca="1" si="1"/>
        <v>84</v>
      </c>
      <c r="H48" s="117">
        <f t="shared" ca="1" si="1"/>
        <v>0</v>
      </c>
      <c r="I48" s="117">
        <f t="shared" ca="1" si="1"/>
        <v>0</v>
      </c>
      <c r="J48" s="117">
        <f t="shared" ca="1" si="1"/>
        <v>0</v>
      </c>
      <c r="K48" s="117">
        <f t="shared" ca="1" si="1"/>
        <v>0</v>
      </c>
      <c r="L48" s="118">
        <f ca="1">COUNTIF(L6:L47,"양호")+COUNTIF(L6:L47,"신규")+COUNTIF(L6:L47,"조치")+COUNTIF(L6:L47,"미조치")</f>
        <v>0</v>
      </c>
      <c r="M48" s="118">
        <f ca="1">COUNTIF(M6:M47,"양호")+COUNTIF(M6:M47,"신규")+COUNTIF(M6:M47,"조치")+COUNTIF(M6:M47,"미조치")</f>
        <v>0</v>
      </c>
      <c r="N48" s="119">
        <f ca="1">COUNTIF(N6:N47,"양호")+COUNTIF(N6:N47,"신규")+COUNTIF(N6:N47,"조치")+COUNTIF(N6:N47,"미조치")</f>
        <v>0</v>
      </c>
    </row>
    <row r="49" spans="9:14" ht="17.25" thickBot="1">
      <c r="L49" s="120">
        <f ca="1">COUNTA(L6:L47)-(COUNTIF(L6:L47,"양호")+COUNTIF(L6:L47,"신규")+COUNTIF(L6:L47,"조치")+COUNTIF(L6:L47,"미조치"))</f>
        <v>42</v>
      </c>
      <c r="M49" s="121">
        <f ca="1">COUNTA(M6:M47)-(COUNTIF(M6:M47,"양호")+COUNTIF(M6:M47,"신규")+COUNTIF(M6:M47,"조치")+COUNTIF(M6:M47,"미조치"))</f>
        <v>42</v>
      </c>
      <c r="N49" s="122">
        <f ca="1">COUNTA(N6:N47)-(COUNTIF(N6:N47,"양호")+COUNTIF(N6:N47,"신규")+COUNTIF(N6:N47,"조치")+COUNTIF(N6:N47,"미조치"))</f>
        <v>42</v>
      </c>
    </row>
    <row r="50" spans="9:14" ht="17.25" thickBot="1">
      <c r="L50" s="53"/>
      <c r="M50" s="53"/>
      <c r="N50" s="53"/>
    </row>
    <row r="51" spans="9:14">
      <c r="I51" s="515" t="s">
        <v>44</v>
      </c>
      <c r="J51" s="17" t="s">
        <v>18</v>
      </c>
      <c r="K51" s="11">
        <f ca="1">SUM(L51:N51)</f>
        <v>0</v>
      </c>
      <c r="L51" s="32">
        <f t="shared" ref="L51:N54" ca="1" si="2">COUNTIF(L$6:L$47,$J51)</f>
        <v>0</v>
      </c>
      <c r="M51" s="12">
        <f t="shared" ca="1" si="2"/>
        <v>0</v>
      </c>
      <c r="N51" s="17">
        <f t="shared" ca="1" si="2"/>
        <v>0</v>
      </c>
    </row>
    <row r="52" spans="9:14">
      <c r="I52" s="516"/>
      <c r="J52" s="25" t="s">
        <v>41</v>
      </c>
      <c r="K52" s="13">
        <f ca="1">SUM(L52:N52)</f>
        <v>0</v>
      </c>
      <c r="L52" s="18">
        <f t="shared" ca="1" si="2"/>
        <v>0</v>
      </c>
      <c r="M52" s="14">
        <f t="shared" ca="1" si="2"/>
        <v>0</v>
      </c>
      <c r="N52" s="19">
        <f t="shared" ca="1" si="2"/>
        <v>0</v>
      </c>
    </row>
    <row r="53" spans="9:14">
      <c r="I53" s="516"/>
      <c r="J53" s="26" t="s">
        <v>42</v>
      </c>
      <c r="K53" s="13">
        <f ca="1">SUM(L53:N53)</f>
        <v>0</v>
      </c>
      <c r="L53" s="18">
        <f t="shared" ca="1" si="2"/>
        <v>0</v>
      </c>
      <c r="M53" s="14">
        <f t="shared" ca="1" si="2"/>
        <v>0</v>
      </c>
      <c r="N53" s="19">
        <f t="shared" ca="1" si="2"/>
        <v>0</v>
      </c>
    </row>
    <row r="54" spans="9:14">
      <c r="I54" s="516"/>
      <c r="J54" s="27" t="s">
        <v>43</v>
      </c>
      <c r="K54" s="28">
        <f ca="1">SUM(L54:N54)</f>
        <v>0</v>
      </c>
      <c r="L54" s="29">
        <f t="shared" ca="1" si="2"/>
        <v>0</v>
      </c>
      <c r="M54" s="30">
        <f t="shared" ca="1" si="2"/>
        <v>0</v>
      </c>
      <c r="N54" s="31">
        <f t="shared" ca="1" si="2"/>
        <v>0</v>
      </c>
    </row>
    <row r="55" spans="9:14" ht="17.25" thickBot="1">
      <c r="I55" s="517"/>
      <c r="J55" s="20" t="s">
        <v>45</v>
      </c>
      <c r="K55" s="15">
        <f ca="1">SUM(L55:N55)</f>
        <v>0</v>
      </c>
      <c r="L55" s="24">
        <f ca="1">IF(L48=0,0,L49)</f>
        <v>0</v>
      </c>
      <c r="M55" s="16">
        <f t="shared" ref="M55:N55" ca="1" si="3">IF(M48=0,0,M49)</f>
        <v>0</v>
      </c>
      <c r="N55" s="20">
        <f t="shared" ca="1" si="3"/>
        <v>0</v>
      </c>
    </row>
    <row r="56" spans="9:14" ht="16.5" customHeight="1"/>
    <row r="57" spans="9:14" ht="16.5" customHeight="1"/>
    <row r="58" spans="9:14" ht="16.5" customHeight="1"/>
    <row r="59" spans="9:14" ht="16.5" customHeight="1"/>
    <row r="60" spans="9:14" ht="16.5" customHeight="1"/>
    <row r="61" spans="9:14" ht="16.5" customHeight="1"/>
    <row r="62" spans="9:14" ht="16.5" customHeight="1"/>
    <row r="63" spans="9:14" ht="16.5" customHeight="1"/>
    <row r="64" spans="9:1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</sheetData>
  <mergeCells count="9">
    <mergeCell ref="M4:M5"/>
    <mergeCell ref="N4:N5"/>
    <mergeCell ref="I51:I55"/>
    <mergeCell ref="A48:D48"/>
    <mergeCell ref="A4:C4"/>
    <mergeCell ref="D4:D5"/>
    <mergeCell ref="E4:E5"/>
    <mergeCell ref="F4:K4"/>
    <mergeCell ref="L4:L5"/>
  </mergeCells>
  <phoneticPr fontId="1" type="noConversion"/>
  <conditionalFormatting sqref="L6:N47">
    <cfRule type="cellIs" dxfId="28" priority="1" stopIfTrue="1" operator="equal">
      <formula>"미조치"</formula>
    </cfRule>
    <cfRule type="cellIs" dxfId="27" priority="3" stopIfTrue="1" operator="equal">
      <formula>"신규"</formula>
    </cfRule>
    <cfRule type="cellIs" dxfId="26" priority="4" stopIfTrue="1" operator="equal">
      <formula>"양호"</formula>
    </cfRule>
  </conditionalFormatting>
  <conditionalFormatting sqref="L6:N47">
    <cfRule type="cellIs" dxfId="25" priority="2" stopIfTrue="1" operator="equal">
      <formula>"조치"</formula>
    </cfRule>
  </conditionalFormatting>
  <printOptions horizontalCentered="1"/>
  <pageMargins left="0.7" right="0.7" top="0.75" bottom="0.75" header="0.3" footer="0.3"/>
  <pageSetup paperSize="9" scale="61" fitToWidth="0" orientation="landscape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7030A0"/>
    <pageSetUpPr fitToPage="1"/>
  </sheetPr>
  <dimension ref="A1:N121"/>
  <sheetViews>
    <sheetView showGridLines="0" view="pageBreakPreview" zoomScale="85" zoomScaleNormal="85" zoomScaleSheetLayoutView="85" workbookViewId="0">
      <pane ySplit="6" topLeftCell="A7" activePane="bottomLeft" state="frozen"/>
      <selection pane="bottomLeft"/>
    </sheetView>
  </sheetViews>
  <sheetFormatPr defaultColWidth="10" defaultRowHeight="13.5"/>
  <cols>
    <col min="1" max="1" width="5" style="5" bestFit="1" customWidth="1"/>
    <col min="2" max="2" width="5" style="5" customWidth="1"/>
    <col min="3" max="3" width="8.25" style="5" bestFit="1" customWidth="1"/>
    <col min="4" max="4" width="30.625" style="5" customWidth="1"/>
    <col min="5" max="14" width="6.625" style="5" customWidth="1"/>
    <col min="15" max="25" width="10" style="5"/>
    <col min="26" max="26" width="2.625" style="5" customWidth="1"/>
    <col min="27" max="16384" width="10" style="5"/>
  </cols>
  <sheetData>
    <row r="1" spans="1:14" s="61" customFormat="1" ht="16.5" customHeight="1">
      <c r="A1" s="62"/>
      <c r="E1" s="520" t="s">
        <v>114</v>
      </c>
      <c r="F1" s="521"/>
      <c r="G1" s="521"/>
      <c r="H1" s="521"/>
      <c r="I1" s="521"/>
      <c r="J1" s="521"/>
      <c r="K1" s="521"/>
      <c r="L1" s="521"/>
      <c r="M1" s="521"/>
      <c r="N1" s="522"/>
    </row>
    <row r="2" spans="1:14" s="61" customFormat="1" ht="16.5">
      <c r="E2" s="523" t="s">
        <v>115</v>
      </c>
      <c r="F2" s="524"/>
      <c r="G2" s="524"/>
      <c r="H2" s="524"/>
      <c r="I2" s="524"/>
      <c r="J2" s="524"/>
      <c r="K2" s="524"/>
      <c r="L2" s="524"/>
      <c r="M2" s="524"/>
      <c r="N2" s="525"/>
    </row>
    <row r="3" spans="1:14" s="61" customFormat="1" ht="16.5">
      <c r="E3" s="523" t="s">
        <v>116</v>
      </c>
      <c r="F3" s="524"/>
      <c r="G3" s="524"/>
      <c r="H3" s="524"/>
      <c r="I3" s="524"/>
      <c r="J3" s="524"/>
      <c r="K3" s="524"/>
      <c r="L3" s="524"/>
      <c r="M3" s="524"/>
      <c r="N3" s="525"/>
    </row>
    <row r="4" spans="1:14" s="61" customFormat="1" ht="17.25" thickBot="1">
      <c r="E4" s="523" t="s">
        <v>117</v>
      </c>
      <c r="F4" s="524"/>
      <c r="G4" s="524"/>
      <c r="H4" s="524"/>
      <c r="I4" s="524"/>
      <c r="J4" s="524"/>
      <c r="K4" s="524"/>
      <c r="L4" s="524"/>
      <c r="M4" s="524"/>
      <c r="N4" s="525"/>
    </row>
    <row r="5" spans="1:14" s="61" customFormat="1" ht="17.100000000000001" customHeight="1">
      <c r="A5" s="518" t="s">
        <v>56</v>
      </c>
      <c r="B5" s="526" t="s">
        <v>138</v>
      </c>
      <c r="C5" s="526"/>
      <c r="D5" s="526"/>
      <c r="E5" s="526" t="s">
        <v>146</v>
      </c>
      <c r="F5" s="526"/>
      <c r="G5" s="526"/>
      <c r="H5" s="526"/>
      <c r="I5" s="526"/>
      <c r="J5" s="526"/>
      <c r="K5" s="526"/>
      <c r="L5" s="526"/>
      <c r="M5" s="526"/>
      <c r="N5" s="527"/>
    </row>
    <row r="6" spans="1:14" ht="27.75" customHeight="1" thickBot="1">
      <c r="A6" s="519"/>
      <c r="B6" s="128" t="s">
        <v>147</v>
      </c>
      <c r="C6" s="128" t="s">
        <v>108</v>
      </c>
      <c r="D6" s="128" t="s">
        <v>110</v>
      </c>
      <c r="E6" s="128" t="s">
        <v>118</v>
      </c>
      <c r="F6" s="128" t="s">
        <v>118</v>
      </c>
      <c r="G6" s="128" t="s">
        <v>118</v>
      </c>
      <c r="H6" s="128" t="s">
        <v>118</v>
      </c>
      <c r="I6" s="128" t="s">
        <v>118</v>
      </c>
      <c r="J6" s="128" t="s">
        <v>118</v>
      </c>
      <c r="K6" s="128" t="s">
        <v>118</v>
      </c>
      <c r="L6" s="128" t="s">
        <v>118</v>
      </c>
      <c r="M6" s="128" t="s">
        <v>118</v>
      </c>
      <c r="N6" s="129" t="s">
        <v>118</v>
      </c>
    </row>
    <row r="7" spans="1:14" ht="13.5" customHeight="1">
      <c r="A7" s="243">
        <v>1</v>
      </c>
      <c r="B7" s="252" t="s">
        <v>241</v>
      </c>
      <c r="C7" s="253" t="s">
        <v>253</v>
      </c>
      <c r="D7" s="244" t="s">
        <v>294</v>
      </c>
      <c r="E7" s="245"/>
      <c r="F7" s="245"/>
      <c r="G7" s="245"/>
      <c r="H7" s="245"/>
      <c r="I7" s="245"/>
      <c r="J7" s="245"/>
      <c r="K7" s="246"/>
      <c r="L7" s="246"/>
      <c r="M7" s="246"/>
      <c r="N7" s="247"/>
    </row>
    <row r="8" spans="1:14" ht="13.5" customHeight="1">
      <c r="A8" s="130">
        <v>2</v>
      </c>
      <c r="B8" s="254" t="s">
        <v>241</v>
      </c>
      <c r="C8" s="255" t="s">
        <v>254</v>
      </c>
      <c r="D8" s="195" t="s">
        <v>295</v>
      </c>
      <c r="E8" s="59"/>
      <c r="F8" s="59"/>
      <c r="G8" s="59"/>
      <c r="H8" s="59"/>
      <c r="I8" s="59"/>
      <c r="J8" s="59"/>
      <c r="K8" s="60"/>
      <c r="L8" s="60"/>
      <c r="M8" s="60"/>
      <c r="N8" s="131"/>
    </row>
    <row r="9" spans="1:14" ht="13.5" customHeight="1">
      <c r="A9" s="130">
        <v>3</v>
      </c>
      <c r="B9" s="254" t="s">
        <v>241</v>
      </c>
      <c r="C9" s="255" t="s">
        <v>255</v>
      </c>
      <c r="D9" s="195" t="s">
        <v>296</v>
      </c>
      <c r="E9" s="59"/>
      <c r="F9" s="59"/>
      <c r="G9" s="59"/>
      <c r="H9" s="59"/>
      <c r="I9" s="59"/>
      <c r="J9" s="59"/>
      <c r="K9" s="60"/>
      <c r="L9" s="60"/>
      <c r="M9" s="60"/>
      <c r="N9" s="131"/>
    </row>
    <row r="10" spans="1:14" ht="13.5" customHeight="1">
      <c r="A10" s="130">
        <v>4</v>
      </c>
      <c r="B10" s="254" t="s">
        <v>241</v>
      </c>
      <c r="C10" s="255" t="s">
        <v>256</v>
      </c>
      <c r="D10" s="195" t="s">
        <v>297</v>
      </c>
      <c r="E10" s="59"/>
      <c r="F10" s="59"/>
      <c r="G10" s="59"/>
      <c r="H10" s="59"/>
      <c r="I10" s="59"/>
      <c r="J10" s="59"/>
      <c r="K10" s="60"/>
      <c r="L10" s="60"/>
      <c r="M10" s="60"/>
      <c r="N10" s="131"/>
    </row>
    <row r="11" spans="1:14" ht="13.5" customHeight="1">
      <c r="A11" s="130">
        <v>5</v>
      </c>
      <c r="B11" s="254" t="s">
        <v>233</v>
      </c>
      <c r="C11" s="255" t="s">
        <v>257</v>
      </c>
      <c r="D11" s="195" t="s">
        <v>298</v>
      </c>
      <c r="E11" s="59"/>
      <c r="F11" s="59"/>
      <c r="G11" s="59"/>
      <c r="H11" s="59"/>
      <c r="I11" s="59"/>
      <c r="J11" s="59"/>
      <c r="K11" s="60"/>
      <c r="L11" s="60"/>
      <c r="M11" s="60"/>
      <c r="N11" s="131"/>
    </row>
    <row r="12" spans="1:14" ht="13.5" customHeight="1">
      <c r="A12" s="130">
        <v>6</v>
      </c>
      <c r="B12" s="254" t="s">
        <v>241</v>
      </c>
      <c r="C12" s="255" t="s">
        <v>258</v>
      </c>
      <c r="D12" s="195" t="s">
        <v>299</v>
      </c>
      <c r="E12" s="59"/>
      <c r="F12" s="59"/>
      <c r="G12" s="59"/>
      <c r="H12" s="59"/>
      <c r="I12" s="59"/>
      <c r="J12" s="59"/>
      <c r="K12" s="60"/>
      <c r="L12" s="60"/>
      <c r="M12" s="60"/>
      <c r="N12" s="131"/>
    </row>
    <row r="13" spans="1:14" ht="13.5" customHeight="1">
      <c r="A13" s="130">
        <v>7</v>
      </c>
      <c r="B13" s="254" t="s">
        <v>241</v>
      </c>
      <c r="C13" s="255" t="s">
        <v>259</v>
      </c>
      <c r="D13" s="195" t="s">
        <v>300</v>
      </c>
      <c r="E13" s="59"/>
      <c r="F13" s="59"/>
      <c r="G13" s="59"/>
      <c r="H13" s="59"/>
      <c r="I13" s="59"/>
      <c r="J13" s="59"/>
      <c r="K13" s="60"/>
      <c r="L13" s="60"/>
      <c r="M13" s="60"/>
      <c r="N13" s="131"/>
    </row>
    <row r="14" spans="1:14" ht="13.5" customHeight="1">
      <c r="A14" s="130">
        <v>8</v>
      </c>
      <c r="B14" s="254" t="s">
        <v>241</v>
      </c>
      <c r="C14" s="255" t="s">
        <v>260</v>
      </c>
      <c r="D14" s="195" t="s">
        <v>301</v>
      </c>
      <c r="E14" s="59"/>
      <c r="F14" s="59"/>
      <c r="G14" s="59"/>
      <c r="H14" s="59"/>
      <c r="I14" s="59"/>
      <c r="J14" s="59"/>
      <c r="K14" s="60"/>
      <c r="L14" s="60"/>
      <c r="M14" s="60"/>
      <c r="N14" s="131"/>
    </row>
    <row r="15" spans="1:14" ht="13.5" customHeight="1">
      <c r="A15" s="130">
        <v>9</v>
      </c>
      <c r="B15" s="254" t="s">
        <v>241</v>
      </c>
      <c r="C15" s="255" t="s">
        <v>261</v>
      </c>
      <c r="D15" s="195" t="s">
        <v>302</v>
      </c>
      <c r="E15" s="59"/>
      <c r="F15" s="59"/>
      <c r="G15" s="59"/>
      <c r="H15" s="59"/>
      <c r="I15" s="59"/>
      <c r="J15" s="59"/>
      <c r="K15" s="60"/>
      <c r="L15" s="60"/>
      <c r="M15" s="60"/>
      <c r="N15" s="131"/>
    </row>
    <row r="16" spans="1:14" ht="13.5" customHeight="1">
      <c r="A16" s="130">
        <v>10</v>
      </c>
      <c r="B16" s="254" t="s">
        <v>241</v>
      </c>
      <c r="C16" s="255" t="s">
        <v>262</v>
      </c>
      <c r="D16" s="195" t="s">
        <v>303</v>
      </c>
      <c r="E16" s="59"/>
      <c r="F16" s="59"/>
      <c r="G16" s="59"/>
      <c r="H16" s="59"/>
      <c r="I16" s="59"/>
      <c r="J16" s="59"/>
      <c r="K16" s="60"/>
      <c r="L16" s="60"/>
      <c r="M16" s="60"/>
      <c r="N16" s="131"/>
    </row>
    <row r="17" spans="1:14" ht="13.5" customHeight="1">
      <c r="A17" s="130">
        <v>11</v>
      </c>
      <c r="B17" s="254" t="s">
        <v>241</v>
      </c>
      <c r="C17" s="255" t="s">
        <v>263</v>
      </c>
      <c r="D17" s="195" t="s">
        <v>304</v>
      </c>
      <c r="E17" s="59"/>
      <c r="F17" s="59"/>
      <c r="G17" s="59"/>
      <c r="H17" s="59"/>
      <c r="I17" s="59"/>
      <c r="J17" s="59"/>
      <c r="K17" s="60"/>
      <c r="L17" s="60"/>
      <c r="M17" s="60"/>
      <c r="N17" s="131"/>
    </row>
    <row r="18" spans="1:14" ht="13.5" customHeight="1">
      <c r="A18" s="130">
        <v>12</v>
      </c>
      <c r="B18" s="254" t="s">
        <v>241</v>
      </c>
      <c r="C18" s="255" t="s">
        <v>264</v>
      </c>
      <c r="D18" s="195" t="s">
        <v>305</v>
      </c>
      <c r="E18" s="59"/>
      <c r="F18" s="59"/>
      <c r="G18" s="59"/>
      <c r="H18" s="59"/>
      <c r="I18" s="59"/>
      <c r="J18" s="59"/>
      <c r="K18" s="60"/>
      <c r="L18" s="60"/>
      <c r="M18" s="60"/>
      <c r="N18" s="131"/>
    </row>
    <row r="19" spans="1:14" ht="13.5" customHeight="1">
      <c r="A19" s="130">
        <v>13</v>
      </c>
      <c r="B19" s="254" t="s">
        <v>241</v>
      </c>
      <c r="C19" s="255" t="s">
        <v>265</v>
      </c>
      <c r="D19" s="195" t="s">
        <v>306</v>
      </c>
      <c r="E19" s="59"/>
      <c r="F19" s="59"/>
      <c r="G19" s="59"/>
      <c r="H19" s="59"/>
      <c r="I19" s="59"/>
      <c r="J19" s="59"/>
      <c r="K19" s="60"/>
      <c r="L19" s="60"/>
      <c r="M19" s="60"/>
      <c r="N19" s="131"/>
    </row>
    <row r="20" spans="1:14" ht="13.5" customHeight="1">
      <c r="A20" s="130">
        <v>14</v>
      </c>
      <c r="B20" s="254" t="s">
        <v>241</v>
      </c>
      <c r="C20" s="255" t="s">
        <v>266</v>
      </c>
      <c r="D20" s="195" t="s">
        <v>307</v>
      </c>
      <c r="E20" s="59"/>
      <c r="F20" s="59"/>
      <c r="G20" s="59"/>
      <c r="H20" s="59"/>
      <c r="I20" s="59"/>
      <c r="J20" s="59"/>
      <c r="K20" s="60"/>
      <c r="L20" s="60"/>
      <c r="M20" s="60"/>
      <c r="N20" s="131"/>
    </row>
    <row r="21" spans="1:14" ht="13.5" customHeight="1">
      <c r="A21" s="130">
        <v>15</v>
      </c>
      <c r="B21" s="254" t="s">
        <v>241</v>
      </c>
      <c r="C21" s="255" t="s">
        <v>267</v>
      </c>
      <c r="D21" s="195" t="s">
        <v>588</v>
      </c>
      <c r="E21" s="59"/>
      <c r="F21" s="59"/>
      <c r="G21" s="59"/>
      <c r="H21" s="59"/>
      <c r="I21" s="59"/>
      <c r="J21" s="59"/>
      <c r="K21" s="60"/>
      <c r="L21" s="60"/>
      <c r="M21" s="60"/>
      <c r="N21" s="131"/>
    </row>
    <row r="22" spans="1:14" ht="13.5" customHeight="1">
      <c r="A22" s="130">
        <v>16</v>
      </c>
      <c r="B22" s="254" t="s">
        <v>241</v>
      </c>
      <c r="C22" s="255" t="s">
        <v>268</v>
      </c>
      <c r="D22" s="195" t="s">
        <v>308</v>
      </c>
      <c r="E22" s="59"/>
      <c r="F22" s="59"/>
      <c r="G22" s="59"/>
      <c r="H22" s="59"/>
      <c r="I22" s="59"/>
      <c r="J22" s="59"/>
      <c r="K22" s="60"/>
      <c r="L22" s="60"/>
      <c r="M22" s="60"/>
      <c r="N22" s="131"/>
    </row>
    <row r="23" spans="1:14" ht="13.5" customHeight="1">
      <c r="A23" s="130">
        <v>17</v>
      </c>
      <c r="B23" s="254" t="s">
        <v>242</v>
      </c>
      <c r="C23" s="255" t="s">
        <v>269</v>
      </c>
      <c r="D23" s="195" t="s">
        <v>309</v>
      </c>
      <c r="E23" s="59"/>
      <c r="F23" s="59"/>
      <c r="G23" s="59"/>
      <c r="H23" s="59"/>
      <c r="I23" s="59"/>
      <c r="J23" s="59"/>
      <c r="K23" s="60"/>
      <c r="L23" s="60"/>
      <c r="M23" s="60"/>
      <c r="N23" s="131"/>
    </row>
    <row r="24" spans="1:14" ht="13.5" customHeight="1">
      <c r="A24" s="130">
        <v>18</v>
      </c>
      <c r="B24" s="254" t="s">
        <v>242</v>
      </c>
      <c r="C24" s="255" t="s">
        <v>270</v>
      </c>
      <c r="D24" s="195" t="s">
        <v>310</v>
      </c>
      <c r="E24" s="59"/>
      <c r="F24" s="59"/>
      <c r="G24" s="59"/>
      <c r="H24" s="59"/>
      <c r="I24" s="59"/>
      <c r="J24" s="59"/>
      <c r="K24" s="60"/>
      <c r="L24" s="60"/>
      <c r="M24" s="60"/>
      <c r="N24" s="131"/>
    </row>
    <row r="25" spans="1:14" ht="13.5" customHeight="1">
      <c r="A25" s="130">
        <v>19</v>
      </c>
      <c r="B25" s="254" t="s">
        <v>242</v>
      </c>
      <c r="C25" s="255" t="s">
        <v>271</v>
      </c>
      <c r="D25" s="195" t="s">
        <v>311</v>
      </c>
      <c r="E25" s="59"/>
      <c r="F25" s="59"/>
      <c r="G25" s="59"/>
      <c r="H25" s="59"/>
      <c r="I25" s="59"/>
      <c r="J25" s="59"/>
      <c r="K25" s="60"/>
      <c r="L25" s="60"/>
      <c r="M25" s="60"/>
      <c r="N25" s="131"/>
    </row>
    <row r="26" spans="1:14" ht="13.5" customHeight="1">
      <c r="A26" s="130">
        <v>20</v>
      </c>
      <c r="B26" s="254" t="s">
        <v>242</v>
      </c>
      <c r="C26" s="255" t="s">
        <v>272</v>
      </c>
      <c r="D26" s="195" t="s">
        <v>312</v>
      </c>
      <c r="E26" s="59"/>
      <c r="F26" s="59"/>
      <c r="G26" s="59"/>
      <c r="H26" s="59"/>
      <c r="I26" s="59"/>
      <c r="J26" s="59"/>
      <c r="K26" s="60"/>
      <c r="L26" s="60"/>
      <c r="M26" s="60"/>
      <c r="N26" s="131"/>
    </row>
    <row r="27" spans="1:14" ht="13.5" customHeight="1">
      <c r="A27" s="130">
        <v>21</v>
      </c>
      <c r="B27" s="254" t="s">
        <v>241</v>
      </c>
      <c r="C27" s="255" t="s">
        <v>273</v>
      </c>
      <c r="D27" s="195" t="s">
        <v>313</v>
      </c>
      <c r="E27" s="59"/>
      <c r="F27" s="59"/>
      <c r="G27" s="59"/>
      <c r="H27" s="59"/>
      <c r="I27" s="59"/>
      <c r="J27" s="59"/>
      <c r="K27" s="60"/>
      <c r="L27" s="60"/>
      <c r="M27" s="60"/>
      <c r="N27" s="131"/>
    </row>
    <row r="28" spans="1:14" ht="13.5" customHeight="1">
      <c r="A28" s="130">
        <v>22</v>
      </c>
      <c r="B28" s="254" t="s">
        <v>241</v>
      </c>
      <c r="C28" s="255" t="s">
        <v>274</v>
      </c>
      <c r="D28" s="195" t="s">
        <v>314</v>
      </c>
      <c r="E28" s="59"/>
      <c r="F28" s="59"/>
      <c r="G28" s="59"/>
      <c r="H28" s="59"/>
      <c r="I28" s="59"/>
      <c r="J28" s="59"/>
      <c r="K28" s="60"/>
      <c r="L28" s="60"/>
      <c r="M28" s="60"/>
      <c r="N28" s="131"/>
    </row>
    <row r="29" spans="1:14" ht="13.5" customHeight="1">
      <c r="A29" s="130">
        <v>23</v>
      </c>
      <c r="B29" s="254" t="s">
        <v>241</v>
      </c>
      <c r="C29" s="255" t="s">
        <v>275</v>
      </c>
      <c r="D29" s="195" t="s">
        <v>315</v>
      </c>
      <c r="E29" s="59"/>
      <c r="F29" s="59"/>
      <c r="G29" s="59"/>
      <c r="H29" s="59"/>
      <c r="I29" s="59"/>
      <c r="J29" s="59"/>
      <c r="K29" s="60"/>
      <c r="L29" s="60"/>
      <c r="M29" s="60"/>
      <c r="N29" s="131"/>
    </row>
    <row r="30" spans="1:14" ht="13.5" customHeight="1">
      <c r="A30" s="130">
        <v>24</v>
      </c>
      <c r="B30" s="254" t="s">
        <v>241</v>
      </c>
      <c r="C30" s="255" t="s">
        <v>276</v>
      </c>
      <c r="D30" s="195" t="s">
        <v>316</v>
      </c>
      <c r="E30" s="59"/>
      <c r="F30" s="59"/>
      <c r="G30" s="59"/>
      <c r="H30" s="59"/>
      <c r="I30" s="59"/>
      <c r="J30" s="59"/>
      <c r="K30" s="60"/>
      <c r="L30" s="60"/>
      <c r="M30" s="60"/>
      <c r="N30" s="131"/>
    </row>
    <row r="31" spans="1:14" ht="13.5" customHeight="1">
      <c r="A31" s="130">
        <v>25</v>
      </c>
      <c r="B31" s="254" t="s">
        <v>241</v>
      </c>
      <c r="C31" s="255" t="s">
        <v>277</v>
      </c>
      <c r="D31" s="195" t="s">
        <v>317</v>
      </c>
      <c r="E31" s="59"/>
      <c r="F31" s="59"/>
      <c r="G31" s="59"/>
      <c r="H31" s="59"/>
      <c r="I31" s="59"/>
      <c r="J31" s="59"/>
      <c r="K31" s="60"/>
      <c r="L31" s="60"/>
      <c r="M31" s="60"/>
      <c r="N31" s="131"/>
    </row>
    <row r="32" spans="1:14" ht="13.5" customHeight="1">
      <c r="A32" s="130">
        <v>26</v>
      </c>
      <c r="B32" s="254" t="s">
        <v>241</v>
      </c>
      <c r="C32" s="255" t="s">
        <v>278</v>
      </c>
      <c r="D32" s="195" t="s">
        <v>318</v>
      </c>
      <c r="E32" s="59"/>
      <c r="F32" s="59"/>
      <c r="G32" s="59"/>
      <c r="H32" s="59"/>
      <c r="I32" s="59"/>
      <c r="J32" s="59"/>
      <c r="K32" s="60"/>
      <c r="L32" s="60"/>
      <c r="M32" s="60"/>
      <c r="N32" s="131"/>
    </row>
    <row r="33" spans="1:14" ht="13.5" customHeight="1">
      <c r="A33" s="130">
        <v>27</v>
      </c>
      <c r="B33" s="254" t="s">
        <v>241</v>
      </c>
      <c r="C33" s="255" t="s">
        <v>279</v>
      </c>
      <c r="D33" s="195" t="s">
        <v>319</v>
      </c>
      <c r="E33" s="59"/>
      <c r="F33" s="59"/>
      <c r="G33" s="59"/>
      <c r="H33" s="59"/>
      <c r="I33" s="59"/>
      <c r="J33" s="59"/>
      <c r="K33" s="60"/>
      <c r="L33" s="60"/>
      <c r="M33" s="60"/>
      <c r="N33" s="131"/>
    </row>
    <row r="34" spans="1:14" ht="13.5" customHeight="1">
      <c r="A34" s="130">
        <v>28</v>
      </c>
      <c r="B34" s="254" t="s">
        <v>241</v>
      </c>
      <c r="C34" s="255" t="s">
        <v>280</v>
      </c>
      <c r="D34" s="195" t="s">
        <v>320</v>
      </c>
      <c r="E34" s="59"/>
      <c r="F34" s="59"/>
      <c r="G34" s="59"/>
      <c r="H34" s="59"/>
      <c r="I34" s="59"/>
      <c r="J34" s="59"/>
      <c r="K34" s="60"/>
      <c r="L34" s="60"/>
      <c r="M34" s="60"/>
      <c r="N34" s="131"/>
    </row>
    <row r="35" spans="1:14" ht="13.5" customHeight="1">
      <c r="A35" s="130">
        <v>29</v>
      </c>
      <c r="B35" s="254" t="s">
        <v>241</v>
      </c>
      <c r="C35" s="255" t="s">
        <v>281</v>
      </c>
      <c r="D35" s="195" t="s">
        <v>321</v>
      </c>
      <c r="E35" s="59"/>
      <c r="F35" s="59"/>
      <c r="G35" s="59"/>
      <c r="H35" s="59"/>
      <c r="I35" s="59"/>
      <c r="J35" s="59"/>
      <c r="K35" s="60"/>
      <c r="L35" s="60"/>
      <c r="M35" s="60"/>
      <c r="N35" s="131"/>
    </row>
    <row r="36" spans="1:14" ht="13.5" customHeight="1">
      <c r="A36" s="130">
        <v>30</v>
      </c>
      <c r="B36" s="254" t="s">
        <v>241</v>
      </c>
      <c r="C36" s="255" t="s">
        <v>282</v>
      </c>
      <c r="D36" s="195" t="s">
        <v>322</v>
      </c>
      <c r="E36" s="59"/>
      <c r="F36" s="59"/>
      <c r="G36" s="59"/>
      <c r="H36" s="59"/>
      <c r="I36" s="59"/>
      <c r="J36" s="59"/>
      <c r="K36" s="60"/>
      <c r="L36" s="60"/>
      <c r="M36" s="60"/>
      <c r="N36" s="131"/>
    </row>
    <row r="37" spans="1:14" ht="13.5" customHeight="1">
      <c r="A37" s="130">
        <v>31</v>
      </c>
      <c r="B37" s="254" t="s">
        <v>241</v>
      </c>
      <c r="C37" s="255" t="s">
        <v>283</v>
      </c>
      <c r="D37" s="195" t="s">
        <v>323</v>
      </c>
      <c r="E37" s="59"/>
      <c r="F37" s="59"/>
      <c r="G37" s="59"/>
      <c r="H37" s="59"/>
      <c r="I37" s="59"/>
      <c r="J37" s="59"/>
      <c r="K37" s="60"/>
      <c r="L37" s="60"/>
      <c r="M37" s="60"/>
      <c r="N37" s="131"/>
    </row>
    <row r="38" spans="1:14" ht="13.5" customHeight="1">
      <c r="A38" s="130">
        <v>32</v>
      </c>
      <c r="B38" s="254" t="s">
        <v>241</v>
      </c>
      <c r="C38" s="255" t="s">
        <v>284</v>
      </c>
      <c r="D38" s="195" t="s">
        <v>324</v>
      </c>
      <c r="E38" s="59"/>
      <c r="F38" s="59"/>
      <c r="G38" s="59"/>
      <c r="H38" s="59"/>
      <c r="I38" s="59"/>
      <c r="J38" s="59"/>
      <c r="K38" s="60"/>
      <c r="L38" s="60"/>
      <c r="M38" s="60"/>
      <c r="N38" s="131"/>
    </row>
    <row r="39" spans="1:14" ht="13.5" customHeight="1">
      <c r="A39" s="130">
        <v>33</v>
      </c>
      <c r="B39" s="254" t="s">
        <v>241</v>
      </c>
      <c r="C39" s="255" t="s">
        <v>285</v>
      </c>
      <c r="D39" s="195" t="s">
        <v>325</v>
      </c>
      <c r="E39" s="59"/>
      <c r="F39" s="59"/>
      <c r="G39" s="59"/>
      <c r="H39" s="59"/>
      <c r="I39" s="59"/>
      <c r="J39" s="59"/>
      <c r="K39" s="60"/>
      <c r="L39" s="60"/>
      <c r="M39" s="60"/>
      <c r="N39" s="131"/>
    </row>
    <row r="40" spans="1:14" ht="13.5" customHeight="1">
      <c r="A40" s="130">
        <v>34</v>
      </c>
      <c r="B40" s="254" t="s">
        <v>241</v>
      </c>
      <c r="C40" s="255" t="s">
        <v>286</v>
      </c>
      <c r="D40" s="195" t="s">
        <v>326</v>
      </c>
      <c r="E40" s="59"/>
      <c r="F40" s="59"/>
      <c r="G40" s="59"/>
      <c r="H40" s="59"/>
      <c r="I40" s="59"/>
      <c r="J40" s="59"/>
      <c r="K40" s="60"/>
      <c r="L40" s="60"/>
      <c r="M40" s="60"/>
      <c r="N40" s="131"/>
    </row>
    <row r="41" spans="1:14" ht="13.5" customHeight="1">
      <c r="A41" s="130">
        <v>35</v>
      </c>
      <c r="B41" s="254" t="s">
        <v>241</v>
      </c>
      <c r="C41" s="255" t="s">
        <v>287</v>
      </c>
      <c r="D41" s="195" t="s">
        <v>327</v>
      </c>
      <c r="E41" s="59"/>
      <c r="F41" s="59"/>
      <c r="G41" s="59"/>
      <c r="H41" s="59"/>
      <c r="I41" s="59"/>
      <c r="J41" s="59"/>
      <c r="K41" s="60"/>
      <c r="L41" s="60"/>
      <c r="M41" s="60"/>
      <c r="N41" s="131"/>
    </row>
    <row r="42" spans="1:14" ht="13.5" customHeight="1">
      <c r="A42" s="130">
        <v>36</v>
      </c>
      <c r="B42" s="254" t="s">
        <v>241</v>
      </c>
      <c r="C42" s="255" t="s">
        <v>288</v>
      </c>
      <c r="D42" s="195" t="s">
        <v>328</v>
      </c>
      <c r="E42" s="59"/>
      <c r="F42" s="59"/>
      <c r="G42" s="59"/>
      <c r="H42" s="59"/>
      <c r="I42" s="59"/>
      <c r="J42" s="59"/>
      <c r="K42" s="60"/>
      <c r="L42" s="60"/>
      <c r="M42" s="60"/>
      <c r="N42" s="131"/>
    </row>
    <row r="43" spans="1:14" ht="13.5" customHeight="1">
      <c r="A43" s="130">
        <v>37</v>
      </c>
      <c r="B43" s="254" t="s">
        <v>241</v>
      </c>
      <c r="C43" s="255" t="s">
        <v>289</v>
      </c>
      <c r="D43" s="195" t="s">
        <v>329</v>
      </c>
      <c r="E43" s="59"/>
      <c r="F43" s="59"/>
      <c r="G43" s="59"/>
      <c r="H43" s="59"/>
      <c r="I43" s="59"/>
      <c r="J43" s="59"/>
      <c r="K43" s="60"/>
      <c r="L43" s="60"/>
      <c r="M43" s="60"/>
      <c r="N43" s="131"/>
    </row>
    <row r="44" spans="1:14" ht="13.5" customHeight="1">
      <c r="A44" s="130">
        <v>38</v>
      </c>
      <c r="B44" s="254" t="s">
        <v>241</v>
      </c>
      <c r="C44" s="255" t="s">
        <v>290</v>
      </c>
      <c r="D44" s="195" t="s">
        <v>330</v>
      </c>
      <c r="E44" s="59"/>
      <c r="F44" s="59"/>
      <c r="G44" s="59"/>
      <c r="H44" s="59"/>
      <c r="I44" s="59"/>
      <c r="J44" s="59"/>
      <c r="K44" s="60"/>
      <c r="L44" s="60"/>
      <c r="M44" s="60"/>
      <c r="N44" s="131"/>
    </row>
    <row r="45" spans="1:14" ht="13.5" customHeight="1">
      <c r="A45" s="130">
        <v>39</v>
      </c>
      <c r="B45" s="254" t="s">
        <v>241</v>
      </c>
      <c r="C45" s="255" t="s">
        <v>291</v>
      </c>
      <c r="D45" s="195" t="s">
        <v>331</v>
      </c>
      <c r="E45" s="59"/>
      <c r="F45" s="59"/>
      <c r="G45" s="59"/>
      <c r="H45" s="59"/>
      <c r="I45" s="59"/>
      <c r="J45" s="59"/>
      <c r="K45" s="60"/>
      <c r="L45" s="60"/>
      <c r="M45" s="60"/>
      <c r="N45" s="131"/>
    </row>
    <row r="46" spans="1:14" ht="13.5" customHeight="1">
      <c r="A46" s="130">
        <v>40</v>
      </c>
      <c r="B46" s="254" t="s">
        <v>241</v>
      </c>
      <c r="C46" s="255" t="s">
        <v>292</v>
      </c>
      <c r="D46" s="195" t="s">
        <v>332</v>
      </c>
      <c r="E46" s="59"/>
      <c r="F46" s="59"/>
      <c r="G46" s="59"/>
      <c r="H46" s="59"/>
      <c r="I46" s="59"/>
      <c r="J46" s="59"/>
      <c r="K46" s="60"/>
      <c r="L46" s="60"/>
      <c r="M46" s="60"/>
      <c r="N46" s="131"/>
    </row>
    <row r="47" spans="1:14" ht="13.5" customHeight="1">
      <c r="A47" s="130">
        <v>41</v>
      </c>
      <c r="B47" s="254" t="s">
        <v>241</v>
      </c>
      <c r="C47" s="255" t="s">
        <v>293</v>
      </c>
      <c r="D47" s="195" t="s">
        <v>333</v>
      </c>
      <c r="E47" s="59"/>
      <c r="F47" s="59"/>
      <c r="G47" s="59"/>
      <c r="H47" s="59"/>
      <c r="I47" s="59"/>
      <c r="J47" s="59"/>
      <c r="K47" s="60"/>
      <c r="L47" s="60"/>
      <c r="M47" s="60"/>
      <c r="N47" s="131"/>
    </row>
    <row r="48" spans="1:14" ht="13.5" customHeight="1" thickBot="1">
      <c r="A48" s="248">
        <v>42</v>
      </c>
      <c r="B48" s="256" t="s">
        <v>241</v>
      </c>
      <c r="C48" s="257" t="s">
        <v>453</v>
      </c>
      <c r="D48" s="249" t="s">
        <v>455</v>
      </c>
      <c r="E48" s="250"/>
      <c r="F48" s="250"/>
      <c r="G48" s="250"/>
      <c r="H48" s="250"/>
      <c r="I48" s="250"/>
      <c r="J48" s="250"/>
      <c r="K48" s="191"/>
      <c r="L48" s="191"/>
      <c r="M48" s="191"/>
      <c r="N48" s="251"/>
    </row>
    <row r="59" ht="16.5" customHeight="1"/>
    <row r="60" ht="16.5" customHeight="1"/>
    <row r="61" ht="16.5" customHeight="1"/>
    <row r="62" ht="16.5" customHeight="1"/>
    <row r="63" ht="16.5" customHeight="1"/>
    <row r="6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  <row r="109" ht="16.5" customHeight="1"/>
    <row r="110" ht="16.5" customHeight="1"/>
    <row r="111" ht="16.5" customHeight="1"/>
    <row r="1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</sheetData>
  <autoFilter ref="A6:N48" xr:uid="{00000000-0009-0000-0000-00000C000000}"/>
  <mergeCells count="7">
    <mergeCell ref="A5:A6"/>
    <mergeCell ref="E1:N1"/>
    <mergeCell ref="E2:N2"/>
    <mergeCell ref="E3:N3"/>
    <mergeCell ref="E4:N4"/>
    <mergeCell ref="B5:D5"/>
    <mergeCell ref="E5:N5"/>
  </mergeCells>
  <phoneticPr fontId="1" type="noConversion"/>
  <conditionalFormatting sqref="K7:K48">
    <cfRule type="cellIs" dxfId="24" priority="13" operator="equal">
      <formula>"인터뷰"</formula>
    </cfRule>
    <cfRule type="cellIs" dxfId="23" priority="14" stopIfTrue="1" operator="equal">
      <formula>"취약"</formula>
    </cfRule>
    <cfRule type="cellIs" dxfId="22" priority="15" stopIfTrue="1" operator="equal">
      <formula>"부분만족"</formula>
    </cfRule>
    <cfRule type="cellIs" dxfId="21" priority="16" stopIfTrue="1" operator="equal">
      <formula>"N/A"</formula>
    </cfRule>
  </conditionalFormatting>
  <conditionalFormatting sqref="L7:M48">
    <cfRule type="cellIs" dxfId="20" priority="5" operator="equal">
      <formula>"인터뷰"</formula>
    </cfRule>
    <cfRule type="cellIs" dxfId="19" priority="6" stopIfTrue="1" operator="equal">
      <formula>"취약"</formula>
    </cfRule>
    <cfRule type="cellIs" dxfId="18" priority="7" stopIfTrue="1" operator="equal">
      <formula>"부분만족"</formula>
    </cfRule>
    <cfRule type="cellIs" dxfId="17" priority="8" stopIfTrue="1" operator="equal">
      <formula>"N/A"</formula>
    </cfRule>
  </conditionalFormatting>
  <conditionalFormatting sqref="N7:N48">
    <cfRule type="cellIs" dxfId="16" priority="1" operator="equal">
      <formula>"인터뷰"</formula>
    </cfRule>
    <cfRule type="cellIs" dxfId="15" priority="2" stopIfTrue="1" operator="equal">
      <formula>"취약"</formula>
    </cfRule>
    <cfRule type="cellIs" dxfId="14" priority="3" stopIfTrue="1" operator="equal">
      <formula>"부분만족"</formula>
    </cfRule>
    <cfRule type="cellIs" dxfId="13" priority="4" stopIfTrue="1" operator="equal">
      <formula>"N/A"</formula>
    </cfRule>
  </conditionalFormatting>
  <printOptions horizontalCentered="1"/>
  <pageMargins left="0.39370078740157483" right="0.39370078740157483" top="0.59055118110236227" bottom="0.59055118110236227" header="0.19685039370078741" footer="0.19685039370078741"/>
  <pageSetup paperSize="9" scale="76" fitToHeight="0" orientation="portrait" r:id="rId1"/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33" r:id="rId5" name="Button 5">
              <controlPr defaultSize="0" print="0" autoFill="0" autoPict="0" macro="[0]!text_to_excel">
                <anchor moveWithCells="1" sizeWithCells="1">
                  <from>
                    <xdr:col>0</xdr:col>
                    <xdr:colOff>361950</xdr:colOff>
                    <xdr:row>1</xdr:row>
                    <xdr:rowOff>19050</xdr:rowOff>
                  </from>
                  <to>
                    <xdr:col>3</xdr:col>
                    <xdr:colOff>257175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pageSetUpPr fitToPage="1"/>
  </sheetPr>
  <dimension ref="A2:P74"/>
  <sheetViews>
    <sheetView showGridLines="0" view="pageBreakPreview" zoomScale="85" zoomScaleNormal="85" zoomScaleSheetLayoutView="85" workbookViewId="0">
      <pane ySplit="5" topLeftCell="A6" activePane="bottomLeft" state="frozen"/>
      <selection pane="bottomLeft"/>
    </sheetView>
  </sheetViews>
  <sheetFormatPr defaultColWidth="10" defaultRowHeight="13.5"/>
  <cols>
    <col min="1" max="1" width="4.625" style="68" customWidth="1"/>
    <col min="2" max="2" width="9.625" style="68" bestFit="1" customWidth="1"/>
    <col min="3" max="3" width="9.625" style="68" customWidth="1"/>
    <col min="4" max="4" width="7.75" style="68" bestFit="1" customWidth="1"/>
    <col min="5" max="5" width="12.75" style="68" bestFit="1" customWidth="1"/>
    <col min="6" max="6" width="11.625" style="68" bestFit="1" customWidth="1"/>
    <col min="7" max="7" width="6.625" style="68" bestFit="1" customWidth="1"/>
    <col min="8" max="9" width="9.75" style="68" customWidth="1"/>
    <col min="10" max="10" width="9.25" style="68" customWidth="1"/>
    <col min="11" max="11" width="48.125" style="5" bestFit="1" customWidth="1"/>
    <col min="12" max="12" width="9.75" style="68" customWidth="1"/>
    <col min="13" max="13" width="6.625" style="68" customWidth="1"/>
    <col min="14" max="14" width="12.75" style="5" bestFit="1" customWidth="1"/>
    <col min="15" max="15" width="12.75" style="68" customWidth="1"/>
    <col min="16" max="16" width="12.75" style="68" bestFit="1" customWidth="1"/>
    <col min="17" max="30" width="10" style="68"/>
    <col min="31" max="31" width="2.625" style="68" customWidth="1"/>
    <col min="32" max="16384" width="10" style="68"/>
  </cols>
  <sheetData>
    <row r="2" spans="1:16" ht="17.25">
      <c r="A2" s="113" t="s">
        <v>540</v>
      </c>
    </row>
    <row r="3" spans="1:16" ht="5.0999999999999996" customHeight="1" thickBot="1"/>
    <row r="4" spans="1:16" ht="16.5" customHeight="1">
      <c r="A4" s="530" t="s">
        <v>113</v>
      </c>
      <c r="B4" s="528" t="s">
        <v>133</v>
      </c>
      <c r="C4" s="532"/>
      <c r="D4" s="532"/>
      <c r="E4" s="532"/>
      <c r="F4" s="532"/>
      <c r="G4" s="532"/>
      <c r="H4" s="530"/>
      <c r="I4" s="527" t="s">
        <v>138</v>
      </c>
      <c r="J4" s="533"/>
      <c r="K4" s="533"/>
      <c r="L4" s="533"/>
      <c r="M4" s="533"/>
      <c r="N4" s="533"/>
      <c r="O4" s="518"/>
      <c r="P4" s="528" t="s">
        <v>112</v>
      </c>
    </row>
    <row r="5" spans="1:16" ht="27.75" customHeight="1" thickBot="1">
      <c r="A5" s="531"/>
      <c r="B5" s="128" t="s">
        <v>144</v>
      </c>
      <c r="C5" s="128" t="s">
        <v>135</v>
      </c>
      <c r="D5" s="128" t="s">
        <v>131</v>
      </c>
      <c r="E5" s="128" t="s">
        <v>119</v>
      </c>
      <c r="F5" s="128" t="s">
        <v>123</v>
      </c>
      <c r="G5" s="128" t="s">
        <v>122</v>
      </c>
      <c r="H5" s="128" t="s">
        <v>132</v>
      </c>
      <c r="I5" s="128" t="s">
        <v>147</v>
      </c>
      <c r="J5" s="128" t="s">
        <v>108</v>
      </c>
      <c r="K5" s="128" t="s">
        <v>110</v>
      </c>
      <c r="L5" s="128" t="s">
        <v>130</v>
      </c>
      <c r="M5" s="128" t="s">
        <v>97</v>
      </c>
      <c r="N5" s="128" t="s">
        <v>111</v>
      </c>
      <c r="O5" s="112" t="s">
        <v>143</v>
      </c>
      <c r="P5" s="529"/>
    </row>
    <row r="6" spans="1:16" s="262" customFormat="1" ht="13.5" customHeight="1">
      <c r="A6" s="210">
        <f>ROW()-5</f>
        <v>1</v>
      </c>
      <c r="B6" s="211" t="str">
        <f ca="1">VLOOKUP(QUOTIENT($A6-1,42)+1,점검대상!$A:$K,2,)</f>
        <v>SS(샘플)</v>
      </c>
      <c r="C6" s="211" t="str">
        <f ca="1">VLOOKUP(QUOTIENT($A6-1,42)+1,점검대상!$A:$K,3,)</f>
        <v>FW</v>
      </c>
      <c r="D6" s="211" t="str">
        <f ca="1">VLOOKUP(QUOTIENT($A6-1,42)+1,점검대상!$A:$K,4,)</f>
        <v>127.0.0.1</v>
      </c>
      <c r="E6" s="211" t="str">
        <f ca="1">VLOOKUP(QUOTIENT($A6-1,42)+1,점검대상!$A:$K,5,)</f>
        <v>파일 서버 용도</v>
      </c>
      <c r="F6" s="211" t="str">
        <f ca="1">VLOOKUP(QUOTIENT($A6-1,42)+1,점검대상!$A:$K,6,)</f>
        <v>시스템운영팀</v>
      </c>
      <c r="G6" s="211" t="str">
        <f ca="1">VLOOKUP(QUOTIENT($A6-1,42)+1,점검대상!$A:$K,7,)</f>
        <v>김담당</v>
      </c>
      <c r="H6" s="212" t="str">
        <f ca="1">VLOOKUP(QUOTIENT($A6-1,42)+1,점검대상!$A:$K,11,)</f>
        <v>상</v>
      </c>
      <c r="I6" s="258" t="str">
        <f>VLOOKUP($A6-((QUOTIENT($A6-1,42)+1)-1)*42,'#숨김. 정보보호시스템 보안 가이드'!$A:$P,2,)</f>
        <v>보안 관리</v>
      </c>
      <c r="J6" s="258" t="str">
        <f>VLOOKUP($A6-((QUOTIENT($A6-1,42)+1)-1)*42,'#숨김. 정보보호시스템 보안 가이드'!$A:$P,3,)</f>
        <v>ISS-001</v>
      </c>
      <c r="K6" s="259" t="str">
        <f>VLOOKUP($A6-((QUOTIENT($A6-1,42)+1)-1)*42,'#숨김. 정보보호시스템 보안 가이드'!$A:$P,4,)</f>
        <v>보안장비 정책 및 로그 백업 설정</v>
      </c>
      <c r="L6" s="260">
        <f>VLOOKUP($A6-((QUOTIENT($A6-1,42)+1)-1)*42,'#숨김. 정보보호시스템 보안 가이드'!$A:$P,7,)</f>
        <v>4</v>
      </c>
      <c r="M6" s="213" t="s">
        <v>584</v>
      </c>
      <c r="N6" s="261" t="s">
        <v>484</v>
      </c>
      <c r="O6" s="261" t="str">
        <f>IF(EXACT($M6,"취약"),VLOOKUP($A6-((QUOTIENT($A6-1,42)+1)-1)*42,'#숨김. 정보보호시스템 보안 가이드'!$A:$P,16,),"-")</f>
        <v>정기적으로 정책 및 로그에 대해 백업을 실시</v>
      </c>
      <c r="P6" s="261"/>
    </row>
    <row r="12" spans="1:16" ht="16.5" customHeight="1"/>
    <row r="13" spans="1:16" ht="16.5" customHeight="1"/>
    <row r="14" spans="1:16" ht="16.5" customHeight="1"/>
    <row r="15" spans="1:16" ht="16.5" customHeight="1"/>
    <row r="16" spans="1:16" ht="16.5" customHeight="1"/>
    <row r="17" ht="16.5" customHeight="1"/>
    <row r="18" ht="16.5" customHeight="1"/>
    <row r="19" ht="16.5" customHeight="1"/>
    <row r="20" ht="16.5" customHeight="1"/>
    <row r="21" ht="16.5" customHeight="1"/>
    <row r="22" ht="16.5" customHeight="1"/>
    <row r="23" ht="16.5" customHeight="1"/>
    <row r="24" ht="16.5" customHeight="1"/>
    <row r="25" ht="16.5" customHeight="1"/>
    <row r="26" ht="16.5" customHeight="1"/>
    <row r="27" ht="16.5" customHeight="1"/>
    <row r="28" ht="16.5" customHeight="1"/>
    <row r="29" ht="16.5" customHeight="1"/>
    <row r="30" ht="16.5" customHeight="1"/>
    <row r="31" ht="16.5" customHeight="1"/>
    <row r="32" ht="16.5" customHeight="1"/>
    <row r="33" ht="16.5" customHeight="1"/>
    <row r="34" ht="16.5" customHeight="1"/>
    <row r="35" ht="16.5" customHeight="1"/>
    <row r="36" ht="16.5" customHeight="1"/>
    <row r="37" ht="16.5" customHeight="1"/>
    <row r="38" ht="16.5" customHeight="1"/>
    <row r="39" ht="16.5" customHeight="1"/>
    <row r="40" ht="16.5" customHeight="1"/>
    <row r="41" ht="16.5" customHeight="1"/>
    <row r="42" ht="16.5" customHeight="1"/>
    <row r="43" ht="16.5" customHeight="1"/>
    <row r="44" ht="16.5" customHeight="1"/>
    <row r="45" ht="16.5" customHeight="1"/>
    <row r="46" ht="16.5" customHeight="1"/>
    <row r="47" ht="16.5" customHeight="1"/>
    <row r="48" ht="16.5" customHeight="1"/>
    <row r="49" ht="16.5" customHeight="1"/>
    <row r="50" ht="16.5" customHeight="1"/>
    <row r="51" ht="16.5" customHeight="1"/>
    <row r="52" ht="16.5" customHeight="1"/>
    <row r="53" ht="16.5" customHeight="1"/>
    <row r="54" ht="16.5" customHeight="1"/>
    <row r="55" ht="16.5" customHeight="1"/>
    <row r="56" ht="16.5" customHeight="1"/>
    <row r="57" ht="16.5" customHeight="1"/>
    <row r="58" ht="16.5" customHeight="1"/>
    <row r="59" ht="16.5" customHeight="1"/>
    <row r="60" ht="16.5" customHeight="1"/>
    <row r="61" ht="16.5" customHeight="1"/>
    <row r="62" ht="16.5" customHeight="1"/>
    <row r="63" ht="16.5" customHeight="1"/>
    <row r="6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</sheetData>
  <autoFilter ref="A5:P6" xr:uid="{00000000-0009-0000-0000-00000D000000}"/>
  <mergeCells count="4">
    <mergeCell ref="P4:P5"/>
    <mergeCell ref="A4:A5"/>
    <mergeCell ref="B4:H4"/>
    <mergeCell ref="I4:O4"/>
  </mergeCells>
  <phoneticPr fontId="1" type="noConversion"/>
  <conditionalFormatting sqref="M1:M3 M5 M7:M1048576">
    <cfRule type="cellIs" dxfId="12" priority="38" operator="equal">
      <formula>"인터뷰"</formula>
    </cfRule>
    <cfRule type="cellIs" dxfId="11" priority="60" stopIfTrue="1" operator="equal">
      <formula>"취약"</formula>
    </cfRule>
    <cfRule type="cellIs" dxfId="10" priority="61" stopIfTrue="1" operator="equal">
      <formula>"부분만족"</formula>
    </cfRule>
    <cfRule type="cellIs" dxfId="9" priority="62" stopIfTrue="1" operator="equal">
      <formula>"N/A"</formula>
    </cfRule>
  </conditionalFormatting>
  <conditionalFormatting sqref="M6">
    <cfRule type="cellIs" dxfId="8" priority="5" operator="equal">
      <formula>"인터뷰"</formula>
    </cfRule>
    <cfRule type="cellIs" dxfId="7" priority="6" stopIfTrue="1" operator="equal">
      <formula>"취약"</formula>
    </cfRule>
    <cfRule type="cellIs" dxfId="6" priority="7" stopIfTrue="1" operator="equal">
      <formula>"부분만족"</formula>
    </cfRule>
    <cfRule type="cellIs" dxfId="5" priority="8" stopIfTrue="1" operator="equal">
      <formula>"N/A"</formula>
    </cfRule>
  </conditionalFormatting>
  <dataValidations count="2">
    <dataValidation allowBlank="1" showInputMessage="1" showErrorMessage="1" errorTitle="잘못된 입력값" error="&quot;Y&quot;, &quot;N&quot;, &quot;P&quot;, &quot;N/A&quot; 로 입력해 주세요." sqref="M982969:M983041 M65465:M65537 M131001:M131073 M196537:M196609 M262073:M262145 M327609:M327681 M393145:M393217 M458681:M458753 M524217:M524289 M589753:M589825 M655289:M655361 M720825:M720897 M786361:M786433 M851897:M851969 M917433:M917505" xr:uid="{00000000-0002-0000-0D00-000000000000}"/>
    <dataValidation type="list" showInputMessage="1" showErrorMessage="1" errorTitle="잘못된 입력값" error="양호, 취약, 부분만족, N/A 만 입력 가능합니다." sqref="M6" xr:uid="{00000000-0002-0000-0D00-000001000000}">
      <formula1>"양호,취약,부분만족,N/A,인터뷰"</formula1>
    </dataValidation>
  </dataValidations>
  <printOptions horizontalCentered="1"/>
  <pageMargins left="0.25" right="0.25" top="0.75" bottom="0.75" header="0.3" footer="0.3"/>
  <pageSetup paperSize="9" scale="67" fitToHeight="0" orientation="landscape" r:id="rId1"/>
  <legacyDrawingHF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2">
    <pageSetUpPr fitToPage="1"/>
  </sheetPr>
  <dimension ref="A2:R131"/>
  <sheetViews>
    <sheetView showGridLines="0" view="pageBreakPreview" zoomScale="85" zoomScaleNormal="85" zoomScaleSheetLayoutView="85" workbookViewId="0">
      <pane ySplit="16" topLeftCell="A17" activePane="bottomLeft" state="frozen"/>
      <selection pane="bottomLeft"/>
    </sheetView>
  </sheetViews>
  <sheetFormatPr defaultColWidth="10" defaultRowHeight="13.5"/>
  <cols>
    <col min="1" max="17" width="6.625" style="5" customWidth="1"/>
    <col min="18" max="18" width="24.625" style="5" customWidth="1"/>
    <col min="19" max="32" width="10" style="5"/>
    <col min="33" max="33" width="2.625" style="5" customWidth="1"/>
    <col min="34" max="16384" width="10" style="5"/>
  </cols>
  <sheetData>
    <row r="2" spans="1:18" ht="18" customHeight="1">
      <c r="A2" s="44" t="s">
        <v>479</v>
      </c>
      <c r="B2" s="42"/>
      <c r="C2" s="42"/>
      <c r="D2" s="42"/>
      <c r="G2" s="42"/>
      <c r="H2" s="42"/>
      <c r="I2" s="42"/>
      <c r="J2" s="42"/>
      <c r="K2" s="42"/>
      <c r="Q2" s="189"/>
      <c r="R2" s="189" t="str">
        <f ca="1">HYPERLINK("[" &amp; MID(CELL("filename"),SEARCH("[",CELL("filename"))+1, SEARCH("]",CELL("filename"))-SEARCH("[",CELL("filename"))-1) &amp; "]'" &amp; "점검대상" &amp; "'!A1","[목차 바로가기]")</f>
        <v>[목차 바로가기]</v>
      </c>
    </row>
    <row r="3" spans="1:18" ht="4.5" customHeight="1" thickBot="1">
      <c r="A3" s="43"/>
      <c r="B3" s="43"/>
      <c r="C3" s="43"/>
      <c r="D3" s="43"/>
      <c r="E3" s="43"/>
      <c r="F3" s="43"/>
      <c r="K3" s="43"/>
    </row>
    <row r="4" spans="1:18" ht="27.75" customHeight="1" thickBot="1">
      <c r="A4" s="559" t="s">
        <v>70</v>
      </c>
      <c r="B4" s="565"/>
      <c r="C4" s="565" t="s">
        <v>71</v>
      </c>
      <c r="D4" s="565"/>
      <c r="E4" s="565" t="s">
        <v>95</v>
      </c>
      <c r="F4" s="565"/>
      <c r="G4" s="565" t="s">
        <v>46</v>
      </c>
      <c r="H4" s="565"/>
      <c r="I4" s="557" t="s">
        <v>478</v>
      </c>
      <c r="J4" s="559"/>
      <c r="K4" s="557" t="s">
        <v>122</v>
      </c>
      <c r="L4" s="558"/>
      <c r="M4" s="559"/>
      <c r="N4" s="557" t="s">
        <v>476</v>
      </c>
      <c r="O4" s="559"/>
      <c r="P4" s="557" t="s">
        <v>477</v>
      </c>
      <c r="Q4" s="559"/>
    </row>
    <row r="5" spans="1:18" ht="16.5" customHeight="1" thickBot="1">
      <c r="A5" s="567" t="str">
        <f ca="1">MID(CELL("filename",$A$1),FIND("]",CELL("filename",$A$1))+1,100)</f>
        <v>SS(샘플)</v>
      </c>
      <c r="B5" s="566"/>
      <c r="C5" s="566" t="str">
        <f ca="1">IFERROR(VLOOKUP($A$5,점검대상!$B:$K,3,FALSE),"-")</f>
        <v>127.0.0.1</v>
      </c>
      <c r="D5" s="566"/>
      <c r="E5" s="566" t="str">
        <f ca="1">IFERROR(VLOOKUP($A$5,점검대상!$B:$K,2,FALSE),"-")</f>
        <v>FW</v>
      </c>
      <c r="F5" s="566"/>
      <c r="G5" s="566" t="str">
        <f ca="1">IFERROR(VLOOKUP($A$5,점검대상!$B:$K,4,FALSE),"-")</f>
        <v>파일 서버 용도</v>
      </c>
      <c r="H5" s="566"/>
      <c r="I5" s="560" t="str">
        <f ca="1">IFERROR(VLOOKUP($A$5,점검대상!$B:$K,5,FALSE),"-")</f>
        <v>시스템운영팀</v>
      </c>
      <c r="J5" s="562"/>
      <c r="K5" s="560" t="str">
        <f ca="1">IFERROR(VLOOKUP($A$5,점검대상!$B:$K,6,FALSE),"-")</f>
        <v>김담당</v>
      </c>
      <c r="L5" s="561"/>
      <c r="M5" s="562"/>
      <c r="N5" s="572" t="str">
        <f ca="1">IFERROR(VLOOKUP($A$5,점검대상!$B:$K,10,FALSE),"-")</f>
        <v>상</v>
      </c>
      <c r="O5" s="567"/>
      <c r="P5" s="570" t="e">
        <f ca="1">K12</f>
        <v>#N/A</v>
      </c>
      <c r="Q5" s="571"/>
    </row>
    <row r="6" spans="1:18" ht="18" hidden="1" thickBot="1">
      <c r="A6" s="45" t="s">
        <v>480</v>
      </c>
    </row>
    <row r="7" spans="1:18" hidden="1">
      <c r="A7" s="540" t="s">
        <v>72</v>
      </c>
      <c r="B7" s="541"/>
      <c r="C7" s="541"/>
      <c r="D7" s="541" t="s">
        <v>73</v>
      </c>
      <c r="E7" s="541"/>
      <c r="F7" s="541"/>
      <c r="G7" s="541"/>
      <c r="H7" s="541"/>
      <c r="I7" s="541" t="s">
        <v>36</v>
      </c>
      <c r="J7" s="541"/>
      <c r="K7" s="564"/>
    </row>
    <row r="8" spans="1:18" ht="13.5" hidden="1" customHeight="1" thickBot="1">
      <c r="A8" s="542"/>
      <c r="B8" s="543"/>
      <c r="C8" s="543"/>
      <c r="D8" s="125" t="s">
        <v>74</v>
      </c>
      <c r="E8" s="125" t="s">
        <v>37</v>
      </c>
      <c r="F8" s="125" t="s">
        <v>75</v>
      </c>
      <c r="G8" s="125" t="s">
        <v>76</v>
      </c>
      <c r="H8" s="125" t="s">
        <v>50</v>
      </c>
      <c r="I8" s="125" t="s">
        <v>51</v>
      </c>
      <c r="J8" s="125" t="s">
        <v>52</v>
      </c>
      <c r="K8" s="126" t="s">
        <v>53</v>
      </c>
    </row>
    <row r="9" spans="1:18" hidden="1">
      <c r="A9" s="547" t="str">
        <f>'보안수준 통계'!A11</f>
        <v>보안 관리</v>
      </c>
      <c r="B9" s="548"/>
      <c r="C9" s="548"/>
      <c r="D9" s="124">
        <f>COUNTIF($A$17:$B$58,$A9)</f>
        <v>37</v>
      </c>
      <c r="E9" s="124" t="e">
        <f ca="1">$D9-H9</f>
        <v>#N/A</v>
      </c>
      <c r="F9" s="58" t="e" cm="1">
        <f t="array" aca="1" ref="F9" ca="1">SUMPRODUCT(($A$17:$B$58=$A9)*($M$17:$M$58=F$8))</f>
        <v>#N/A</v>
      </c>
      <c r="G9" s="58" t="e" cm="1">
        <f t="array" aca="1" ref="G9" ca="1">SUMPRODUCT(($A$17:$B$58=$A9)*($M$17:$M$58=G$8))</f>
        <v>#N/A</v>
      </c>
      <c r="H9" s="58" t="e" cm="1">
        <f t="array" aca="1" ref="H9" ca="1">SUMPRODUCT(($A$17:$B$58=$A9)*($M$17:$M$58="N/A"))</f>
        <v>#N/A</v>
      </c>
      <c r="I9" s="51" t="e">
        <f ca="1">SUMIF($A$17:$B$58,$A9,$L$17:$L$58)</f>
        <v>#N/A</v>
      </c>
      <c r="J9" s="51">
        <f ca="1">SUMIFS($L$17:$L$58,$A$17:$A$58,$A9,$M$17:$M$58,"양호")</f>
        <v>0</v>
      </c>
      <c r="K9" s="205" t="e">
        <f ca="1">IF(I9=0,"N/A",J9/I9)</f>
        <v>#N/A</v>
      </c>
    </row>
    <row r="10" spans="1:18" hidden="1">
      <c r="A10" s="549" t="str">
        <f>'보안수준 통계'!A12</f>
        <v>사용자 인증</v>
      </c>
      <c r="B10" s="550"/>
      <c r="C10" s="550"/>
      <c r="D10" s="124">
        <f>COUNTIF($A$17:$B$58,$A10)</f>
        <v>4</v>
      </c>
      <c r="E10" s="58" t="e">
        <f ca="1">$D10-H10</f>
        <v>#N/A</v>
      </c>
      <c r="F10" s="58" t="e" cm="1">
        <f t="array" aca="1" ref="F10" ca="1">SUMPRODUCT(($A$17:$B$58=$A10)*($M$17:$M$58=F$8))</f>
        <v>#N/A</v>
      </c>
      <c r="G10" s="58" t="e" cm="1">
        <f t="array" aca="1" ref="G10" ca="1">SUMPRODUCT(($A$17:$B$58=$A10)*($M$17:$M$58=G$8))</f>
        <v>#N/A</v>
      </c>
      <c r="H10" s="58" t="e" cm="1">
        <f t="array" aca="1" ref="H10" ca="1">SUMPRODUCT(($A$17:$B$58=$A10)*($M$17:$M$58="N/A"))</f>
        <v>#N/A</v>
      </c>
      <c r="I10" s="51" t="e">
        <f ca="1">SUMIF($A$17:$B$58,$A10,$L$17:$L$58)</f>
        <v>#N/A</v>
      </c>
      <c r="J10" s="51">
        <f ca="1">SUMIFS($L$17:$L$58,$A$17:$A$58,$A10,$M$17:$M$58,"양호")</f>
        <v>0</v>
      </c>
      <c r="K10" s="206" t="e">
        <f ca="1">IF(I10=0,"N/A",J10/I10)</f>
        <v>#N/A</v>
      </c>
    </row>
    <row r="11" spans="1:18" ht="14.25" hidden="1" thickBot="1">
      <c r="A11" s="549" t="str">
        <f>'보안수준 통계'!A13</f>
        <v>패치 관리</v>
      </c>
      <c r="B11" s="550"/>
      <c r="C11" s="550"/>
      <c r="D11" s="124">
        <f>COUNTIF($A$17:$B$58,$A11)</f>
        <v>1</v>
      </c>
      <c r="E11" s="58" t="e">
        <f ca="1">$D11-H11</f>
        <v>#N/A</v>
      </c>
      <c r="F11" s="58" t="e" cm="1">
        <f t="array" aca="1" ref="F11" ca="1">SUMPRODUCT(($A$17:$B$58=$A11)*($M$17:$M$58=F$8))</f>
        <v>#N/A</v>
      </c>
      <c r="G11" s="58" t="e" cm="1">
        <f t="array" aca="1" ref="G11" ca="1">SUMPRODUCT(($A$17:$B$58=$A11)*($M$17:$M$58=G$8))</f>
        <v>#N/A</v>
      </c>
      <c r="H11" s="58" t="e" cm="1">
        <f t="array" aca="1" ref="H11" ca="1">SUMPRODUCT(($A$17:$B$58=$A11)*($M$17:$M$58="N/A"))</f>
        <v>#N/A</v>
      </c>
      <c r="I11" s="51" t="e">
        <f ca="1">SUMIF($A$17:$B$58,$A11,$L$17:$L$58)</f>
        <v>#N/A</v>
      </c>
      <c r="J11" s="51">
        <f ca="1">SUMIFS($L$17:$L$58,$A$17:$A$58,$A11,$M$17:$M$58,"양호")</f>
        <v>0</v>
      </c>
      <c r="K11" s="206" t="e">
        <f ca="1">IF(I11=0,"N/A",J11/I11)</f>
        <v>#N/A</v>
      </c>
    </row>
    <row r="12" spans="1:18" ht="14.25" hidden="1" thickBot="1">
      <c r="A12" s="552" t="s">
        <v>67</v>
      </c>
      <c r="B12" s="553"/>
      <c r="C12" s="553"/>
      <c r="D12" s="127">
        <f t="shared" ref="D12:E12" si="0">SUM(D9:D11)</f>
        <v>42</v>
      </c>
      <c r="E12" s="127" t="e">
        <f t="shared" ca="1" si="0"/>
        <v>#N/A</v>
      </c>
      <c r="F12" s="127" t="e">
        <f ca="1">SUM(F9:F11)</f>
        <v>#N/A</v>
      </c>
      <c r="G12" s="127" t="e">
        <f ca="1">SUM(G9:G11)</f>
        <v>#N/A</v>
      </c>
      <c r="H12" s="127" t="e">
        <f ca="1">SUM(H9:H11)</f>
        <v>#N/A</v>
      </c>
      <c r="I12" s="127" t="e">
        <f ca="1">SUM(I9:I11)</f>
        <v>#N/A</v>
      </c>
      <c r="J12" s="127">
        <f ca="1">SUM(J9:J11)</f>
        <v>0</v>
      </c>
      <c r="K12" s="207" t="e">
        <f ca="1">IF(I12=0,"N/A",J12/I12)</f>
        <v>#N/A</v>
      </c>
    </row>
    <row r="13" spans="1:18" ht="4.5" customHeight="1"/>
    <row r="14" spans="1:18" ht="17.25">
      <c r="A14" s="45" t="s">
        <v>475</v>
      </c>
      <c r="R14" s="190"/>
    </row>
    <row r="15" spans="1:18" ht="4.5" customHeight="1" thickBot="1"/>
    <row r="16" spans="1:18" ht="27.75" customHeight="1" thickBot="1">
      <c r="A16" s="556" t="s">
        <v>56</v>
      </c>
      <c r="B16" s="539"/>
      <c r="C16" s="539" t="s">
        <v>15</v>
      </c>
      <c r="D16" s="539"/>
      <c r="E16" s="539"/>
      <c r="F16" s="539"/>
      <c r="G16" s="539"/>
      <c r="H16" s="539"/>
      <c r="I16" s="539"/>
      <c r="J16" s="539"/>
      <c r="K16" s="106" t="s">
        <v>10</v>
      </c>
      <c r="L16" s="106" t="s">
        <v>96</v>
      </c>
      <c r="M16" s="106" t="s">
        <v>97</v>
      </c>
      <c r="N16" s="568" t="s">
        <v>68</v>
      </c>
      <c r="O16" s="569"/>
      <c r="P16" s="569"/>
      <c r="Q16" s="556"/>
      <c r="R16" s="107" t="s">
        <v>69</v>
      </c>
    </row>
    <row r="17" spans="1:18" ht="13.5" customHeight="1">
      <c r="A17" s="544" t="s">
        <v>241</v>
      </c>
      <c r="B17" s="545"/>
      <c r="C17" s="555" t="s">
        <v>253</v>
      </c>
      <c r="D17" s="555"/>
      <c r="E17" s="546" t="s">
        <v>294</v>
      </c>
      <c r="F17" s="546"/>
      <c r="G17" s="546"/>
      <c r="H17" s="546"/>
      <c r="I17" s="546"/>
      <c r="J17" s="546"/>
      <c r="K17" s="265" t="s">
        <v>33</v>
      </c>
      <c r="L17" s="237">
        <f ca="1">IF(M17="N/A","-",'요약 통계'!E6)</f>
        <v>4</v>
      </c>
      <c r="M17" s="266" t="str">
        <f t="array" aca="1" ref="M17" ca="1">INDEX('통합 점검결과'!$M:$M,MATCH(1,('통합 점검결과'!$B:$B=$A$5)*('통합 점검결과'!$J:$J=$C17),0))</f>
        <v>취약</v>
      </c>
      <c r="N17" s="573" t="str" cm="1">
        <f t="array" aca="1" ref="N17" ca="1">INDEX('통합 점검결과'!$N:$N,MATCH(1,('통합 점검결과'!$B:$B=$A$5)*('통합 점검결과'!$J:$J=$C17),0))</f>
        <v>정책 및 로그에 대한 백업을 하지 않음</v>
      </c>
      <c r="O17" s="574"/>
      <c r="P17" s="574"/>
      <c r="Q17" s="575"/>
      <c r="R17" s="263" t="str">
        <f t="array" aca="1" ref="R17" ca="1">INDEX('통합 점검결과'!$O:$O,MATCH(1,('통합 점검결과'!$B:$B=$A$5)*('통합 점검결과'!$J:$J=$C17),0))</f>
        <v>정기적으로 정책 및 로그에 대해 백업을 실시</v>
      </c>
    </row>
    <row r="18" spans="1:18" ht="13.5" customHeight="1">
      <c r="A18" s="534" t="s">
        <v>241</v>
      </c>
      <c r="B18" s="535"/>
      <c r="C18" s="554" t="s">
        <v>254</v>
      </c>
      <c r="D18" s="554"/>
      <c r="E18" s="538" t="s">
        <v>295</v>
      </c>
      <c r="F18" s="538"/>
      <c r="G18" s="538"/>
      <c r="H18" s="538"/>
      <c r="I18" s="538"/>
      <c r="J18" s="538"/>
      <c r="K18" s="267" t="s">
        <v>34</v>
      </c>
      <c r="L18" s="47" t="e">
        <f ca="1">IF(M18="N/A","-",'요약 통계'!E7)</f>
        <v>#N/A</v>
      </c>
      <c r="M18" s="268" t="e" cm="1">
        <f t="array" aca="1" ref="M18" ca="1">INDEX('통합 점검결과'!$M:$M,MATCH(1,('통합 점검결과'!$B:$B=$A$5)*('통합 점검결과'!$J:$J=$C18),0))</f>
        <v>#N/A</v>
      </c>
      <c r="N18" s="576" t="e" cm="1">
        <f t="array" aca="1" ref="N18" ca="1">INDEX('통합 점검결과'!$N:$N,MATCH(1,('통합 점검결과'!$B:$B=$A$5)*('통합 점검결과'!$J:$J=$C18),0))</f>
        <v>#N/A</v>
      </c>
      <c r="O18" s="577"/>
      <c r="P18" s="577"/>
      <c r="Q18" s="578"/>
      <c r="R18" s="105" t="e">
        <f t="array" aca="1" ref="R18" ca="1">INDEX('통합 점검결과'!$O:$O,MATCH(1,('통합 점검결과'!$B:$B=$A$5)*('통합 점검결과'!$J:$J=$C18),0))</f>
        <v>#N/A</v>
      </c>
    </row>
    <row r="19" spans="1:18" ht="13.5" customHeight="1">
      <c r="A19" s="534" t="s">
        <v>241</v>
      </c>
      <c r="B19" s="535"/>
      <c r="C19" s="554" t="s">
        <v>255</v>
      </c>
      <c r="D19" s="554"/>
      <c r="E19" s="538" t="s">
        <v>296</v>
      </c>
      <c r="F19" s="538"/>
      <c r="G19" s="538"/>
      <c r="H19" s="538"/>
      <c r="I19" s="538"/>
      <c r="J19" s="538"/>
      <c r="K19" s="267" t="s">
        <v>33</v>
      </c>
      <c r="L19" s="47" t="e">
        <f ca="1">IF(M19="N/A","-",'요약 통계'!E8)</f>
        <v>#N/A</v>
      </c>
      <c r="M19" s="268" t="e" cm="1">
        <f t="array" aca="1" ref="M19" ca="1">INDEX('통합 점검결과'!$M:$M,MATCH(1,('통합 점검결과'!$B:$B=$A$5)*('통합 점검결과'!$J:$J=$C19),0))</f>
        <v>#N/A</v>
      </c>
      <c r="N19" s="576" t="e" cm="1">
        <f t="array" aca="1" ref="N19" ca="1">INDEX('통합 점검결과'!$N:$N,MATCH(1,('통합 점검결과'!$B:$B=$A$5)*('통합 점검결과'!$J:$J=$C19),0))</f>
        <v>#N/A</v>
      </c>
      <c r="O19" s="577"/>
      <c r="P19" s="577"/>
      <c r="Q19" s="578"/>
      <c r="R19" s="105" t="e">
        <f t="array" aca="1" ref="R19" ca="1">INDEX('통합 점검결과'!$O:$O,MATCH(1,('통합 점검결과'!$B:$B=$A$5)*('통합 점검결과'!$J:$J=$C19),0))</f>
        <v>#N/A</v>
      </c>
    </row>
    <row r="20" spans="1:18" ht="13.5" customHeight="1">
      <c r="A20" s="534" t="s">
        <v>241</v>
      </c>
      <c r="B20" s="535"/>
      <c r="C20" s="554" t="s">
        <v>256</v>
      </c>
      <c r="D20" s="554"/>
      <c r="E20" s="538" t="s">
        <v>297</v>
      </c>
      <c r="F20" s="538"/>
      <c r="G20" s="538"/>
      <c r="H20" s="538"/>
      <c r="I20" s="538"/>
      <c r="J20" s="538"/>
      <c r="K20" s="267" t="s">
        <v>33</v>
      </c>
      <c r="L20" s="47" t="e">
        <f ca="1">IF(M20="N/A","-",'요약 통계'!E9)</f>
        <v>#N/A</v>
      </c>
      <c r="M20" s="268" t="e" cm="1">
        <f t="array" aca="1" ref="M20" ca="1">INDEX('통합 점검결과'!$M:$M,MATCH(1,('통합 점검결과'!$B:$B=$A$5)*('통합 점검결과'!$J:$J=$C20),0))</f>
        <v>#N/A</v>
      </c>
      <c r="N20" s="576" t="e" cm="1">
        <f t="array" aca="1" ref="N20" ca="1">INDEX('통합 점검결과'!$N:$N,MATCH(1,('통합 점검결과'!$B:$B=$A$5)*('통합 점검결과'!$J:$J=$C20),0))</f>
        <v>#N/A</v>
      </c>
      <c r="O20" s="577"/>
      <c r="P20" s="577"/>
      <c r="Q20" s="578"/>
      <c r="R20" s="105" t="e">
        <f t="array" aca="1" ref="R20" ca="1">INDEX('통합 점검결과'!$O:$O,MATCH(1,('통합 점검결과'!$B:$B=$A$5)*('통합 점검결과'!$J:$J=$C20),0))</f>
        <v>#N/A</v>
      </c>
    </row>
    <row r="21" spans="1:18" ht="13.5" customHeight="1">
      <c r="A21" s="534" t="s">
        <v>233</v>
      </c>
      <c r="B21" s="535"/>
      <c r="C21" s="554" t="s">
        <v>257</v>
      </c>
      <c r="D21" s="554"/>
      <c r="E21" s="538" t="s">
        <v>298</v>
      </c>
      <c r="F21" s="538"/>
      <c r="G21" s="538"/>
      <c r="H21" s="538"/>
      <c r="I21" s="538"/>
      <c r="J21" s="538"/>
      <c r="K21" s="267" t="s">
        <v>33</v>
      </c>
      <c r="L21" s="47" t="e">
        <f ca="1">IF(M21="N/A","-",'요약 통계'!E10)</f>
        <v>#N/A</v>
      </c>
      <c r="M21" s="268" t="e" cm="1">
        <f t="array" aca="1" ref="M21" ca="1">INDEX('통합 점검결과'!$M:$M,MATCH(1,('통합 점검결과'!$B:$B=$A$5)*('통합 점검결과'!$J:$J=$C21),0))</f>
        <v>#N/A</v>
      </c>
      <c r="N21" s="576" t="e" cm="1">
        <f t="array" aca="1" ref="N21" ca="1">INDEX('통합 점검결과'!$N:$N,MATCH(1,('통합 점검결과'!$B:$B=$A$5)*('통합 점검결과'!$J:$J=$C21),0))</f>
        <v>#N/A</v>
      </c>
      <c r="O21" s="577"/>
      <c r="P21" s="577"/>
      <c r="Q21" s="578"/>
      <c r="R21" s="105" t="e">
        <f t="array" aca="1" ref="R21" ca="1">INDEX('통합 점검결과'!$O:$O,MATCH(1,('통합 점검결과'!$B:$B=$A$5)*('통합 점검결과'!$J:$J=$C21),0))</f>
        <v>#N/A</v>
      </c>
    </row>
    <row r="22" spans="1:18" ht="13.5" customHeight="1">
      <c r="A22" s="534" t="s">
        <v>241</v>
      </c>
      <c r="B22" s="535"/>
      <c r="C22" s="554" t="s">
        <v>258</v>
      </c>
      <c r="D22" s="554"/>
      <c r="E22" s="538" t="s">
        <v>299</v>
      </c>
      <c r="F22" s="538"/>
      <c r="G22" s="538"/>
      <c r="H22" s="538"/>
      <c r="I22" s="538"/>
      <c r="J22" s="538"/>
      <c r="K22" s="267" t="s">
        <v>33</v>
      </c>
      <c r="L22" s="47" t="e">
        <f ca="1">IF(M22="N/A","-",'요약 통계'!E11)</f>
        <v>#N/A</v>
      </c>
      <c r="M22" s="268" t="e" cm="1">
        <f t="array" aca="1" ref="M22" ca="1">INDEX('통합 점검결과'!$M:$M,MATCH(1,('통합 점검결과'!$B:$B=$A$5)*('통합 점검결과'!$J:$J=$C22),0))</f>
        <v>#N/A</v>
      </c>
      <c r="N22" s="576" t="e" cm="1">
        <f t="array" aca="1" ref="N22" ca="1">INDEX('통합 점검결과'!$N:$N,MATCH(1,('통합 점검결과'!$B:$B=$A$5)*('통합 점검결과'!$J:$J=$C22),0))</f>
        <v>#N/A</v>
      </c>
      <c r="O22" s="577"/>
      <c r="P22" s="577"/>
      <c r="Q22" s="578"/>
      <c r="R22" s="105" t="e">
        <f t="array" aca="1" ref="R22" ca="1">INDEX('통합 점검결과'!$O:$O,MATCH(1,('통합 점검결과'!$B:$B=$A$5)*('통합 점검결과'!$J:$J=$C22),0))</f>
        <v>#N/A</v>
      </c>
    </row>
    <row r="23" spans="1:18" ht="13.5" customHeight="1">
      <c r="A23" s="534" t="s">
        <v>241</v>
      </c>
      <c r="B23" s="535"/>
      <c r="C23" s="554" t="s">
        <v>259</v>
      </c>
      <c r="D23" s="554"/>
      <c r="E23" s="538" t="s">
        <v>300</v>
      </c>
      <c r="F23" s="538"/>
      <c r="G23" s="538"/>
      <c r="H23" s="538"/>
      <c r="I23" s="538"/>
      <c r="J23" s="538"/>
      <c r="K23" s="267" t="s">
        <v>33</v>
      </c>
      <c r="L23" s="47" t="e">
        <f ca="1">IF(M23="N/A","-",'요약 통계'!E12)</f>
        <v>#N/A</v>
      </c>
      <c r="M23" s="268" t="e" cm="1">
        <f t="array" aca="1" ref="M23" ca="1">INDEX('통합 점검결과'!$M:$M,MATCH(1,('통합 점검결과'!$B:$B=$A$5)*('통합 점검결과'!$J:$J=$C23),0))</f>
        <v>#N/A</v>
      </c>
      <c r="N23" s="576" t="e" cm="1">
        <f t="array" aca="1" ref="N23" ca="1">INDEX('통합 점검결과'!$N:$N,MATCH(1,('통합 점검결과'!$B:$B=$A$5)*('통합 점검결과'!$J:$J=$C23),0))</f>
        <v>#N/A</v>
      </c>
      <c r="O23" s="577"/>
      <c r="P23" s="577"/>
      <c r="Q23" s="578"/>
      <c r="R23" s="105" t="e">
        <f t="array" aca="1" ref="R23" ca="1">INDEX('통합 점검결과'!$O:$O,MATCH(1,('통합 점검결과'!$B:$B=$A$5)*('통합 점검결과'!$J:$J=$C23),0))</f>
        <v>#N/A</v>
      </c>
    </row>
    <row r="24" spans="1:18" ht="13.5" customHeight="1">
      <c r="A24" s="534" t="s">
        <v>241</v>
      </c>
      <c r="B24" s="535"/>
      <c r="C24" s="554" t="s">
        <v>260</v>
      </c>
      <c r="D24" s="554"/>
      <c r="E24" s="538" t="s">
        <v>301</v>
      </c>
      <c r="F24" s="538"/>
      <c r="G24" s="538"/>
      <c r="H24" s="538"/>
      <c r="I24" s="538"/>
      <c r="J24" s="538"/>
      <c r="K24" s="267" t="s">
        <v>34</v>
      </c>
      <c r="L24" s="47" t="e">
        <f ca="1">IF(M24="N/A","-",'요약 통계'!E13)</f>
        <v>#N/A</v>
      </c>
      <c r="M24" s="268" t="e" cm="1">
        <f t="array" aca="1" ref="M24" ca="1">INDEX('통합 점검결과'!$M:$M,MATCH(1,('통합 점검결과'!$B:$B=$A$5)*('통합 점검결과'!$J:$J=$C24),0))</f>
        <v>#N/A</v>
      </c>
      <c r="N24" s="576" t="e" cm="1">
        <f t="array" aca="1" ref="N24" ca="1">INDEX('통합 점검결과'!$N:$N,MATCH(1,('통합 점검결과'!$B:$B=$A$5)*('통합 점검결과'!$J:$J=$C24),0))</f>
        <v>#N/A</v>
      </c>
      <c r="O24" s="577"/>
      <c r="P24" s="577"/>
      <c r="Q24" s="578"/>
      <c r="R24" s="105" t="e">
        <f t="array" aca="1" ref="R24" ca="1">INDEX('통합 점검결과'!$O:$O,MATCH(1,('통합 점검결과'!$B:$B=$A$5)*('통합 점검결과'!$J:$J=$C24),0))</f>
        <v>#N/A</v>
      </c>
    </row>
    <row r="25" spans="1:18" ht="13.5" customHeight="1">
      <c r="A25" s="534" t="s">
        <v>241</v>
      </c>
      <c r="B25" s="535"/>
      <c r="C25" s="554" t="s">
        <v>261</v>
      </c>
      <c r="D25" s="554"/>
      <c r="E25" s="538" t="s">
        <v>302</v>
      </c>
      <c r="F25" s="538"/>
      <c r="G25" s="538"/>
      <c r="H25" s="538"/>
      <c r="I25" s="538"/>
      <c r="J25" s="538"/>
      <c r="K25" s="267" t="s">
        <v>35</v>
      </c>
      <c r="L25" s="47" t="e">
        <f ca="1">IF(M25="N/A","-",'요약 통계'!E14)</f>
        <v>#N/A</v>
      </c>
      <c r="M25" s="268" t="e" cm="1">
        <f t="array" aca="1" ref="M25" ca="1">INDEX('통합 점검결과'!$M:$M,MATCH(1,('통합 점검결과'!$B:$B=$A$5)*('통합 점검결과'!$J:$J=$C25),0))</f>
        <v>#N/A</v>
      </c>
      <c r="N25" s="576" t="e" cm="1">
        <f t="array" aca="1" ref="N25" ca="1">INDEX('통합 점검결과'!$N:$N,MATCH(1,('통합 점검결과'!$B:$B=$A$5)*('통합 점검결과'!$J:$J=$C25),0))</f>
        <v>#N/A</v>
      </c>
      <c r="O25" s="577"/>
      <c r="P25" s="577"/>
      <c r="Q25" s="578"/>
      <c r="R25" s="105" t="e">
        <f t="array" aca="1" ref="R25" ca="1">INDEX('통합 점검결과'!$O:$O,MATCH(1,('통합 점검결과'!$B:$B=$A$5)*('통합 점검결과'!$J:$J=$C25),0))</f>
        <v>#N/A</v>
      </c>
    </row>
    <row r="26" spans="1:18" ht="13.5" customHeight="1">
      <c r="A26" s="534" t="s">
        <v>241</v>
      </c>
      <c r="B26" s="535"/>
      <c r="C26" s="554" t="s">
        <v>262</v>
      </c>
      <c r="D26" s="554"/>
      <c r="E26" s="538" t="s">
        <v>303</v>
      </c>
      <c r="F26" s="538"/>
      <c r="G26" s="538"/>
      <c r="H26" s="538"/>
      <c r="I26" s="538"/>
      <c r="J26" s="538"/>
      <c r="K26" s="267" t="s">
        <v>35</v>
      </c>
      <c r="L26" s="47" t="e">
        <f ca="1">IF(M26="N/A","-",'요약 통계'!E15)</f>
        <v>#N/A</v>
      </c>
      <c r="M26" s="268" t="e" cm="1">
        <f t="array" aca="1" ref="M26" ca="1">INDEX('통합 점검결과'!$M:$M,MATCH(1,('통합 점검결과'!$B:$B=$A$5)*('통합 점검결과'!$J:$J=$C26),0))</f>
        <v>#N/A</v>
      </c>
      <c r="N26" s="576" t="e" cm="1">
        <f t="array" aca="1" ref="N26" ca="1">INDEX('통합 점검결과'!$N:$N,MATCH(1,('통합 점검결과'!$B:$B=$A$5)*('통합 점검결과'!$J:$J=$C26),0))</f>
        <v>#N/A</v>
      </c>
      <c r="O26" s="577"/>
      <c r="P26" s="577"/>
      <c r="Q26" s="578"/>
      <c r="R26" s="105" t="e">
        <f t="array" aca="1" ref="R26" ca="1">INDEX('통합 점검결과'!$O:$O,MATCH(1,('통합 점검결과'!$B:$B=$A$5)*('통합 점검결과'!$J:$J=$C26),0))</f>
        <v>#N/A</v>
      </c>
    </row>
    <row r="27" spans="1:18" ht="13.5" customHeight="1">
      <c r="A27" s="534" t="s">
        <v>241</v>
      </c>
      <c r="B27" s="535"/>
      <c r="C27" s="554" t="s">
        <v>263</v>
      </c>
      <c r="D27" s="554"/>
      <c r="E27" s="538" t="s">
        <v>304</v>
      </c>
      <c r="F27" s="538"/>
      <c r="G27" s="538"/>
      <c r="H27" s="538"/>
      <c r="I27" s="538"/>
      <c r="J27" s="538"/>
      <c r="K27" s="267" t="s">
        <v>35</v>
      </c>
      <c r="L27" s="47" t="e">
        <f ca="1">IF(M27="N/A","-",'요약 통계'!E16)</f>
        <v>#N/A</v>
      </c>
      <c r="M27" s="268" t="e" cm="1">
        <f t="array" aca="1" ref="M27" ca="1">INDEX('통합 점검결과'!$M:$M,MATCH(1,('통합 점검결과'!$B:$B=$A$5)*('통합 점검결과'!$J:$J=$C27),0))</f>
        <v>#N/A</v>
      </c>
      <c r="N27" s="576" t="e" cm="1">
        <f t="array" aca="1" ref="N27" ca="1">INDEX('통합 점검결과'!$N:$N,MATCH(1,('통합 점검결과'!$B:$B=$A$5)*('통합 점검결과'!$J:$J=$C27),0))</f>
        <v>#N/A</v>
      </c>
      <c r="O27" s="577"/>
      <c r="P27" s="577"/>
      <c r="Q27" s="578"/>
      <c r="R27" s="105" t="e">
        <f t="array" aca="1" ref="R27" ca="1">INDEX('통합 점검결과'!$O:$O,MATCH(1,('통합 점검결과'!$B:$B=$A$5)*('통합 점검결과'!$J:$J=$C27),0))</f>
        <v>#N/A</v>
      </c>
    </row>
    <row r="28" spans="1:18" ht="13.5" customHeight="1">
      <c r="A28" s="534" t="s">
        <v>241</v>
      </c>
      <c r="B28" s="535"/>
      <c r="C28" s="554" t="s">
        <v>264</v>
      </c>
      <c r="D28" s="554"/>
      <c r="E28" s="538" t="s">
        <v>305</v>
      </c>
      <c r="F28" s="538"/>
      <c r="G28" s="538"/>
      <c r="H28" s="538"/>
      <c r="I28" s="538"/>
      <c r="J28" s="538"/>
      <c r="K28" s="267" t="s">
        <v>35</v>
      </c>
      <c r="L28" s="47" t="e">
        <f ca="1">IF(M28="N/A","-",'요약 통계'!E17)</f>
        <v>#N/A</v>
      </c>
      <c r="M28" s="268" t="e" cm="1">
        <f t="array" aca="1" ref="M28" ca="1">INDEX('통합 점검결과'!$M:$M,MATCH(1,('통합 점검결과'!$B:$B=$A$5)*('통합 점검결과'!$J:$J=$C28),0))</f>
        <v>#N/A</v>
      </c>
      <c r="N28" s="576" t="e" cm="1">
        <f t="array" aca="1" ref="N28" ca="1">INDEX('통합 점검결과'!$N:$N,MATCH(1,('통합 점검결과'!$B:$B=$A$5)*('통합 점검결과'!$J:$J=$C28),0))</f>
        <v>#N/A</v>
      </c>
      <c r="O28" s="577"/>
      <c r="P28" s="577"/>
      <c r="Q28" s="578"/>
      <c r="R28" s="105" t="e">
        <f t="array" aca="1" ref="R28" ca="1">INDEX('통합 점검결과'!$O:$O,MATCH(1,('통합 점검결과'!$B:$B=$A$5)*('통합 점검결과'!$J:$J=$C28),0))</f>
        <v>#N/A</v>
      </c>
    </row>
    <row r="29" spans="1:18" ht="13.5" customHeight="1">
      <c r="A29" s="534" t="s">
        <v>241</v>
      </c>
      <c r="B29" s="535"/>
      <c r="C29" s="554" t="s">
        <v>265</v>
      </c>
      <c r="D29" s="554"/>
      <c r="E29" s="538" t="s">
        <v>306</v>
      </c>
      <c r="F29" s="538"/>
      <c r="G29" s="538"/>
      <c r="H29" s="538"/>
      <c r="I29" s="538"/>
      <c r="J29" s="538"/>
      <c r="K29" s="267" t="s">
        <v>35</v>
      </c>
      <c r="L29" s="47" t="e">
        <f ca="1">IF(M29="N/A","-",'요약 통계'!E18)</f>
        <v>#N/A</v>
      </c>
      <c r="M29" s="268" t="e" cm="1">
        <f t="array" aca="1" ref="M29" ca="1">INDEX('통합 점검결과'!$M:$M,MATCH(1,('통합 점검결과'!$B:$B=$A$5)*('통합 점검결과'!$J:$J=$C29),0))</f>
        <v>#N/A</v>
      </c>
      <c r="N29" s="576" t="e" cm="1">
        <f t="array" aca="1" ref="N29" ca="1">INDEX('통합 점검결과'!$N:$N,MATCH(1,('통합 점검결과'!$B:$B=$A$5)*('통합 점검결과'!$J:$J=$C29),0))</f>
        <v>#N/A</v>
      </c>
      <c r="O29" s="577"/>
      <c r="P29" s="577"/>
      <c r="Q29" s="578"/>
      <c r="R29" s="105" t="e">
        <f t="array" aca="1" ref="R29" ca="1">INDEX('통합 점검결과'!$O:$O,MATCH(1,('통합 점검결과'!$B:$B=$A$5)*('통합 점검결과'!$J:$J=$C29),0))</f>
        <v>#N/A</v>
      </c>
    </row>
    <row r="30" spans="1:18" ht="13.5" customHeight="1">
      <c r="A30" s="534" t="s">
        <v>241</v>
      </c>
      <c r="B30" s="535"/>
      <c r="C30" s="554" t="s">
        <v>266</v>
      </c>
      <c r="D30" s="554"/>
      <c r="E30" s="538" t="s">
        <v>307</v>
      </c>
      <c r="F30" s="538"/>
      <c r="G30" s="538"/>
      <c r="H30" s="538"/>
      <c r="I30" s="538"/>
      <c r="J30" s="538"/>
      <c r="K30" s="267" t="s">
        <v>33</v>
      </c>
      <c r="L30" s="47" t="e">
        <f ca="1">IF(M30="N/A","-",'요약 통계'!E19)</f>
        <v>#N/A</v>
      </c>
      <c r="M30" s="268" t="e" cm="1">
        <f t="array" aca="1" ref="M30" ca="1">INDEX('통합 점검결과'!$M:$M,MATCH(1,('통합 점검결과'!$B:$B=$A$5)*('통합 점검결과'!$J:$J=$C30),0))</f>
        <v>#N/A</v>
      </c>
      <c r="N30" s="576" t="e" cm="1">
        <f t="array" aca="1" ref="N30" ca="1">INDEX('통합 점검결과'!$N:$N,MATCH(1,('통합 점검결과'!$B:$B=$A$5)*('통합 점검결과'!$J:$J=$C30),0))</f>
        <v>#N/A</v>
      </c>
      <c r="O30" s="577"/>
      <c r="P30" s="577"/>
      <c r="Q30" s="578"/>
      <c r="R30" s="105" t="e">
        <f t="array" aca="1" ref="R30" ca="1">INDEX('통합 점검결과'!$O:$O,MATCH(1,('통합 점검결과'!$B:$B=$A$5)*('통합 점검결과'!$J:$J=$C30),0))</f>
        <v>#N/A</v>
      </c>
    </row>
    <row r="31" spans="1:18" ht="13.5" customHeight="1">
      <c r="A31" s="534" t="s">
        <v>241</v>
      </c>
      <c r="B31" s="535"/>
      <c r="C31" s="554" t="s">
        <v>267</v>
      </c>
      <c r="D31" s="554"/>
      <c r="E31" s="538" t="s">
        <v>598</v>
      </c>
      <c r="F31" s="538"/>
      <c r="G31" s="538"/>
      <c r="H31" s="538"/>
      <c r="I31" s="538"/>
      <c r="J31" s="538"/>
      <c r="K31" s="267" t="s">
        <v>33</v>
      </c>
      <c r="L31" s="47" t="e">
        <f ca="1">IF(M31="N/A","-",'요약 통계'!E20)</f>
        <v>#N/A</v>
      </c>
      <c r="M31" s="268" t="e" cm="1">
        <f t="array" aca="1" ref="M31" ca="1">INDEX('통합 점검결과'!$M:$M,MATCH(1,('통합 점검결과'!$B:$B=$A$5)*('통합 점검결과'!$J:$J=$C31),0))</f>
        <v>#N/A</v>
      </c>
      <c r="N31" s="576" t="e" cm="1">
        <f t="array" aca="1" ref="N31" ca="1">INDEX('통합 점검결과'!$N:$N,MATCH(1,('통합 점검결과'!$B:$B=$A$5)*('통합 점검결과'!$J:$J=$C31),0))</f>
        <v>#N/A</v>
      </c>
      <c r="O31" s="577"/>
      <c r="P31" s="577"/>
      <c r="Q31" s="578"/>
      <c r="R31" s="105" t="e">
        <f t="array" aca="1" ref="R31" ca="1">INDEX('통합 점검결과'!$O:$O,MATCH(1,('통합 점검결과'!$B:$B=$A$5)*('통합 점검결과'!$J:$J=$C31),0))</f>
        <v>#N/A</v>
      </c>
    </row>
    <row r="32" spans="1:18" ht="13.5" customHeight="1">
      <c r="A32" s="534" t="s">
        <v>241</v>
      </c>
      <c r="B32" s="535"/>
      <c r="C32" s="554" t="s">
        <v>268</v>
      </c>
      <c r="D32" s="554"/>
      <c r="E32" s="538" t="s">
        <v>308</v>
      </c>
      <c r="F32" s="538"/>
      <c r="G32" s="538"/>
      <c r="H32" s="538"/>
      <c r="I32" s="538"/>
      <c r="J32" s="538"/>
      <c r="K32" s="267" t="s">
        <v>33</v>
      </c>
      <c r="L32" s="47" t="e">
        <f ca="1">IF(M32="N/A","-",'요약 통계'!E21)</f>
        <v>#N/A</v>
      </c>
      <c r="M32" s="268" t="e" cm="1">
        <f t="array" aca="1" ref="M32" ca="1">INDEX('통합 점검결과'!$M:$M,MATCH(1,('통합 점검결과'!$B:$B=$A$5)*('통합 점검결과'!$J:$J=$C32),0))</f>
        <v>#N/A</v>
      </c>
      <c r="N32" s="576" t="e" cm="1">
        <f t="array" aca="1" ref="N32" ca="1">INDEX('통합 점검결과'!$N:$N,MATCH(1,('통합 점검결과'!$B:$B=$A$5)*('통합 점검결과'!$J:$J=$C32),0))</f>
        <v>#N/A</v>
      </c>
      <c r="O32" s="577"/>
      <c r="P32" s="577"/>
      <c r="Q32" s="578"/>
      <c r="R32" s="105" t="e">
        <f t="array" aca="1" ref="R32" ca="1">INDEX('통합 점검결과'!$O:$O,MATCH(1,('통합 점검결과'!$B:$B=$A$5)*('통합 점검결과'!$J:$J=$C32),0))</f>
        <v>#N/A</v>
      </c>
    </row>
    <row r="33" spans="1:18" ht="13.5" customHeight="1">
      <c r="A33" s="534" t="s">
        <v>242</v>
      </c>
      <c r="B33" s="535"/>
      <c r="C33" s="554" t="s">
        <v>269</v>
      </c>
      <c r="D33" s="554"/>
      <c r="E33" s="538" t="s">
        <v>309</v>
      </c>
      <c r="F33" s="538"/>
      <c r="G33" s="538"/>
      <c r="H33" s="538"/>
      <c r="I33" s="538"/>
      <c r="J33" s="538"/>
      <c r="K33" s="267" t="s">
        <v>33</v>
      </c>
      <c r="L33" s="47" t="e">
        <f ca="1">IF(M33="N/A","-",'요약 통계'!E22)</f>
        <v>#N/A</v>
      </c>
      <c r="M33" s="268" t="e" cm="1">
        <f t="array" aca="1" ref="M33" ca="1">INDEX('통합 점검결과'!$M:$M,MATCH(1,('통합 점검결과'!$B:$B=$A$5)*('통합 점검결과'!$J:$J=$C33),0))</f>
        <v>#N/A</v>
      </c>
      <c r="N33" s="576" t="e" cm="1">
        <f t="array" aca="1" ref="N33" ca="1">INDEX('통합 점검결과'!$N:$N,MATCH(1,('통합 점검결과'!$B:$B=$A$5)*('통합 점검결과'!$J:$J=$C33),0))</f>
        <v>#N/A</v>
      </c>
      <c r="O33" s="577"/>
      <c r="P33" s="577"/>
      <c r="Q33" s="578"/>
      <c r="R33" s="105" t="e">
        <f t="array" aca="1" ref="R33" ca="1">INDEX('통합 점검결과'!$O:$O,MATCH(1,('통합 점검결과'!$B:$B=$A$5)*('통합 점검결과'!$J:$J=$C33),0))</f>
        <v>#N/A</v>
      </c>
    </row>
    <row r="34" spans="1:18" ht="13.5" customHeight="1">
      <c r="A34" s="534" t="s">
        <v>242</v>
      </c>
      <c r="B34" s="535"/>
      <c r="C34" s="554" t="s">
        <v>270</v>
      </c>
      <c r="D34" s="554"/>
      <c r="E34" s="538" t="s">
        <v>310</v>
      </c>
      <c r="F34" s="538"/>
      <c r="G34" s="538"/>
      <c r="H34" s="538"/>
      <c r="I34" s="538"/>
      <c r="J34" s="538"/>
      <c r="K34" s="267" t="s">
        <v>33</v>
      </c>
      <c r="L34" s="47" t="e">
        <f ca="1">IF(M34="N/A","-",'요약 통계'!E23)</f>
        <v>#N/A</v>
      </c>
      <c r="M34" s="268" t="e" cm="1">
        <f t="array" aca="1" ref="M34" ca="1">INDEX('통합 점검결과'!$M:$M,MATCH(1,('통합 점검결과'!$B:$B=$A$5)*('통합 점검결과'!$J:$J=$C34),0))</f>
        <v>#N/A</v>
      </c>
      <c r="N34" s="576" t="e" cm="1">
        <f t="array" aca="1" ref="N34" ca="1">INDEX('통합 점검결과'!$N:$N,MATCH(1,('통합 점검결과'!$B:$B=$A$5)*('통합 점검결과'!$J:$J=$C34),0))</f>
        <v>#N/A</v>
      </c>
      <c r="O34" s="577"/>
      <c r="P34" s="577"/>
      <c r="Q34" s="578"/>
      <c r="R34" s="105" t="e">
        <f t="array" aca="1" ref="R34" ca="1">INDEX('통합 점검결과'!$O:$O,MATCH(1,('통합 점검결과'!$B:$B=$A$5)*('통합 점검결과'!$J:$J=$C34),0))</f>
        <v>#N/A</v>
      </c>
    </row>
    <row r="35" spans="1:18" ht="13.5" customHeight="1">
      <c r="A35" s="534" t="s">
        <v>242</v>
      </c>
      <c r="B35" s="535"/>
      <c r="C35" s="554" t="s">
        <v>271</v>
      </c>
      <c r="D35" s="554"/>
      <c r="E35" s="538" t="s">
        <v>311</v>
      </c>
      <c r="F35" s="538"/>
      <c r="G35" s="538"/>
      <c r="H35" s="538"/>
      <c r="I35" s="538"/>
      <c r="J35" s="538"/>
      <c r="K35" s="267" t="s">
        <v>33</v>
      </c>
      <c r="L35" s="47" t="e">
        <f ca="1">IF(M35="N/A","-",'요약 통계'!E24)</f>
        <v>#N/A</v>
      </c>
      <c r="M35" s="268" t="e" cm="1">
        <f t="array" aca="1" ref="M35" ca="1">INDEX('통합 점검결과'!$M:$M,MATCH(1,('통합 점검결과'!$B:$B=$A$5)*('통합 점검결과'!$J:$J=$C35),0))</f>
        <v>#N/A</v>
      </c>
      <c r="N35" s="576" t="e" cm="1">
        <f t="array" aca="1" ref="N35" ca="1">INDEX('통합 점검결과'!$N:$N,MATCH(1,('통합 점검결과'!$B:$B=$A$5)*('통합 점검결과'!$J:$J=$C35),0))</f>
        <v>#N/A</v>
      </c>
      <c r="O35" s="577"/>
      <c r="P35" s="577"/>
      <c r="Q35" s="578"/>
      <c r="R35" s="105" t="e">
        <f t="array" aca="1" ref="R35" ca="1">INDEX('통합 점검결과'!$O:$O,MATCH(1,('통합 점검결과'!$B:$B=$A$5)*('통합 점검결과'!$J:$J=$C35),0))</f>
        <v>#N/A</v>
      </c>
    </row>
    <row r="36" spans="1:18" ht="13.5" customHeight="1">
      <c r="A36" s="534" t="s">
        <v>242</v>
      </c>
      <c r="B36" s="535"/>
      <c r="C36" s="554" t="s">
        <v>272</v>
      </c>
      <c r="D36" s="554"/>
      <c r="E36" s="538" t="s">
        <v>312</v>
      </c>
      <c r="F36" s="538"/>
      <c r="G36" s="538"/>
      <c r="H36" s="538"/>
      <c r="I36" s="538"/>
      <c r="J36" s="538"/>
      <c r="K36" s="267" t="s">
        <v>33</v>
      </c>
      <c r="L36" s="47" t="e">
        <f ca="1">IF(M36="N/A","-",'요약 통계'!E25)</f>
        <v>#N/A</v>
      </c>
      <c r="M36" s="268" t="e" cm="1">
        <f t="array" aca="1" ref="M36" ca="1">INDEX('통합 점검결과'!$M:$M,MATCH(1,('통합 점검결과'!$B:$B=$A$5)*('통합 점검결과'!$J:$J=$C36),0))</f>
        <v>#N/A</v>
      </c>
      <c r="N36" s="576" t="e" cm="1">
        <f t="array" aca="1" ref="N36" ca="1">INDEX('통합 점검결과'!$N:$N,MATCH(1,('통합 점검결과'!$B:$B=$A$5)*('통합 점검결과'!$J:$J=$C36),0))</f>
        <v>#N/A</v>
      </c>
      <c r="O36" s="577"/>
      <c r="P36" s="577"/>
      <c r="Q36" s="578"/>
      <c r="R36" s="105" t="e">
        <f t="array" aca="1" ref="R36" ca="1">INDEX('통합 점검결과'!$O:$O,MATCH(1,('통합 점검결과'!$B:$B=$A$5)*('통합 점검결과'!$J:$J=$C36),0))</f>
        <v>#N/A</v>
      </c>
    </row>
    <row r="37" spans="1:18" ht="13.5" customHeight="1">
      <c r="A37" s="534" t="s">
        <v>241</v>
      </c>
      <c r="B37" s="535"/>
      <c r="C37" s="554" t="s">
        <v>273</v>
      </c>
      <c r="D37" s="554"/>
      <c r="E37" s="538" t="s">
        <v>313</v>
      </c>
      <c r="F37" s="538"/>
      <c r="G37" s="538"/>
      <c r="H37" s="538"/>
      <c r="I37" s="538"/>
      <c r="J37" s="538"/>
      <c r="K37" s="267" t="s">
        <v>33</v>
      </c>
      <c r="L37" s="47" t="e">
        <f ca="1">IF(M37="N/A","-",'요약 통계'!E26)</f>
        <v>#N/A</v>
      </c>
      <c r="M37" s="268" t="e" cm="1">
        <f t="array" aca="1" ref="M37" ca="1">INDEX('통합 점검결과'!$M:$M,MATCH(1,('통합 점검결과'!$B:$B=$A$5)*('통합 점검결과'!$J:$J=$C37),0))</f>
        <v>#N/A</v>
      </c>
      <c r="N37" s="576" t="e" cm="1">
        <f t="array" aca="1" ref="N37" ca="1">INDEX('통합 점검결과'!$N:$N,MATCH(1,('통합 점검결과'!$B:$B=$A$5)*('통합 점검결과'!$J:$J=$C37),0))</f>
        <v>#N/A</v>
      </c>
      <c r="O37" s="577"/>
      <c r="P37" s="577"/>
      <c r="Q37" s="578"/>
      <c r="R37" s="105" t="e">
        <f t="array" aca="1" ref="R37" ca="1">INDEX('통합 점검결과'!$O:$O,MATCH(1,('통합 점검결과'!$B:$B=$A$5)*('통합 점검결과'!$J:$J=$C37),0))</f>
        <v>#N/A</v>
      </c>
    </row>
    <row r="38" spans="1:18" ht="13.5" customHeight="1">
      <c r="A38" s="534" t="s">
        <v>241</v>
      </c>
      <c r="B38" s="535"/>
      <c r="C38" s="554" t="s">
        <v>274</v>
      </c>
      <c r="D38" s="554"/>
      <c r="E38" s="538" t="s">
        <v>314</v>
      </c>
      <c r="F38" s="538"/>
      <c r="G38" s="538"/>
      <c r="H38" s="538"/>
      <c r="I38" s="538"/>
      <c r="J38" s="538"/>
      <c r="K38" s="267" t="s">
        <v>34</v>
      </c>
      <c r="L38" s="47" t="e">
        <f ca="1">IF(M38="N/A","-",'요약 통계'!E27)</f>
        <v>#N/A</v>
      </c>
      <c r="M38" s="268" t="e" cm="1">
        <f t="array" aca="1" ref="M38" ca="1">INDEX('통합 점검결과'!$M:$M,MATCH(1,('통합 점검결과'!$B:$B=$A$5)*('통합 점검결과'!$J:$J=$C38),0))</f>
        <v>#N/A</v>
      </c>
      <c r="N38" s="576" t="e" cm="1">
        <f t="array" aca="1" ref="N38" ca="1">INDEX('통합 점검결과'!$N:$N,MATCH(1,('통합 점검결과'!$B:$B=$A$5)*('통합 점검결과'!$J:$J=$C38),0))</f>
        <v>#N/A</v>
      </c>
      <c r="O38" s="577"/>
      <c r="P38" s="577"/>
      <c r="Q38" s="578"/>
      <c r="R38" s="105" t="e">
        <f t="array" aca="1" ref="R38" ca="1">INDEX('통합 점검결과'!$O:$O,MATCH(1,('통합 점검결과'!$B:$B=$A$5)*('통합 점검결과'!$J:$J=$C38),0))</f>
        <v>#N/A</v>
      </c>
    </row>
    <row r="39" spans="1:18" ht="13.5" customHeight="1">
      <c r="A39" s="534" t="s">
        <v>241</v>
      </c>
      <c r="B39" s="535"/>
      <c r="C39" s="554" t="s">
        <v>275</v>
      </c>
      <c r="D39" s="554"/>
      <c r="E39" s="538" t="s">
        <v>315</v>
      </c>
      <c r="F39" s="538"/>
      <c r="G39" s="538"/>
      <c r="H39" s="538"/>
      <c r="I39" s="538"/>
      <c r="J39" s="538"/>
      <c r="K39" s="267" t="s">
        <v>34</v>
      </c>
      <c r="L39" s="47" t="e">
        <f ca="1">IF(M39="N/A","-",'요약 통계'!E28)</f>
        <v>#N/A</v>
      </c>
      <c r="M39" s="268" t="e" cm="1">
        <f t="array" aca="1" ref="M39" ca="1">INDEX('통합 점검결과'!$M:$M,MATCH(1,('통합 점검결과'!$B:$B=$A$5)*('통합 점검결과'!$J:$J=$C39),0))</f>
        <v>#N/A</v>
      </c>
      <c r="N39" s="576" t="e" cm="1">
        <f t="array" aca="1" ref="N39" ca="1">INDEX('통합 점검결과'!$N:$N,MATCH(1,('통합 점검결과'!$B:$B=$A$5)*('통합 점검결과'!$J:$J=$C39),0))</f>
        <v>#N/A</v>
      </c>
      <c r="O39" s="577"/>
      <c r="P39" s="577"/>
      <c r="Q39" s="578"/>
      <c r="R39" s="105" t="e">
        <f t="array" aca="1" ref="R39" ca="1">INDEX('통합 점검결과'!$O:$O,MATCH(1,('통합 점검결과'!$B:$B=$A$5)*('통합 점검결과'!$J:$J=$C39),0))</f>
        <v>#N/A</v>
      </c>
    </row>
    <row r="40" spans="1:18" ht="13.5" customHeight="1">
      <c r="A40" s="534" t="s">
        <v>241</v>
      </c>
      <c r="B40" s="535"/>
      <c r="C40" s="554" t="s">
        <v>276</v>
      </c>
      <c r="D40" s="554"/>
      <c r="E40" s="538" t="s">
        <v>316</v>
      </c>
      <c r="F40" s="538"/>
      <c r="G40" s="538"/>
      <c r="H40" s="538"/>
      <c r="I40" s="538"/>
      <c r="J40" s="538"/>
      <c r="K40" s="267" t="s">
        <v>33</v>
      </c>
      <c r="L40" s="47" t="e">
        <f ca="1">IF(M40="N/A","-",'요약 통계'!E29)</f>
        <v>#N/A</v>
      </c>
      <c r="M40" s="268" t="e" cm="1">
        <f t="array" aca="1" ref="M40" ca="1">INDEX('통합 점검결과'!$M:$M,MATCH(1,('통합 점검결과'!$B:$B=$A$5)*('통합 점검결과'!$J:$J=$C40),0))</f>
        <v>#N/A</v>
      </c>
      <c r="N40" s="576" t="e" cm="1">
        <f t="array" aca="1" ref="N40" ca="1">INDEX('통합 점검결과'!$N:$N,MATCH(1,('통합 점검결과'!$B:$B=$A$5)*('통합 점검결과'!$J:$J=$C40),0))</f>
        <v>#N/A</v>
      </c>
      <c r="O40" s="577"/>
      <c r="P40" s="577"/>
      <c r="Q40" s="578"/>
      <c r="R40" s="105" t="e">
        <f t="array" aca="1" ref="R40" ca="1">INDEX('통합 점검결과'!$O:$O,MATCH(1,('통합 점검결과'!$B:$B=$A$5)*('통합 점검결과'!$J:$J=$C40),0))</f>
        <v>#N/A</v>
      </c>
    </row>
    <row r="41" spans="1:18" ht="13.5" customHeight="1">
      <c r="A41" s="534" t="s">
        <v>241</v>
      </c>
      <c r="B41" s="535"/>
      <c r="C41" s="554" t="s">
        <v>277</v>
      </c>
      <c r="D41" s="554"/>
      <c r="E41" s="538" t="s">
        <v>317</v>
      </c>
      <c r="F41" s="538"/>
      <c r="G41" s="538"/>
      <c r="H41" s="538"/>
      <c r="I41" s="538"/>
      <c r="J41" s="538"/>
      <c r="K41" s="267" t="s">
        <v>35</v>
      </c>
      <c r="L41" s="47" t="e">
        <f ca="1">IF(M41="N/A","-",'요약 통계'!E30)</f>
        <v>#N/A</v>
      </c>
      <c r="M41" s="268" t="e" cm="1">
        <f t="array" aca="1" ref="M41" ca="1">INDEX('통합 점검결과'!$M:$M,MATCH(1,('통합 점검결과'!$B:$B=$A$5)*('통합 점검결과'!$J:$J=$C41),0))</f>
        <v>#N/A</v>
      </c>
      <c r="N41" s="576" t="e" cm="1">
        <f t="array" aca="1" ref="N41" ca="1">INDEX('통합 점검결과'!$N:$N,MATCH(1,('통합 점검결과'!$B:$B=$A$5)*('통합 점검결과'!$J:$J=$C41),0))</f>
        <v>#N/A</v>
      </c>
      <c r="O41" s="577"/>
      <c r="P41" s="577"/>
      <c r="Q41" s="578"/>
      <c r="R41" s="105" t="e">
        <f t="array" aca="1" ref="R41" ca="1">INDEX('통합 점검결과'!$O:$O,MATCH(1,('통합 점검결과'!$B:$B=$A$5)*('통합 점검결과'!$J:$J=$C41),0))</f>
        <v>#N/A</v>
      </c>
    </row>
    <row r="42" spans="1:18" ht="13.5" customHeight="1">
      <c r="A42" s="534" t="s">
        <v>241</v>
      </c>
      <c r="B42" s="535"/>
      <c r="C42" s="554" t="s">
        <v>278</v>
      </c>
      <c r="D42" s="554"/>
      <c r="E42" s="538" t="s">
        <v>318</v>
      </c>
      <c r="F42" s="538"/>
      <c r="G42" s="538"/>
      <c r="H42" s="538"/>
      <c r="I42" s="538"/>
      <c r="J42" s="538"/>
      <c r="K42" s="267" t="s">
        <v>35</v>
      </c>
      <c r="L42" s="47" t="e">
        <f ca="1">IF(M42="N/A","-",'요약 통계'!E31)</f>
        <v>#N/A</v>
      </c>
      <c r="M42" s="268" t="e" cm="1">
        <f t="array" aca="1" ref="M42" ca="1">INDEX('통합 점검결과'!$M:$M,MATCH(1,('통합 점검결과'!$B:$B=$A$5)*('통합 점검결과'!$J:$J=$C42),0))</f>
        <v>#N/A</v>
      </c>
      <c r="N42" s="576" t="e" cm="1">
        <f t="array" aca="1" ref="N42" ca="1">INDEX('통합 점검결과'!$N:$N,MATCH(1,('통합 점검결과'!$B:$B=$A$5)*('통합 점검결과'!$J:$J=$C42),0))</f>
        <v>#N/A</v>
      </c>
      <c r="O42" s="577"/>
      <c r="P42" s="577"/>
      <c r="Q42" s="578"/>
      <c r="R42" s="105" t="e">
        <f t="array" aca="1" ref="R42" ca="1">INDEX('통합 점검결과'!$O:$O,MATCH(1,('통합 점검결과'!$B:$B=$A$5)*('통합 점검결과'!$J:$J=$C42),0))</f>
        <v>#N/A</v>
      </c>
    </row>
    <row r="43" spans="1:18" ht="13.5" customHeight="1">
      <c r="A43" s="534" t="s">
        <v>241</v>
      </c>
      <c r="B43" s="535"/>
      <c r="C43" s="554" t="s">
        <v>279</v>
      </c>
      <c r="D43" s="554"/>
      <c r="E43" s="538" t="s">
        <v>319</v>
      </c>
      <c r="F43" s="538"/>
      <c r="G43" s="538"/>
      <c r="H43" s="538"/>
      <c r="I43" s="538"/>
      <c r="J43" s="538"/>
      <c r="K43" s="267" t="s">
        <v>35</v>
      </c>
      <c r="L43" s="47" t="e">
        <f ca="1">IF(M43="N/A","-",'요약 통계'!E32)</f>
        <v>#N/A</v>
      </c>
      <c r="M43" s="268" t="e" cm="1">
        <f t="array" aca="1" ref="M43" ca="1">INDEX('통합 점검결과'!$M:$M,MATCH(1,('통합 점검결과'!$B:$B=$A$5)*('통합 점검결과'!$J:$J=$C43),0))</f>
        <v>#N/A</v>
      </c>
      <c r="N43" s="576" t="e" cm="1">
        <f t="array" aca="1" ref="N43" ca="1">INDEX('통합 점검결과'!$N:$N,MATCH(1,('통합 점검결과'!$B:$B=$A$5)*('통합 점검결과'!$J:$J=$C43),0))</f>
        <v>#N/A</v>
      </c>
      <c r="O43" s="577"/>
      <c r="P43" s="577"/>
      <c r="Q43" s="578"/>
      <c r="R43" s="105" t="e">
        <f t="array" aca="1" ref="R43" ca="1">INDEX('통합 점검결과'!$O:$O,MATCH(1,('통합 점검결과'!$B:$B=$A$5)*('통합 점검결과'!$J:$J=$C43),0))</f>
        <v>#N/A</v>
      </c>
    </row>
    <row r="44" spans="1:18" ht="13.5" customHeight="1">
      <c r="A44" s="534" t="s">
        <v>241</v>
      </c>
      <c r="B44" s="535"/>
      <c r="C44" s="554" t="s">
        <v>280</v>
      </c>
      <c r="D44" s="554"/>
      <c r="E44" s="538" t="s">
        <v>320</v>
      </c>
      <c r="F44" s="538"/>
      <c r="G44" s="538"/>
      <c r="H44" s="538"/>
      <c r="I44" s="538"/>
      <c r="J44" s="538"/>
      <c r="K44" s="267" t="s">
        <v>33</v>
      </c>
      <c r="L44" s="47" t="e">
        <f ca="1">IF(M44="N/A","-",'요약 통계'!E33)</f>
        <v>#N/A</v>
      </c>
      <c r="M44" s="268" t="e" cm="1">
        <f t="array" aca="1" ref="M44" ca="1">INDEX('통합 점검결과'!$M:$M,MATCH(1,('통합 점검결과'!$B:$B=$A$5)*('통합 점검결과'!$J:$J=$C44),0))</f>
        <v>#N/A</v>
      </c>
      <c r="N44" s="576" t="e" cm="1">
        <f t="array" aca="1" ref="N44" ca="1">INDEX('통합 점검결과'!$N:$N,MATCH(1,('통합 점검결과'!$B:$B=$A$5)*('통합 점검결과'!$J:$J=$C44),0))</f>
        <v>#N/A</v>
      </c>
      <c r="O44" s="577"/>
      <c r="P44" s="577"/>
      <c r="Q44" s="578"/>
      <c r="R44" s="105" t="e">
        <f t="array" aca="1" ref="R44" ca="1">INDEX('통합 점검결과'!$O:$O,MATCH(1,('통합 점검결과'!$B:$B=$A$5)*('통합 점검결과'!$J:$J=$C44),0))</f>
        <v>#N/A</v>
      </c>
    </row>
    <row r="45" spans="1:18" ht="13.5" customHeight="1">
      <c r="A45" s="534" t="s">
        <v>241</v>
      </c>
      <c r="B45" s="535"/>
      <c r="C45" s="554" t="s">
        <v>281</v>
      </c>
      <c r="D45" s="554"/>
      <c r="E45" s="538" t="s">
        <v>321</v>
      </c>
      <c r="F45" s="538"/>
      <c r="G45" s="538"/>
      <c r="H45" s="538"/>
      <c r="I45" s="538"/>
      <c r="J45" s="538"/>
      <c r="K45" s="267" t="s">
        <v>33</v>
      </c>
      <c r="L45" s="47" t="e">
        <f ca="1">IF(M45="N/A","-",'요약 통계'!E34)</f>
        <v>#N/A</v>
      </c>
      <c r="M45" s="268" t="e" cm="1">
        <f t="array" aca="1" ref="M45" ca="1">INDEX('통합 점검결과'!$M:$M,MATCH(1,('통합 점검결과'!$B:$B=$A$5)*('통합 점검결과'!$J:$J=$C45),0))</f>
        <v>#N/A</v>
      </c>
      <c r="N45" s="576" t="e" cm="1">
        <f t="array" aca="1" ref="N45" ca="1">INDEX('통합 점검결과'!$N:$N,MATCH(1,('통합 점검결과'!$B:$B=$A$5)*('통합 점검결과'!$J:$J=$C45),0))</f>
        <v>#N/A</v>
      </c>
      <c r="O45" s="577"/>
      <c r="P45" s="577"/>
      <c r="Q45" s="578"/>
      <c r="R45" s="105" t="e">
        <f t="array" aca="1" ref="R45" ca="1">INDEX('통합 점검결과'!$O:$O,MATCH(1,('통합 점검결과'!$B:$B=$A$5)*('통합 점검결과'!$J:$J=$C45),0))</f>
        <v>#N/A</v>
      </c>
    </row>
    <row r="46" spans="1:18" ht="13.5" customHeight="1">
      <c r="A46" s="534" t="s">
        <v>241</v>
      </c>
      <c r="B46" s="535"/>
      <c r="C46" s="554" t="s">
        <v>282</v>
      </c>
      <c r="D46" s="554"/>
      <c r="E46" s="538" t="s">
        <v>322</v>
      </c>
      <c r="F46" s="538"/>
      <c r="G46" s="538"/>
      <c r="H46" s="538"/>
      <c r="I46" s="538"/>
      <c r="J46" s="538"/>
      <c r="K46" s="267" t="s">
        <v>33</v>
      </c>
      <c r="L46" s="47" t="e">
        <f ca="1">IF(M46="N/A","-",'요약 통계'!E35)</f>
        <v>#N/A</v>
      </c>
      <c r="M46" s="268" t="e" cm="1">
        <f t="array" aca="1" ref="M46" ca="1">INDEX('통합 점검결과'!$M:$M,MATCH(1,('통합 점검결과'!$B:$B=$A$5)*('통합 점검결과'!$J:$J=$C46),0))</f>
        <v>#N/A</v>
      </c>
      <c r="N46" s="576" t="e" cm="1">
        <f t="array" aca="1" ref="N46" ca="1">INDEX('통합 점검결과'!$N:$N,MATCH(1,('통합 점검결과'!$B:$B=$A$5)*('통합 점검결과'!$J:$J=$C46),0))</f>
        <v>#N/A</v>
      </c>
      <c r="O46" s="577"/>
      <c r="P46" s="577"/>
      <c r="Q46" s="578"/>
      <c r="R46" s="105" t="e">
        <f t="array" aca="1" ref="R46" ca="1">INDEX('통합 점검결과'!$O:$O,MATCH(1,('통합 점검결과'!$B:$B=$A$5)*('통합 점검결과'!$J:$J=$C46),0))</f>
        <v>#N/A</v>
      </c>
    </row>
    <row r="47" spans="1:18" ht="13.5" customHeight="1">
      <c r="A47" s="534" t="s">
        <v>241</v>
      </c>
      <c r="B47" s="535"/>
      <c r="C47" s="554" t="s">
        <v>283</v>
      </c>
      <c r="D47" s="554"/>
      <c r="E47" s="538" t="s">
        <v>323</v>
      </c>
      <c r="F47" s="538"/>
      <c r="G47" s="538"/>
      <c r="H47" s="538"/>
      <c r="I47" s="538"/>
      <c r="J47" s="538"/>
      <c r="K47" s="267" t="s">
        <v>33</v>
      </c>
      <c r="L47" s="47" t="e">
        <f ca="1">IF(M47="N/A","-",'요약 통계'!E36)</f>
        <v>#N/A</v>
      </c>
      <c r="M47" s="268" t="e" cm="1">
        <f t="array" aca="1" ref="M47" ca="1">INDEX('통합 점검결과'!$M:$M,MATCH(1,('통합 점검결과'!$B:$B=$A$5)*('통합 점검결과'!$J:$J=$C47),0))</f>
        <v>#N/A</v>
      </c>
      <c r="N47" s="576" t="e" cm="1">
        <f t="array" aca="1" ref="N47" ca="1">INDEX('통합 점검결과'!$N:$N,MATCH(1,('통합 점검결과'!$B:$B=$A$5)*('통합 점검결과'!$J:$J=$C47),0))</f>
        <v>#N/A</v>
      </c>
      <c r="O47" s="577"/>
      <c r="P47" s="577"/>
      <c r="Q47" s="578"/>
      <c r="R47" s="105" t="e">
        <f t="array" aca="1" ref="R47" ca="1">INDEX('통합 점검결과'!$O:$O,MATCH(1,('통합 점검결과'!$B:$B=$A$5)*('통합 점검결과'!$J:$J=$C47),0))</f>
        <v>#N/A</v>
      </c>
    </row>
    <row r="48" spans="1:18" ht="13.5" customHeight="1">
      <c r="A48" s="534" t="s">
        <v>241</v>
      </c>
      <c r="B48" s="535"/>
      <c r="C48" s="554" t="s">
        <v>284</v>
      </c>
      <c r="D48" s="554"/>
      <c r="E48" s="538" t="s">
        <v>324</v>
      </c>
      <c r="F48" s="538"/>
      <c r="G48" s="538"/>
      <c r="H48" s="538"/>
      <c r="I48" s="538"/>
      <c r="J48" s="538"/>
      <c r="K48" s="267" t="s">
        <v>33</v>
      </c>
      <c r="L48" s="47" t="e">
        <f ca="1">IF(M48="N/A","-",'요약 통계'!E37)</f>
        <v>#N/A</v>
      </c>
      <c r="M48" s="268" t="e" cm="1">
        <f t="array" aca="1" ref="M48" ca="1">INDEX('통합 점검결과'!$M:$M,MATCH(1,('통합 점검결과'!$B:$B=$A$5)*('통합 점검결과'!$J:$J=$C48),0))</f>
        <v>#N/A</v>
      </c>
      <c r="N48" s="576" t="e" cm="1">
        <f t="array" aca="1" ref="N48" ca="1">INDEX('통합 점검결과'!$N:$N,MATCH(1,('통합 점검결과'!$B:$B=$A$5)*('통합 점검결과'!$J:$J=$C48),0))</f>
        <v>#N/A</v>
      </c>
      <c r="O48" s="577"/>
      <c r="P48" s="577"/>
      <c r="Q48" s="578"/>
      <c r="R48" s="105" t="e">
        <f t="array" aca="1" ref="R48" ca="1">INDEX('통합 점검결과'!$O:$O,MATCH(1,('통합 점검결과'!$B:$B=$A$5)*('통합 점검결과'!$J:$J=$C48),0))</f>
        <v>#N/A</v>
      </c>
    </row>
    <row r="49" spans="1:18" ht="13.5" customHeight="1">
      <c r="A49" s="534" t="s">
        <v>241</v>
      </c>
      <c r="B49" s="535"/>
      <c r="C49" s="554" t="s">
        <v>285</v>
      </c>
      <c r="D49" s="554"/>
      <c r="E49" s="538" t="s">
        <v>325</v>
      </c>
      <c r="F49" s="538"/>
      <c r="G49" s="538"/>
      <c r="H49" s="538"/>
      <c r="I49" s="538"/>
      <c r="J49" s="538"/>
      <c r="K49" s="267" t="s">
        <v>33</v>
      </c>
      <c r="L49" s="47" t="e">
        <f ca="1">IF(M49="N/A","-",'요약 통계'!E38)</f>
        <v>#N/A</v>
      </c>
      <c r="M49" s="268" t="e" cm="1">
        <f t="array" aca="1" ref="M49" ca="1">INDEX('통합 점검결과'!$M:$M,MATCH(1,('통합 점검결과'!$B:$B=$A$5)*('통합 점검결과'!$J:$J=$C49),0))</f>
        <v>#N/A</v>
      </c>
      <c r="N49" s="576" t="e" cm="1">
        <f t="array" aca="1" ref="N49" ca="1">INDEX('통합 점검결과'!$N:$N,MATCH(1,('통합 점검결과'!$B:$B=$A$5)*('통합 점검결과'!$J:$J=$C49),0))</f>
        <v>#N/A</v>
      </c>
      <c r="O49" s="577"/>
      <c r="P49" s="577"/>
      <c r="Q49" s="578"/>
      <c r="R49" s="105" t="e">
        <f t="array" aca="1" ref="R49" ca="1">INDEX('통합 점검결과'!$O:$O,MATCH(1,('통합 점검결과'!$B:$B=$A$5)*('통합 점검결과'!$J:$J=$C49),0))</f>
        <v>#N/A</v>
      </c>
    </row>
    <row r="50" spans="1:18" ht="13.5" customHeight="1">
      <c r="A50" s="534" t="s">
        <v>241</v>
      </c>
      <c r="B50" s="535"/>
      <c r="C50" s="554" t="s">
        <v>286</v>
      </c>
      <c r="D50" s="554"/>
      <c r="E50" s="538" t="s">
        <v>326</v>
      </c>
      <c r="F50" s="538"/>
      <c r="G50" s="538"/>
      <c r="H50" s="538"/>
      <c r="I50" s="538"/>
      <c r="J50" s="538"/>
      <c r="K50" s="267" t="s">
        <v>33</v>
      </c>
      <c r="L50" s="47" t="e">
        <f ca="1">IF(M50="N/A","-",'요약 통계'!E39)</f>
        <v>#N/A</v>
      </c>
      <c r="M50" s="268" t="e" cm="1">
        <f t="array" aca="1" ref="M50" ca="1">INDEX('통합 점검결과'!$M:$M,MATCH(1,('통합 점검결과'!$B:$B=$A$5)*('통합 점검결과'!$J:$J=$C50),0))</f>
        <v>#N/A</v>
      </c>
      <c r="N50" s="576" t="e" cm="1">
        <f t="array" aca="1" ref="N50" ca="1">INDEX('통합 점검결과'!$N:$N,MATCH(1,('통합 점검결과'!$B:$B=$A$5)*('통합 점검결과'!$J:$J=$C50),0))</f>
        <v>#N/A</v>
      </c>
      <c r="O50" s="577"/>
      <c r="P50" s="577"/>
      <c r="Q50" s="578"/>
      <c r="R50" s="105" t="e">
        <f t="array" aca="1" ref="R50" ca="1">INDEX('통합 점검결과'!$O:$O,MATCH(1,('통합 점검결과'!$B:$B=$A$5)*('통합 점검결과'!$J:$J=$C50),0))</f>
        <v>#N/A</v>
      </c>
    </row>
    <row r="51" spans="1:18" ht="13.5" customHeight="1">
      <c r="A51" s="534" t="s">
        <v>241</v>
      </c>
      <c r="B51" s="535"/>
      <c r="C51" s="554" t="s">
        <v>287</v>
      </c>
      <c r="D51" s="554"/>
      <c r="E51" s="538" t="s">
        <v>327</v>
      </c>
      <c r="F51" s="538"/>
      <c r="G51" s="538"/>
      <c r="H51" s="538"/>
      <c r="I51" s="538"/>
      <c r="J51" s="538"/>
      <c r="K51" s="267" t="s">
        <v>33</v>
      </c>
      <c r="L51" s="47" t="e">
        <f ca="1">IF(M51="N/A","-",'요약 통계'!E40)</f>
        <v>#N/A</v>
      </c>
      <c r="M51" s="268" t="e" cm="1">
        <f t="array" aca="1" ref="M51" ca="1">INDEX('통합 점검결과'!$M:$M,MATCH(1,('통합 점검결과'!$B:$B=$A$5)*('통합 점검결과'!$J:$J=$C51),0))</f>
        <v>#N/A</v>
      </c>
      <c r="N51" s="576" t="e" cm="1">
        <f t="array" aca="1" ref="N51" ca="1">INDEX('통합 점검결과'!$N:$N,MATCH(1,('통합 점검결과'!$B:$B=$A$5)*('통합 점검결과'!$J:$J=$C51),0))</f>
        <v>#N/A</v>
      </c>
      <c r="O51" s="577"/>
      <c r="P51" s="577"/>
      <c r="Q51" s="578"/>
      <c r="R51" s="105" t="e">
        <f t="array" aca="1" ref="R51" ca="1">INDEX('통합 점검결과'!$O:$O,MATCH(1,('통합 점검결과'!$B:$B=$A$5)*('통합 점검결과'!$J:$J=$C51),0))</f>
        <v>#N/A</v>
      </c>
    </row>
    <row r="52" spans="1:18" ht="13.5" customHeight="1">
      <c r="A52" s="534" t="s">
        <v>241</v>
      </c>
      <c r="B52" s="535"/>
      <c r="C52" s="554" t="s">
        <v>288</v>
      </c>
      <c r="D52" s="554"/>
      <c r="E52" s="538" t="s">
        <v>328</v>
      </c>
      <c r="F52" s="538"/>
      <c r="G52" s="538"/>
      <c r="H52" s="538"/>
      <c r="I52" s="538"/>
      <c r="J52" s="538"/>
      <c r="K52" s="267" t="s">
        <v>33</v>
      </c>
      <c r="L52" s="47" t="e">
        <f ca="1">IF(M52="N/A","-",'요약 통계'!E41)</f>
        <v>#N/A</v>
      </c>
      <c r="M52" s="268" t="e" cm="1">
        <f t="array" aca="1" ref="M52" ca="1">INDEX('통합 점검결과'!$M:$M,MATCH(1,('통합 점검결과'!$B:$B=$A$5)*('통합 점검결과'!$J:$J=$C52),0))</f>
        <v>#N/A</v>
      </c>
      <c r="N52" s="576" t="e" cm="1">
        <f t="array" aca="1" ref="N52" ca="1">INDEX('통합 점검결과'!$N:$N,MATCH(1,('통합 점검결과'!$B:$B=$A$5)*('통합 점검결과'!$J:$J=$C52),0))</f>
        <v>#N/A</v>
      </c>
      <c r="O52" s="577"/>
      <c r="P52" s="577"/>
      <c r="Q52" s="578"/>
      <c r="R52" s="105" t="e">
        <f t="array" aca="1" ref="R52" ca="1">INDEX('통합 점검결과'!$O:$O,MATCH(1,('통합 점검결과'!$B:$B=$A$5)*('통합 점검결과'!$J:$J=$C52),0))</f>
        <v>#N/A</v>
      </c>
    </row>
    <row r="53" spans="1:18" ht="13.5" customHeight="1">
      <c r="A53" s="534" t="s">
        <v>241</v>
      </c>
      <c r="B53" s="535"/>
      <c r="C53" s="554" t="s">
        <v>289</v>
      </c>
      <c r="D53" s="554"/>
      <c r="E53" s="538" t="s">
        <v>329</v>
      </c>
      <c r="F53" s="538"/>
      <c r="G53" s="538"/>
      <c r="H53" s="538"/>
      <c r="I53" s="538"/>
      <c r="J53" s="538"/>
      <c r="K53" s="267" t="s">
        <v>33</v>
      </c>
      <c r="L53" s="47" t="e">
        <f ca="1">IF(M53="N/A","-",'요약 통계'!E42)</f>
        <v>#N/A</v>
      </c>
      <c r="M53" s="268" t="e" cm="1">
        <f t="array" aca="1" ref="M53" ca="1">INDEX('통합 점검결과'!$M:$M,MATCH(1,('통합 점검결과'!$B:$B=$A$5)*('통합 점검결과'!$J:$J=$C53),0))</f>
        <v>#N/A</v>
      </c>
      <c r="N53" s="576" t="e" cm="1">
        <f t="array" aca="1" ref="N53" ca="1">INDEX('통합 점검결과'!$N:$N,MATCH(1,('통합 점검결과'!$B:$B=$A$5)*('통합 점검결과'!$J:$J=$C53),0))</f>
        <v>#N/A</v>
      </c>
      <c r="O53" s="577"/>
      <c r="P53" s="577"/>
      <c r="Q53" s="578"/>
      <c r="R53" s="105" t="e">
        <f t="array" aca="1" ref="R53" ca="1">INDEX('통합 점검결과'!$O:$O,MATCH(1,('통합 점검결과'!$B:$B=$A$5)*('통합 점검결과'!$J:$J=$C53),0))</f>
        <v>#N/A</v>
      </c>
    </row>
    <row r="54" spans="1:18" ht="13.5" customHeight="1">
      <c r="A54" s="534" t="s">
        <v>241</v>
      </c>
      <c r="B54" s="535"/>
      <c r="C54" s="554" t="s">
        <v>290</v>
      </c>
      <c r="D54" s="554"/>
      <c r="E54" s="538" t="s">
        <v>330</v>
      </c>
      <c r="F54" s="538"/>
      <c r="G54" s="538"/>
      <c r="H54" s="538"/>
      <c r="I54" s="538"/>
      <c r="J54" s="538"/>
      <c r="K54" s="267" t="s">
        <v>33</v>
      </c>
      <c r="L54" s="47" t="e">
        <f ca="1">IF(M54="N/A","-",'요약 통계'!E43)</f>
        <v>#N/A</v>
      </c>
      <c r="M54" s="268" t="e" cm="1">
        <f t="array" aca="1" ref="M54" ca="1">INDEX('통합 점검결과'!$M:$M,MATCH(1,('통합 점검결과'!$B:$B=$A$5)*('통합 점검결과'!$J:$J=$C54),0))</f>
        <v>#N/A</v>
      </c>
      <c r="N54" s="576" t="e" cm="1">
        <f t="array" aca="1" ref="N54" ca="1">INDEX('통합 점검결과'!$N:$N,MATCH(1,('통합 점검결과'!$B:$B=$A$5)*('통합 점검결과'!$J:$J=$C54),0))</f>
        <v>#N/A</v>
      </c>
      <c r="O54" s="577"/>
      <c r="P54" s="577"/>
      <c r="Q54" s="578"/>
      <c r="R54" s="105" t="e">
        <f t="array" aca="1" ref="R54" ca="1">INDEX('통합 점검결과'!$O:$O,MATCH(1,('통합 점검결과'!$B:$B=$A$5)*('통합 점검결과'!$J:$J=$C54),0))</f>
        <v>#N/A</v>
      </c>
    </row>
    <row r="55" spans="1:18" ht="13.5" customHeight="1">
      <c r="A55" s="534" t="s">
        <v>241</v>
      </c>
      <c r="B55" s="535"/>
      <c r="C55" s="554" t="s">
        <v>291</v>
      </c>
      <c r="D55" s="554"/>
      <c r="E55" s="538" t="s">
        <v>331</v>
      </c>
      <c r="F55" s="538"/>
      <c r="G55" s="538"/>
      <c r="H55" s="538"/>
      <c r="I55" s="538"/>
      <c r="J55" s="538"/>
      <c r="K55" s="267" t="s">
        <v>33</v>
      </c>
      <c r="L55" s="47" t="e">
        <f ca="1">IF(M55="N/A","-",'요약 통계'!E44)</f>
        <v>#N/A</v>
      </c>
      <c r="M55" s="268" t="e" cm="1">
        <f t="array" aca="1" ref="M55" ca="1">INDEX('통합 점검결과'!$M:$M,MATCH(1,('통합 점검결과'!$B:$B=$A$5)*('통합 점검결과'!$J:$J=$C55),0))</f>
        <v>#N/A</v>
      </c>
      <c r="N55" s="576" t="e" cm="1">
        <f t="array" aca="1" ref="N55" ca="1">INDEX('통합 점검결과'!$N:$N,MATCH(1,('통합 점검결과'!$B:$B=$A$5)*('통합 점검결과'!$J:$J=$C55),0))</f>
        <v>#N/A</v>
      </c>
      <c r="O55" s="577"/>
      <c r="P55" s="577"/>
      <c r="Q55" s="578"/>
      <c r="R55" s="105" t="e">
        <f t="array" aca="1" ref="R55" ca="1">INDEX('통합 점검결과'!$O:$O,MATCH(1,('통합 점검결과'!$B:$B=$A$5)*('통합 점검결과'!$J:$J=$C55),0))</f>
        <v>#N/A</v>
      </c>
    </row>
    <row r="56" spans="1:18" ht="13.5" customHeight="1">
      <c r="A56" s="534" t="s">
        <v>241</v>
      </c>
      <c r="B56" s="535"/>
      <c r="C56" s="554" t="s">
        <v>292</v>
      </c>
      <c r="D56" s="554"/>
      <c r="E56" s="538" t="s">
        <v>332</v>
      </c>
      <c r="F56" s="538"/>
      <c r="G56" s="538"/>
      <c r="H56" s="538"/>
      <c r="I56" s="538"/>
      <c r="J56" s="538"/>
      <c r="K56" s="267" t="s">
        <v>34</v>
      </c>
      <c r="L56" s="47" t="e">
        <f ca="1">IF(M56="N/A","-",'요약 통계'!E45)</f>
        <v>#N/A</v>
      </c>
      <c r="M56" s="268" t="e" cm="1">
        <f t="array" aca="1" ref="M56" ca="1">INDEX('통합 점검결과'!$M:$M,MATCH(1,('통합 점검결과'!$B:$B=$A$5)*('통합 점검결과'!$J:$J=$C56),0))</f>
        <v>#N/A</v>
      </c>
      <c r="N56" s="576" t="e" cm="1">
        <f t="array" aca="1" ref="N56" ca="1">INDEX('통합 점검결과'!$N:$N,MATCH(1,('통합 점검결과'!$B:$B=$A$5)*('통합 점검결과'!$J:$J=$C56),0))</f>
        <v>#N/A</v>
      </c>
      <c r="O56" s="577"/>
      <c r="P56" s="577"/>
      <c r="Q56" s="578"/>
      <c r="R56" s="105" t="e">
        <f t="array" aca="1" ref="R56" ca="1">INDEX('통합 점검결과'!$O:$O,MATCH(1,('통합 점검결과'!$B:$B=$A$5)*('통합 점검결과'!$J:$J=$C56),0))</f>
        <v>#N/A</v>
      </c>
    </row>
    <row r="57" spans="1:18" ht="13.5" customHeight="1">
      <c r="A57" s="534" t="s">
        <v>241</v>
      </c>
      <c r="B57" s="535"/>
      <c r="C57" s="554" t="s">
        <v>293</v>
      </c>
      <c r="D57" s="554"/>
      <c r="E57" s="538" t="s">
        <v>333</v>
      </c>
      <c r="F57" s="538"/>
      <c r="G57" s="538"/>
      <c r="H57" s="538"/>
      <c r="I57" s="538"/>
      <c r="J57" s="538"/>
      <c r="K57" s="267" t="s">
        <v>33</v>
      </c>
      <c r="L57" s="47" t="e">
        <f ca="1">IF(M57="N/A","-",'요약 통계'!E46)</f>
        <v>#N/A</v>
      </c>
      <c r="M57" s="268" t="e" cm="1">
        <f t="array" aca="1" ref="M57" ca="1">INDEX('통합 점검결과'!$M:$M,MATCH(1,('통합 점검결과'!$B:$B=$A$5)*('통합 점검결과'!$J:$J=$C57),0))</f>
        <v>#N/A</v>
      </c>
      <c r="N57" s="576" t="e" cm="1">
        <f t="array" aca="1" ref="N57" ca="1">INDEX('통합 점검결과'!$N:$N,MATCH(1,('통합 점검결과'!$B:$B=$A$5)*('통합 점검결과'!$J:$J=$C57),0))</f>
        <v>#N/A</v>
      </c>
      <c r="O57" s="577"/>
      <c r="P57" s="577"/>
      <c r="Q57" s="578"/>
      <c r="R57" s="105" t="e">
        <f t="array" aca="1" ref="R57" ca="1">INDEX('통합 점검결과'!$O:$O,MATCH(1,('통합 점검결과'!$B:$B=$A$5)*('통합 점검결과'!$J:$J=$C57),0))</f>
        <v>#N/A</v>
      </c>
    </row>
    <row r="58" spans="1:18" ht="13.5" customHeight="1" thickBot="1">
      <c r="A58" s="536" t="s">
        <v>241</v>
      </c>
      <c r="B58" s="537"/>
      <c r="C58" s="563" t="s">
        <v>453</v>
      </c>
      <c r="D58" s="563"/>
      <c r="E58" s="551" t="s">
        <v>455</v>
      </c>
      <c r="F58" s="551"/>
      <c r="G58" s="551"/>
      <c r="H58" s="551"/>
      <c r="I58" s="551"/>
      <c r="J58" s="551"/>
      <c r="K58" s="269" t="s">
        <v>33</v>
      </c>
      <c r="L58" s="192" t="e">
        <f ca="1">IF(M58="N/A","-",'요약 통계'!E47)</f>
        <v>#N/A</v>
      </c>
      <c r="M58" s="270" t="e" cm="1">
        <f t="array" aca="1" ref="M58" ca="1">INDEX('통합 점검결과'!$M:$M,MATCH(1,('통합 점검결과'!$B:$B=$A$5)*('통합 점검결과'!$J:$J=$C58),0))</f>
        <v>#N/A</v>
      </c>
      <c r="N58" s="579" t="e" cm="1">
        <f t="array" aca="1" ref="N58" ca="1">INDEX('통합 점검결과'!$N:$N,MATCH(1,('통합 점검결과'!$B:$B=$A$5)*('통합 점검결과'!$J:$J=$C58),0))</f>
        <v>#N/A</v>
      </c>
      <c r="O58" s="580"/>
      <c r="P58" s="580"/>
      <c r="Q58" s="581"/>
      <c r="R58" s="264" t="e">
        <f t="array" aca="1" ref="R58" ca="1">INDEX('통합 점검결과'!$O:$O,MATCH(1,('통합 점검결과'!$B:$B=$A$5)*('통합 점검결과'!$J:$J=$C58),0))</f>
        <v>#N/A</v>
      </c>
    </row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  <row r="109" ht="16.5" customHeight="1"/>
    <row r="110" ht="16.5" customHeight="1"/>
    <row r="111" ht="16.5" customHeight="1"/>
    <row r="1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</sheetData>
  <mergeCells count="194">
    <mergeCell ref="N57:Q57"/>
    <mergeCell ref="N58:Q58"/>
    <mergeCell ref="N48:Q48"/>
    <mergeCell ref="N49:Q49"/>
    <mergeCell ref="N50:Q50"/>
    <mergeCell ref="N51:Q51"/>
    <mergeCell ref="N52:Q52"/>
    <mergeCell ref="N53:Q53"/>
    <mergeCell ref="N54:Q54"/>
    <mergeCell ref="N55:Q55"/>
    <mergeCell ref="N56:Q56"/>
    <mergeCell ref="N39:Q39"/>
    <mergeCell ref="N40:Q40"/>
    <mergeCell ref="N41:Q41"/>
    <mergeCell ref="N42:Q42"/>
    <mergeCell ref="N43:Q43"/>
    <mergeCell ref="N44:Q44"/>
    <mergeCell ref="N45:Q45"/>
    <mergeCell ref="N46:Q46"/>
    <mergeCell ref="N47:Q47"/>
    <mergeCell ref="N30:Q30"/>
    <mergeCell ref="N31:Q31"/>
    <mergeCell ref="N32:Q32"/>
    <mergeCell ref="N33:Q33"/>
    <mergeCell ref="N34:Q34"/>
    <mergeCell ref="N35:Q35"/>
    <mergeCell ref="N36:Q36"/>
    <mergeCell ref="N37:Q37"/>
    <mergeCell ref="N38:Q38"/>
    <mergeCell ref="N21:Q21"/>
    <mergeCell ref="N22:Q22"/>
    <mergeCell ref="N23:Q23"/>
    <mergeCell ref="N24:Q24"/>
    <mergeCell ref="N25:Q25"/>
    <mergeCell ref="N26:Q26"/>
    <mergeCell ref="N27:Q27"/>
    <mergeCell ref="N28:Q28"/>
    <mergeCell ref="N29:Q29"/>
    <mergeCell ref="N16:Q16"/>
    <mergeCell ref="P5:Q5"/>
    <mergeCell ref="N5:O5"/>
    <mergeCell ref="N4:O4"/>
    <mergeCell ref="P4:Q4"/>
    <mergeCell ref="N17:Q17"/>
    <mergeCell ref="N18:Q18"/>
    <mergeCell ref="N19:Q19"/>
    <mergeCell ref="N20:Q20"/>
    <mergeCell ref="A4:B4"/>
    <mergeCell ref="C4:D4"/>
    <mergeCell ref="E4:F4"/>
    <mergeCell ref="G4:H4"/>
    <mergeCell ref="G5:H5"/>
    <mergeCell ref="E5:F5"/>
    <mergeCell ref="C5:D5"/>
    <mergeCell ref="A5:B5"/>
    <mergeCell ref="I4:J4"/>
    <mergeCell ref="I5:J5"/>
    <mergeCell ref="K4:M4"/>
    <mergeCell ref="K5:M5"/>
    <mergeCell ref="C56:D56"/>
    <mergeCell ref="C57:D57"/>
    <mergeCell ref="C58:D58"/>
    <mergeCell ref="C52:D52"/>
    <mergeCell ref="C53:D53"/>
    <mergeCell ref="C54:D54"/>
    <mergeCell ref="C55:D55"/>
    <mergeCell ref="C35:D35"/>
    <mergeCell ref="C36:D36"/>
    <mergeCell ref="C37:D37"/>
    <mergeCell ref="I7:K7"/>
    <mergeCell ref="E28:J28"/>
    <mergeCell ref="E27:J27"/>
    <mergeCell ref="E26:J26"/>
    <mergeCell ref="E25:J25"/>
    <mergeCell ref="E24:J24"/>
    <mergeCell ref="E23:J23"/>
    <mergeCell ref="C50:D50"/>
    <mergeCell ref="C51:D51"/>
    <mergeCell ref="C38:D38"/>
    <mergeCell ref="C39:D39"/>
    <mergeCell ref="C40:D40"/>
    <mergeCell ref="C47:D47"/>
    <mergeCell ref="C48:D48"/>
    <mergeCell ref="C49:D49"/>
    <mergeCell ref="C29:D29"/>
    <mergeCell ref="C30:D30"/>
    <mergeCell ref="C31:D31"/>
    <mergeCell ref="C32:D32"/>
    <mergeCell ref="C33:D33"/>
    <mergeCell ref="C34:D34"/>
    <mergeCell ref="C41:D41"/>
    <mergeCell ref="C42:D42"/>
    <mergeCell ref="C43:D43"/>
    <mergeCell ref="C44:D44"/>
    <mergeCell ref="C45:D45"/>
    <mergeCell ref="C46:D46"/>
    <mergeCell ref="A12:C12"/>
    <mergeCell ref="C25:D25"/>
    <mergeCell ref="C26:D26"/>
    <mergeCell ref="C27:D27"/>
    <mergeCell ref="C28:D28"/>
    <mergeCell ref="C17:D17"/>
    <mergeCell ref="C18:D18"/>
    <mergeCell ref="C19:D19"/>
    <mergeCell ref="C20:D20"/>
    <mergeCell ref="C21:D21"/>
    <mergeCell ref="A24:B24"/>
    <mergeCell ref="A25:B25"/>
    <mergeCell ref="A26:B26"/>
    <mergeCell ref="A27:B27"/>
    <mergeCell ref="A28:B28"/>
    <mergeCell ref="A16:B16"/>
    <mergeCell ref="C22:D22"/>
    <mergeCell ref="C23:D23"/>
    <mergeCell ref="C24:D24"/>
    <mergeCell ref="A9:C9"/>
    <mergeCell ref="A10:C10"/>
    <mergeCell ref="A11:C11"/>
    <mergeCell ref="A23:B23"/>
    <mergeCell ref="E58:J58"/>
    <mergeCell ref="E57:J57"/>
    <mergeCell ref="E42:J42"/>
    <mergeCell ref="E41:J41"/>
    <mergeCell ref="E40:J40"/>
    <mergeCell ref="E39:J39"/>
    <mergeCell ref="E38:J38"/>
    <mergeCell ref="E20:J20"/>
    <mergeCell ref="E49:J49"/>
    <mergeCell ref="E48:J48"/>
    <mergeCell ref="E47:J47"/>
    <mergeCell ref="E46:J46"/>
    <mergeCell ref="E45:J45"/>
    <mergeCell ref="E44:J44"/>
    <mergeCell ref="E43:J43"/>
    <mergeCell ref="E56:J56"/>
    <mergeCell ref="E55:J55"/>
    <mergeCell ref="E54:J54"/>
    <mergeCell ref="E53:J53"/>
    <mergeCell ref="E52:J52"/>
    <mergeCell ref="E51:J51"/>
    <mergeCell ref="E50:J50"/>
    <mergeCell ref="E22:J22"/>
    <mergeCell ref="C16:J16"/>
    <mergeCell ref="A7:C8"/>
    <mergeCell ref="D7:H7"/>
    <mergeCell ref="A17:B17"/>
    <mergeCell ref="A18:B18"/>
    <mergeCell ref="A19:B19"/>
    <mergeCell ref="A20:B20"/>
    <mergeCell ref="A21:B21"/>
    <mergeCell ref="A22:B22"/>
    <mergeCell ref="E21:J21"/>
    <mergeCell ref="E18:J18"/>
    <mergeCell ref="E17:J17"/>
    <mergeCell ref="E37:J37"/>
    <mergeCell ref="E36:J36"/>
    <mergeCell ref="E35:J35"/>
    <mergeCell ref="E34:J34"/>
    <mergeCell ref="E33:J33"/>
    <mergeCell ref="E32:J32"/>
    <mergeCell ref="E31:J31"/>
    <mergeCell ref="E30:J30"/>
    <mergeCell ref="E29:J29"/>
    <mergeCell ref="E19:J19"/>
    <mergeCell ref="A29:B29"/>
    <mergeCell ref="A30:B30"/>
    <mergeCell ref="A31:B31"/>
    <mergeCell ref="A32:B32"/>
    <mergeCell ref="A33:B33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53:B53"/>
    <mergeCell ref="A54:B54"/>
    <mergeCell ref="A55:B55"/>
    <mergeCell ref="A56:B56"/>
    <mergeCell ref="A57:B57"/>
    <mergeCell ref="A58:B58"/>
    <mergeCell ref="A44:B44"/>
    <mergeCell ref="A45:B45"/>
    <mergeCell ref="A46:B46"/>
    <mergeCell ref="A47:B47"/>
    <mergeCell ref="A48:B48"/>
    <mergeCell ref="A49:B49"/>
    <mergeCell ref="A50:B50"/>
    <mergeCell ref="A51:B51"/>
    <mergeCell ref="A52:B52"/>
  </mergeCells>
  <phoneticPr fontId="1" type="noConversion"/>
  <conditionalFormatting sqref="M17:M58">
    <cfRule type="cellIs" dxfId="4" priority="1" operator="equal">
      <formula>"인터뷰"</formula>
    </cfRule>
    <cfRule type="cellIs" dxfId="3" priority="2" operator="equal">
      <formula>"인터뷰"</formula>
    </cfRule>
    <cfRule type="cellIs" dxfId="2" priority="3" stopIfTrue="1" operator="equal">
      <formula>"취약"</formula>
    </cfRule>
    <cfRule type="cellIs" dxfId="1" priority="4" stopIfTrue="1" operator="equal">
      <formula>"부분만족"</formula>
    </cfRule>
    <cfRule type="cellIs" dxfId="0" priority="5" stopIfTrue="1" operator="equal">
      <formula>"N/A"</formula>
    </cfRule>
  </conditionalFormatting>
  <dataValidations count="2">
    <dataValidation allowBlank="1" showInputMessage="1" showErrorMessage="1" errorTitle="잘못된 입력값" error="&quot;Y&quot;, &quot;N&quot;, &quot;P&quot;, &quot;N/A&quot; 로 입력해 주세요." sqref="M983026:M983098 M65522:M65594 M131058:M131130 M196594:M196666 M262130:M262202 M327666:M327738 M393202:M393274 M458738:M458810 M524274:M524346 M589810:M589882 M655346:M655418 M720882:M720954 M786418:M786490 M851954:M852026 M917490:M917562" xr:uid="{00000000-0002-0000-0E00-000000000000}"/>
    <dataValidation type="list" showInputMessage="1" showErrorMessage="1" errorTitle="잘못된 입력값" error="양호, 취약, 부분만족, N/A 만 입력 가능합니다." sqref="M17:M58" xr:uid="{00000000-0002-0000-0E00-000001000000}">
      <formula1>"양호,취약,부분만족,N/A,인터뷰"</formula1>
    </dataValidation>
  </dataValidations>
  <printOptions horizontalCentered="1"/>
  <pageMargins left="0.39370078740157483" right="0.39370078740157483" top="0.59055118110236227" bottom="0.59055118110236227" header="0.19685039370078741" footer="0.19685039370078741"/>
  <pageSetup paperSize="9" scale="64" fitToHeight="0" orientation="portrait" r:id="rId1"/>
  <legacyDrawingHF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1">
    <tabColor theme="1"/>
  </sheetPr>
  <dimension ref="A1:G2"/>
  <sheetViews>
    <sheetView workbookViewId="0">
      <selection sqref="A1:G1"/>
    </sheetView>
  </sheetViews>
  <sheetFormatPr defaultColWidth="9" defaultRowHeight="13.5"/>
  <cols>
    <col min="1" max="16384" width="9" style="2"/>
  </cols>
  <sheetData>
    <row r="1" spans="1:7" ht="24">
      <c r="A1" s="582" t="s">
        <v>55</v>
      </c>
      <c r="B1" s="582"/>
      <c r="C1" s="582"/>
      <c r="D1" s="582"/>
      <c r="E1" s="582"/>
      <c r="F1" s="582"/>
      <c r="G1" s="582"/>
    </row>
    <row r="2" spans="1:7" ht="24">
      <c r="A2" s="194"/>
      <c r="B2" s="194"/>
      <c r="C2" s="194"/>
      <c r="D2" s="194"/>
      <c r="E2" s="194"/>
      <c r="F2" s="194"/>
      <c r="G2" s="194"/>
    </row>
  </sheetData>
  <mergeCells count="1">
    <mergeCell ref="A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 지정된 범위</vt:lpstr>
      </vt:variant>
      <vt:variant>
        <vt:i4>16</vt:i4>
      </vt:variant>
    </vt:vector>
  </HeadingPairs>
  <TitlesOfParts>
    <vt:vector size="32" baseType="lpstr">
      <vt:lpstr>#삭제. 설명서</vt:lpstr>
      <vt:lpstr>#숨김. 정보보호시스템 보안 가이드</vt:lpstr>
      <vt:lpstr>#숨김. 위협목록</vt:lpstr>
      <vt:lpstr>표지</vt:lpstr>
      <vt:lpstr>개정이력</vt:lpstr>
      <vt:lpstr>개요</vt:lpstr>
      <vt:lpstr>점검대상</vt:lpstr>
      <vt:lpstr>보안수준 통계</vt:lpstr>
      <vt:lpstr>요약 통계</vt:lpstr>
      <vt:lpstr>#삭제. 항목별 취약 시스템</vt:lpstr>
      <vt:lpstr>#숨김. 전년도 점검 결과</vt:lpstr>
      <vt:lpstr>결과 비교</vt:lpstr>
      <vt:lpstr>#삭제. 결과가져오기</vt:lpstr>
      <vt:lpstr>통합 점검결과</vt:lpstr>
      <vt:lpstr>SS(샘플)</vt:lpstr>
      <vt:lpstr>END</vt:lpstr>
      <vt:lpstr>'#삭제. 결과가져오기'!Print_Area</vt:lpstr>
      <vt:lpstr>'#삭제. 설명서'!Print_Area</vt:lpstr>
      <vt:lpstr>'#삭제. 항목별 취약 시스템'!Print_Area</vt:lpstr>
      <vt:lpstr>'#숨김. 위협목록'!Print_Area</vt:lpstr>
      <vt:lpstr>'#숨김. 전년도 점검 결과'!Print_Area</vt:lpstr>
      <vt:lpstr>'#숨김. 정보보호시스템 보안 가이드'!Print_Area</vt:lpstr>
      <vt:lpstr>개요!Print_Area</vt:lpstr>
      <vt:lpstr>개정이력!Print_Area</vt:lpstr>
      <vt:lpstr>'결과 비교'!Print_Area</vt:lpstr>
      <vt:lpstr>'보안수준 통계'!Print_Area</vt:lpstr>
      <vt:lpstr>'요약 통계'!Print_Area</vt:lpstr>
      <vt:lpstr>점검대상!Print_Area</vt:lpstr>
      <vt:lpstr>'통합 점검결과'!Print_Area</vt:lpstr>
      <vt:lpstr>표지!Print_Area</vt:lpstr>
      <vt:lpstr>'#숨김. 위협목록'!Print_Titles</vt:lpstr>
      <vt:lpstr>'요약 통계'!Print_Titles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ICTIS</dc:creator>
  <cp:lastModifiedBy>Lynsecure</cp:lastModifiedBy>
  <cp:lastPrinted>2023-03-21T16:21:12Z</cp:lastPrinted>
  <dcterms:created xsi:type="dcterms:W3CDTF">2017-02-20T08:28:44Z</dcterms:created>
  <dcterms:modified xsi:type="dcterms:W3CDTF">2025-04-16T08:12:17Z</dcterms:modified>
</cp:coreProperties>
</file>