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51196F13-6AD0-C1B8-E2B4-A1F9AE17003E}"/>
  <workbookPr codeName="현재_통합_문서"/>
  <mc:AlternateContent xmlns:mc="http://schemas.openxmlformats.org/markup-compatibility/2006">
    <mc:Choice Requires="x15">
      <x15ac:absPath xmlns:x15ac="http://schemas.microsoft.com/office/spreadsheetml/2010/11/ac" url="C:\Users\lms\Desktop\템플릿 프로젝트 2\이호설\취약점 진단 결과보고서\2. 전자\"/>
    </mc:Choice>
  </mc:AlternateContent>
  <xr:revisionPtr revIDLastSave="0" documentId="13_ncr:1_{9AE03849-8605-4B45-A630-EC6003925B9F}" xr6:coauthVersionLast="47" xr6:coauthVersionMax="47" xr10:uidLastSave="{00000000-0000-0000-0000-000000000000}"/>
  <bookViews>
    <workbookView xWindow="0" yWindow="0" windowWidth="14400" windowHeight="15600" tabRatio="868" xr2:uid="{00000000-000D-0000-FFFF-FFFF00000000}"/>
  </bookViews>
  <sheets>
    <sheet name="#삭제. 설명서" sheetId="95" r:id="rId1"/>
    <sheet name="#숨김. WINDOWS 서버 보안 가이드" sheetId="73" r:id="rId2"/>
    <sheet name="#숨김. 위협목록" sheetId="101" r:id="rId3"/>
    <sheet name="표지" sheetId="79" r:id="rId4"/>
    <sheet name="개정이력" sheetId="81" r:id="rId5"/>
    <sheet name="개요" sheetId="100" r:id="rId6"/>
    <sheet name="점검대상" sheetId="66" r:id="rId7"/>
    <sheet name="보안수준 통계" sheetId="69" r:id="rId8"/>
    <sheet name="요약 통계" sheetId="67" r:id="rId9"/>
    <sheet name="#삭제. 항목별 취약 시스템" sheetId="68" r:id="rId10"/>
    <sheet name="#숨김. 전년도 점검 결과" sheetId="70" r:id="rId11"/>
    <sheet name="결과 비교" sheetId="71" r:id="rId12"/>
    <sheet name="#삭제. 결과가져오기" sheetId="83" r:id="rId13"/>
    <sheet name="통합 점검결과" sheetId="84" r:id="rId14"/>
    <sheet name="WINDOWS(샘플)" sheetId="74" r:id="rId15"/>
    <sheet name="END" sheetId="78" state="hidden" r:id="rId16"/>
  </sheets>
  <externalReferences>
    <externalReference r:id="rId17"/>
  </externalReferences>
  <definedNames>
    <definedName name="_001전체이행V점수" comment="AH열 관련 indirect-&gt;수정후V">INDIRECT("'05.취약점 분석평가 (진단결과_통합)'!$V$6:$V$"&amp;"1048576")</definedName>
    <definedName name="_001전체최초T점수" comment="AF열 관련 indirect-&gt;수정후T">INDIRECT("'05.취약점 분석평가 (진단결과_통합)'!$T$6:$T$"&amp;"1048576")</definedName>
    <definedName name="_002최초U점수" comment="AG열 관련 indirect-&gt;수정후U">INDIRECT("'05.취약점 분석평가 (진단결과_통합)'!$U$6:$U$"&amp;"1048576")</definedName>
    <definedName name="_003이행W점수" comment="AI열 관련 indirect-&gt;수정후W">INDIRECT("'05.취약점 분석평가 (진단결과_통합)'!$W$6:$W$"&amp;"1048576")</definedName>
    <definedName name="_004호스트명A확인" comment="호스트명확인">INDIRECT("'05.취약점 분석평가 (진단결과_통합)'!$A$6:$A$"&amp;"1048576")</definedName>
    <definedName name="_005구분E확인" comment="구분확인">INDIRECT("'05.취약점 분석평가 (진단결과_통합)'!$E$6:$E$"&amp;"1048576")</definedName>
    <definedName name="_006호스트넘버B확인" comment="호스트넘버B확인">INDIRECT("'05.취약점 분석평가 (진단결과_통합)'!$B$6:$B$"&amp;"1048576")</definedName>
    <definedName name="_007최초I진단결과" comment="최초진단결과">INDIRECT("'05.취약점 분석평가 (진단결과_통합)'!$I$6:$I$"&amp;"1048576")</definedName>
    <definedName name="_008이행K진단결과" comment="이행진단결과">INDIRECT("'05.취약점 분석평가 (진단결과_통합)'!$K$6:$K$"&amp;"1048576")</definedName>
    <definedName name="_xlnm._FilterDatabase" localSheetId="12" hidden="1">'#삭제. 결과가져오기'!$A$6:$N$89</definedName>
    <definedName name="_xlnm._FilterDatabase" localSheetId="0" hidden="1">'#삭제. 설명서'!$B$80:$O$100</definedName>
    <definedName name="_xlnm._FilterDatabase" localSheetId="1" hidden="1">'#숨김. WINDOWS 서버 보안 가이드'!$A$5:$Q$88</definedName>
    <definedName name="_xlnm._FilterDatabase" localSheetId="8" hidden="1">'요약 통계'!$A$5:$Q$89</definedName>
    <definedName name="_xlnm._FilterDatabase" localSheetId="13" hidden="1">'통합 점검결과'!$A$5:$P$6</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_xlnm.Print_Area" localSheetId="12">'#삭제. 결과가져오기'!$A$1:$N$89</definedName>
    <definedName name="_xlnm.Print_Area" localSheetId="0">'#삭제. 설명서'!$A$1:$P$101</definedName>
    <definedName name="_xlnm.Print_Area" localSheetId="9">'#삭제. 항목별 취약 시스템'!$A$1:$D$88</definedName>
    <definedName name="_xlnm.Print_Area" localSheetId="1">'#숨김. WINDOWS 서버 보안 가이드'!$A$1:$Q$88</definedName>
    <definedName name="_xlnm.Print_Area" localSheetId="2">'#숨김. 위협목록'!$A$1:$M$96</definedName>
    <definedName name="_xlnm.Print_Area" localSheetId="10">'#숨김. 전년도 점검 결과'!$A$1:$N$89</definedName>
    <definedName name="_xlnm.Print_Area" localSheetId="14">'WINDOWS(샘플)'!$A$1:$R$99</definedName>
    <definedName name="_xlnm.Print_Area" localSheetId="5">개요!$A$1:$Q$65</definedName>
    <definedName name="_xlnm.Print_Area" localSheetId="4">개정이력!$A$1:$Q$44</definedName>
    <definedName name="_xlnm.Print_Area" localSheetId="11">'결과 비교'!$A$1:$N$89</definedName>
    <definedName name="_xlnm.Print_Area" localSheetId="7">'보안수준 통계'!$A$1:$J$42</definedName>
    <definedName name="_xlnm.Print_Area" localSheetId="8">'요약 통계'!$A$1:$O$89</definedName>
    <definedName name="_xlnm.Print_Area" localSheetId="6">점검대상!$A$1:$L$29</definedName>
    <definedName name="_xlnm.Print_Area" localSheetId="13">'통합 점검결과'!$A$1:$P$6</definedName>
    <definedName name="_xlnm.Print_Area" localSheetId="3">표지!$A$1:$Q$54</definedName>
    <definedName name="_xlnm.Print_Titles" localSheetId="2">'#숨김. 위협목록'!$1:$2</definedName>
    <definedName name="_xlnm.Print_Titles" localSheetId="8">'요약 통계'!$A:$C</definedName>
    <definedName name="ㅁㅁ"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ㅁㅁㅁㅁ">'[1]#정보보호점검항목'!#REF!</definedName>
    <definedName name="이력관리팀">" "</definedName>
    <definedName name="ㅠ1">'[1]#정보보호점검항목'!#REF!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6" i="101" l="1"/>
  <c r="H96" i="101"/>
  <c r="I95" i="101"/>
  <c r="H95" i="101"/>
  <c r="J95" i="101" s="1"/>
  <c r="I94" i="101"/>
  <c r="H94" i="101"/>
  <c r="I93" i="101"/>
  <c r="H93" i="101"/>
  <c r="I92" i="101"/>
  <c r="H92" i="101"/>
  <c r="J92" i="101" s="1"/>
  <c r="I91" i="101"/>
  <c r="H91" i="101"/>
  <c r="J91" i="101" s="1"/>
  <c r="I90" i="101"/>
  <c r="H90" i="101"/>
  <c r="J90" i="101" s="1"/>
  <c r="I89" i="101"/>
  <c r="J89" i="101" s="1"/>
  <c r="K89" i="101" s="1"/>
  <c r="H89" i="101"/>
  <c r="I88" i="101"/>
  <c r="H88" i="101"/>
  <c r="I87" i="101"/>
  <c r="J87" i="101" s="1"/>
  <c r="H87" i="101"/>
  <c r="L86" i="101"/>
  <c r="K86" i="101"/>
  <c r="L85" i="101"/>
  <c r="K85" i="101"/>
  <c r="I84" i="101"/>
  <c r="H84" i="101"/>
  <c r="J84" i="101" s="1"/>
  <c r="J83" i="101"/>
  <c r="K83" i="101" s="1"/>
  <c r="I83" i="101"/>
  <c r="H83" i="101"/>
  <c r="I82" i="101"/>
  <c r="H82" i="101"/>
  <c r="I81" i="101"/>
  <c r="H81" i="101"/>
  <c r="J81" i="101" s="1"/>
  <c r="I80" i="101"/>
  <c r="H80" i="101"/>
  <c r="J80" i="101" s="1"/>
  <c r="I79" i="101"/>
  <c r="H79" i="101"/>
  <c r="J79" i="101" s="1"/>
  <c r="I78" i="101"/>
  <c r="H78" i="101"/>
  <c r="I77" i="101"/>
  <c r="H77" i="101"/>
  <c r="J77" i="101" s="1"/>
  <c r="I76" i="101"/>
  <c r="H76" i="101"/>
  <c r="J76" i="101" s="1"/>
  <c r="I75" i="101"/>
  <c r="H75" i="101"/>
  <c r="J75" i="101" s="1"/>
  <c r="K75" i="101" s="1"/>
  <c r="I74" i="101"/>
  <c r="H74" i="101"/>
  <c r="I73" i="101"/>
  <c r="H73" i="101"/>
  <c r="I72" i="101"/>
  <c r="H72" i="101"/>
  <c r="I71" i="101"/>
  <c r="H71" i="101"/>
  <c r="L70" i="101"/>
  <c r="K70" i="101"/>
  <c r="L69" i="101"/>
  <c r="K69" i="101"/>
  <c r="L68" i="101"/>
  <c r="K68" i="101"/>
  <c r="L67" i="101"/>
  <c r="K67" i="101"/>
  <c r="L66" i="101"/>
  <c r="K66" i="101"/>
  <c r="L65" i="101"/>
  <c r="K65" i="101"/>
  <c r="L64" i="101"/>
  <c r="K64" i="101"/>
  <c r="L63" i="101"/>
  <c r="K63" i="101"/>
  <c r="L62" i="101"/>
  <c r="K62" i="101"/>
  <c r="L61" i="101"/>
  <c r="K61" i="101"/>
  <c r="I60" i="101"/>
  <c r="H60" i="101"/>
  <c r="I59" i="101"/>
  <c r="H59" i="101"/>
  <c r="J59" i="101" s="1"/>
  <c r="I58" i="101"/>
  <c r="H58" i="101"/>
  <c r="I57" i="101"/>
  <c r="H57" i="101"/>
  <c r="I56" i="101"/>
  <c r="H56" i="101"/>
  <c r="I55" i="101"/>
  <c r="H55" i="101"/>
  <c r="J55" i="101" s="1"/>
  <c r="I54" i="101"/>
  <c r="H54" i="101"/>
  <c r="J53" i="101"/>
  <c r="K53" i="101" s="1"/>
  <c r="I53" i="101"/>
  <c r="H53" i="101"/>
  <c r="I52" i="101"/>
  <c r="H52" i="101"/>
  <c r="J52" i="101" s="1"/>
  <c r="I51" i="101"/>
  <c r="H51" i="101"/>
  <c r="I50" i="101"/>
  <c r="H50" i="101"/>
  <c r="J50" i="101" s="1"/>
  <c r="I49" i="101"/>
  <c r="H49" i="101"/>
  <c r="J49" i="101" s="1"/>
  <c r="L49" i="101" s="1"/>
  <c r="I48" i="101"/>
  <c r="H48" i="101"/>
  <c r="J48" i="101" s="1"/>
  <c r="I47" i="101"/>
  <c r="H47" i="101"/>
  <c r="I46" i="101"/>
  <c r="H46" i="101"/>
  <c r="I45" i="101"/>
  <c r="H45" i="101"/>
  <c r="J45" i="101" s="1"/>
  <c r="K45" i="101" s="1"/>
  <c r="I44" i="101"/>
  <c r="H44" i="101"/>
  <c r="I43" i="101"/>
  <c r="H43" i="101"/>
  <c r="J43" i="101" s="1"/>
  <c r="I42" i="101"/>
  <c r="H42" i="101"/>
  <c r="J42" i="101" s="1"/>
  <c r="I41" i="101"/>
  <c r="H41" i="101"/>
  <c r="J41" i="101" s="1"/>
  <c r="I40" i="101"/>
  <c r="H40" i="101"/>
  <c r="I39" i="101"/>
  <c r="H39" i="101"/>
  <c r="J39" i="101" s="1"/>
  <c r="I38" i="101"/>
  <c r="H38" i="101"/>
  <c r="J38" i="101" s="1"/>
  <c r="L38" i="101" s="1"/>
  <c r="I37" i="101"/>
  <c r="H37" i="101"/>
  <c r="J37" i="101" s="1"/>
  <c r="K37" i="101" s="1"/>
  <c r="I36" i="101"/>
  <c r="H36" i="101"/>
  <c r="L35" i="101"/>
  <c r="K35" i="101"/>
  <c r="I34" i="101"/>
  <c r="H34" i="101"/>
  <c r="J34" i="101" s="1"/>
  <c r="I33" i="101"/>
  <c r="H33" i="101"/>
  <c r="I32" i="101"/>
  <c r="H32" i="101"/>
  <c r="J32" i="101" s="1"/>
  <c r="I31" i="101"/>
  <c r="H31" i="101"/>
  <c r="J31" i="101" s="1"/>
  <c r="I30" i="101"/>
  <c r="H30" i="101"/>
  <c r="J30" i="101" s="1"/>
  <c r="K30" i="101" s="1"/>
  <c r="I29" i="101"/>
  <c r="J29" i="101" s="1"/>
  <c r="H29" i="101"/>
  <c r="I28" i="101"/>
  <c r="H28" i="101"/>
  <c r="L27" i="101"/>
  <c r="K27" i="101"/>
  <c r="L26" i="101"/>
  <c r="K26" i="101"/>
  <c r="L25" i="101"/>
  <c r="K25" i="101"/>
  <c r="L24" i="101"/>
  <c r="K24" i="101"/>
  <c r="L23" i="101"/>
  <c r="K23" i="101"/>
  <c r="L22" i="101"/>
  <c r="K22" i="101"/>
  <c r="L21" i="101"/>
  <c r="K21" i="101"/>
  <c r="L20" i="101"/>
  <c r="K20" i="101"/>
  <c r="L19" i="101"/>
  <c r="K19" i="101"/>
  <c r="L18" i="101"/>
  <c r="K18" i="101"/>
  <c r="L17" i="101"/>
  <c r="K17" i="101"/>
  <c r="L16" i="101"/>
  <c r="K16" i="101"/>
  <c r="L15" i="101"/>
  <c r="K15" i="101"/>
  <c r="L14" i="101"/>
  <c r="K14" i="101"/>
  <c r="L13" i="101"/>
  <c r="K13" i="101"/>
  <c r="J12" i="101"/>
  <c r="L12" i="101" s="1"/>
  <c r="I12" i="101"/>
  <c r="H12" i="101"/>
  <c r="I11" i="101"/>
  <c r="H11" i="101"/>
  <c r="J11" i="101" s="1"/>
  <c r="I10" i="101"/>
  <c r="H10" i="101"/>
  <c r="J10" i="101" s="1"/>
  <c r="I9" i="101"/>
  <c r="H9" i="101"/>
  <c r="J9" i="101" s="1"/>
  <c r="I8" i="101"/>
  <c r="H8" i="101"/>
  <c r="J8" i="101" s="1"/>
  <c r="I7" i="101"/>
  <c r="H7" i="101"/>
  <c r="J7" i="101" s="1"/>
  <c r="I6" i="101"/>
  <c r="H6" i="101"/>
  <c r="J6" i="101" s="1"/>
  <c r="I5" i="101"/>
  <c r="H5" i="101"/>
  <c r="J5" i="101" s="1"/>
  <c r="K5" i="101" s="1"/>
  <c r="I4" i="101"/>
  <c r="H4" i="101"/>
  <c r="I3" i="101"/>
  <c r="H3" i="101"/>
  <c r="J3" i="101" s="1"/>
  <c r="K95" i="101" l="1"/>
  <c r="L95" i="101"/>
  <c r="L8" i="101"/>
  <c r="K8" i="101"/>
  <c r="K87" i="101"/>
  <c r="L87" i="101"/>
  <c r="K81" i="101"/>
  <c r="L81" i="101"/>
  <c r="J36" i="101"/>
  <c r="J47" i="101"/>
  <c r="J54" i="101"/>
  <c r="J58" i="101"/>
  <c r="L58" i="101" s="1"/>
  <c r="J74" i="101"/>
  <c r="L74" i="101" s="1"/>
  <c r="J94" i="101"/>
  <c r="L94" i="101" s="1"/>
  <c r="J33" i="101"/>
  <c r="J40" i="101"/>
  <c r="J44" i="101"/>
  <c r="J51" i="101"/>
  <c r="J78" i="101"/>
  <c r="J71" i="101"/>
  <c r="J88" i="101"/>
  <c r="J56" i="101"/>
  <c r="L56" i="101" s="1"/>
  <c r="J60" i="101"/>
  <c r="J72" i="101"/>
  <c r="J82" i="101"/>
  <c r="J93" i="101"/>
  <c r="J96" i="101"/>
  <c r="J4" i="101"/>
  <c r="J28" i="101"/>
  <c r="J46" i="101"/>
  <c r="L46" i="101" s="1"/>
  <c r="J57" i="101"/>
  <c r="J73" i="101"/>
  <c r="K43" i="101"/>
  <c r="L43" i="101"/>
  <c r="L77" i="101"/>
  <c r="K77" i="101"/>
  <c r="L90" i="101"/>
  <c r="K90" i="101"/>
  <c r="L6" i="101"/>
  <c r="K6" i="101"/>
  <c r="K74" i="101"/>
  <c r="L50" i="101"/>
  <c r="K50" i="101"/>
  <c r="L40" i="101"/>
  <c r="K40" i="101"/>
  <c r="L78" i="101"/>
  <c r="K78" i="101"/>
  <c r="L91" i="101"/>
  <c r="K91" i="101"/>
  <c r="L32" i="101"/>
  <c r="K32" i="101"/>
  <c r="K3" i="101"/>
  <c r="L3" i="101"/>
  <c r="L84" i="101"/>
  <c r="K84" i="101"/>
  <c r="L7" i="101"/>
  <c r="K7" i="101"/>
  <c r="L44" i="101"/>
  <c r="K44" i="101"/>
  <c r="K59" i="101"/>
  <c r="L59" i="101"/>
  <c r="L71" i="101"/>
  <c r="K71" i="101"/>
  <c r="L88" i="101"/>
  <c r="K88" i="101"/>
  <c r="L29" i="101"/>
  <c r="K29" i="101"/>
  <c r="K51" i="101"/>
  <c r="L51" i="101"/>
  <c r="L55" i="101"/>
  <c r="K55" i="101"/>
  <c r="L4" i="101"/>
  <c r="K4" i="101"/>
  <c r="K11" i="101"/>
  <c r="L11" i="101"/>
  <c r="L34" i="101"/>
  <c r="K34" i="101"/>
  <c r="L41" i="101"/>
  <c r="K41" i="101"/>
  <c r="L52" i="101"/>
  <c r="K52" i="101"/>
  <c r="L79" i="101"/>
  <c r="K79" i="101"/>
  <c r="L92" i="101"/>
  <c r="K92" i="101"/>
  <c r="L39" i="101"/>
  <c r="K39" i="101"/>
  <c r="L47" i="101"/>
  <c r="K47" i="101"/>
  <c r="K56" i="101"/>
  <c r="L60" i="101"/>
  <c r="K60" i="101"/>
  <c r="L72" i="101"/>
  <c r="K72" i="101"/>
  <c r="L82" i="101"/>
  <c r="K82" i="101"/>
  <c r="L36" i="101"/>
  <c r="K36" i="101"/>
  <c r="L54" i="101"/>
  <c r="K54" i="101"/>
  <c r="L33" i="101"/>
  <c r="K33" i="101"/>
  <c r="L48" i="101"/>
  <c r="K48" i="101"/>
  <c r="L31" i="101"/>
  <c r="K31" i="101"/>
  <c r="L42" i="101"/>
  <c r="K42" i="101"/>
  <c r="L76" i="101"/>
  <c r="K76" i="101"/>
  <c r="L80" i="101"/>
  <c r="K80" i="101"/>
  <c r="L93" i="101"/>
  <c r="K93" i="101"/>
  <c r="L96" i="101"/>
  <c r="K96" i="101"/>
  <c r="L9" i="101"/>
  <c r="K9" i="101"/>
  <c r="L10" i="101"/>
  <c r="K10" i="101"/>
  <c r="K28" i="101"/>
  <c r="L28" i="101"/>
  <c r="L57" i="101"/>
  <c r="K57" i="101"/>
  <c r="K73" i="101"/>
  <c r="L73" i="101"/>
  <c r="L5" i="101"/>
  <c r="L30" i="101"/>
  <c r="L37" i="101"/>
  <c r="L45" i="101"/>
  <c r="L53" i="101"/>
  <c r="L75" i="101"/>
  <c r="L83" i="101"/>
  <c r="L89" i="101"/>
  <c r="K12" i="101"/>
  <c r="K49" i="101"/>
  <c r="K38" i="101"/>
  <c r="K94" i="101" l="1"/>
  <c r="K46" i="101"/>
  <c r="K58" i="101"/>
  <c r="K8" i="66"/>
  <c r="K7" i="66"/>
  <c r="A29" i="66"/>
  <c r="A28" i="66"/>
  <c r="A27" i="66"/>
  <c r="A26" i="66"/>
  <c r="A25" i="66"/>
  <c r="A24" i="66"/>
  <c r="A23" i="66"/>
  <c r="A22" i="66"/>
  <c r="A21" i="66"/>
  <c r="A20" i="66"/>
  <c r="A19" i="66"/>
  <c r="A18" i="66"/>
  <c r="A17" i="66"/>
  <c r="A16" i="66"/>
  <c r="A15" i="66"/>
  <c r="A14" i="66"/>
  <c r="A13" i="66"/>
  <c r="A12" i="66"/>
  <c r="A11" i="66"/>
  <c r="A10" i="66"/>
  <c r="A9" i="66"/>
  <c r="A8" i="66"/>
  <c r="A7" i="66"/>
  <c r="N103" i="70" l="1"/>
  <c r="M103" i="70"/>
  <c r="L103" i="70"/>
  <c r="N102" i="70"/>
  <c r="M102" i="70"/>
  <c r="L102" i="70"/>
  <c r="N101" i="70"/>
  <c r="M101" i="70"/>
  <c r="L101" i="70"/>
  <c r="N100" i="70"/>
  <c r="M100" i="70"/>
  <c r="L100" i="70"/>
  <c r="N99" i="70"/>
  <c r="M99" i="70"/>
  <c r="L99" i="70"/>
  <c r="N98" i="70"/>
  <c r="M98" i="70"/>
  <c r="L98" i="70"/>
  <c r="N97" i="70"/>
  <c r="M97" i="70"/>
  <c r="L97" i="70"/>
  <c r="N96" i="70"/>
  <c r="M96" i="70"/>
  <c r="L96" i="70"/>
  <c r="N95" i="70"/>
  <c r="M95" i="70"/>
  <c r="L95" i="70"/>
  <c r="N93" i="70"/>
  <c r="M93" i="70"/>
  <c r="L93" i="70"/>
  <c r="N92" i="70"/>
  <c r="M92" i="70"/>
  <c r="L92" i="70"/>
  <c r="N91" i="70"/>
  <c r="M91" i="70"/>
  <c r="L91" i="70"/>
  <c r="E89" i="70"/>
  <c r="E89" i="71" l="1"/>
  <c r="E89" i="67" l="1"/>
  <c r="R2" i="74" l="1"/>
  <c r="A40" i="69"/>
  <c r="A41" i="69"/>
  <c r="A39" i="69"/>
  <c r="J103" i="70" l="1"/>
  <c r="J101" i="70"/>
  <c r="J92" i="70"/>
  <c r="J91" i="70" l="1"/>
  <c r="J102" i="70"/>
  <c r="J100" i="70"/>
  <c r="J96" i="70"/>
  <c r="J97" i="70"/>
  <c r="J98" i="70"/>
  <c r="J93" i="70"/>
  <c r="J99" i="70"/>
  <c r="J95" i="70"/>
  <c r="N4" i="67"/>
  <c r="L4" i="67"/>
  <c r="M4" i="67"/>
  <c r="N4" i="71" l="1"/>
  <c r="N4" i="70"/>
  <c r="L4" i="71"/>
  <c r="L4" i="70"/>
  <c r="M4" i="71"/>
  <c r="M4" i="70"/>
  <c r="K4" i="70"/>
  <c r="A11" i="74"/>
  <c r="A10" i="74"/>
  <c r="A9" i="74"/>
  <c r="A5" i="74"/>
  <c r="A6" i="84"/>
  <c r="N89" i="70"/>
  <c r="M89" i="70"/>
  <c r="L89" i="70"/>
  <c r="K29" i="66"/>
  <c r="K28" i="66"/>
  <c r="K27" i="66"/>
  <c r="K26" i="66"/>
  <c r="K25" i="66"/>
  <c r="K24" i="66"/>
  <c r="K23" i="66"/>
  <c r="K22" i="66"/>
  <c r="K21" i="66"/>
  <c r="K20" i="66"/>
  <c r="K19" i="66"/>
  <c r="K18" i="66"/>
  <c r="K17" i="66"/>
  <c r="K16" i="66"/>
  <c r="K15" i="66"/>
  <c r="K14" i="66"/>
  <c r="K13" i="66"/>
  <c r="K12" i="66"/>
  <c r="K11" i="66"/>
  <c r="K10" i="66"/>
  <c r="K9" i="66"/>
  <c r="O6" i="84" l="1"/>
  <c r="L6" i="84"/>
  <c r="K6" i="84"/>
  <c r="J6" i="84"/>
  <c r="I6" i="84"/>
  <c r="C6" i="84"/>
  <c r="F6" i="84"/>
  <c r="D6" i="84"/>
  <c r="E6" i="84"/>
  <c r="H6" i="84"/>
  <c r="G6" i="84"/>
  <c r="N5" i="74"/>
  <c r="K5" i="74"/>
  <c r="D9" i="74"/>
  <c r="C12" i="69"/>
  <c r="B6" i="84"/>
  <c r="N19" i="74" s="1" a="1"/>
  <c r="N19" i="74" s="1"/>
  <c r="D10" i="74"/>
  <c r="D11" i="74"/>
  <c r="C5" i="69"/>
  <c r="I5" i="74"/>
  <c r="G5" i="74"/>
  <c r="E5" i="74"/>
  <c r="C5" i="74"/>
  <c r="R17" i="74" l="1" a="1"/>
  <c r="R17" i="74" s="1"/>
  <c r="N17" i="74" a="1"/>
  <c r="N17" i="74" s="1"/>
  <c r="M17" i="74" a="1"/>
  <c r="M17" i="74" s="1"/>
  <c r="N59" i="74" a="1"/>
  <c r="N59" i="74" s="1"/>
  <c r="N51" i="74" a="1"/>
  <c r="N51" i="74" s="1"/>
  <c r="N35" i="74" a="1"/>
  <c r="N35" i="74" s="1"/>
  <c r="N25" i="74" a="1"/>
  <c r="N25" i="74" s="1"/>
  <c r="N32" i="74" a="1"/>
  <c r="N32" i="74" s="1"/>
  <c r="N38" i="74" a="1"/>
  <c r="N38" i="74" s="1"/>
  <c r="N37" i="74" a="1"/>
  <c r="N37" i="74" s="1"/>
  <c r="N27" i="74" a="1"/>
  <c r="N27" i="74" s="1"/>
  <c r="N91" i="74" a="1"/>
  <c r="N91" i="74" s="1"/>
  <c r="N83" i="74" a="1"/>
  <c r="N83" i="74" s="1"/>
  <c r="N22" i="74" a="1"/>
  <c r="N22" i="74" s="1"/>
  <c r="N29" i="74" a="1"/>
  <c r="N29" i="74" s="1"/>
  <c r="N99" i="74" a="1"/>
  <c r="N99" i="74" s="1"/>
  <c r="N97" i="74" a="1"/>
  <c r="N97" i="74" s="1"/>
  <c r="N87" i="74" a="1"/>
  <c r="N87" i="74" s="1"/>
  <c r="N94" i="74" a="1"/>
  <c r="N94" i="74" s="1"/>
  <c r="N74" i="74" a="1"/>
  <c r="N74" i="74" s="1"/>
  <c r="N81" i="74" a="1"/>
  <c r="N81" i="74" s="1"/>
  <c r="N71" i="74" a="1"/>
  <c r="N71" i="74" s="1"/>
  <c r="N78" i="74" a="1"/>
  <c r="N78" i="74" s="1"/>
  <c r="N84" i="74" a="1"/>
  <c r="N84" i="74" s="1"/>
  <c r="N50" i="74" a="1"/>
  <c r="N50" i="74" s="1"/>
  <c r="N65" i="74" a="1"/>
  <c r="N65" i="74" s="1"/>
  <c r="N55" i="74" a="1"/>
  <c r="N55" i="74" s="1"/>
  <c r="N62" i="74" a="1"/>
  <c r="N62" i="74" s="1"/>
  <c r="N68" i="74" a="1"/>
  <c r="N68" i="74" s="1"/>
  <c r="N26" i="74" a="1"/>
  <c r="N26" i="74" s="1"/>
  <c r="N41" i="74" a="1"/>
  <c r="N41" i="74" s="1"/>
  <c r="N39" i="74" a="1"/>
  <c r="N39" i="74" s="1"/>
  <c r="N46" i="74" a="1"/>
  <c r="N46" i="74" s="1"/>
  <c r="N52" i="74" a="1"/>
  <c r="N52" i="74" s="1"/>
  <c r="N82" i="74" a="1"/>
  <c r="N82" i="74" s="1"/>
  <c r="N33" i="74" a="1"/>
  <c r="N33" i="74" s="1"/>
  <c r="N23" i="74" a="1"/>
  <c r="N23" i="74" s="1"/>
  <c r="N30" i="74" a="1"/>
  <c r="N30" i="74" s="1"/>
  <c r="N44" i="74" a="1"/>
  <c r="N44" i="74" s="1"/>
  <c r="N66" i="74" a="1"/>
  <c r="N66" i="74" s="1"/>
  <c r="N96" i="74" a="1"/>
  <c r="N96" i="74" s="1"/>
  <c r="N95" i="74" a="1"/>
  <c r="N95" i="74" s="1"/>
  <c r="N93" i="74" a="1"/>
  <c r="N93" i="74" s="1"/>
  <c r="N20" i="74" a="1"/>
  <c r="N20" i="74" s="1"/>
  <c r="N58" i="74" a="1"/>
  <c r="N58" i="74" s="1"/>
  <c r="N80" i="74" a="1"/>
  <c r="N80" i="74" s="1"/>
  <c r="N79" i="74" a="1"/>
  <c r="N79" i="74" s="1"/>
  <c r="N77" i="74" a="1"/>
  <c r="N77" i="74" s="1"/>
  <c r="N92" i="74" a="1"/>
  <c r="N92" i="74" s="1"/>
  <c r="N42" i="74" a="1"/>
  <c r="N42" i="74" s="1"/>
  <c r="N64" i="74" a="1"/>
  <c r="N64" i="74" s="1"/>
  <c r="N63" i="74" a="1"/>
  <c r="N63" i="74" s="1"/>
  <c r="N53" i="74" a="1"/>
  <c r="N53" i="74" s="1"/>
  <c r="N76" i="74" a="1"/>
  <c r="N76" i="74" s="1"/>
  <c r="N34" i="74" a="1"/>
  <c r="N34" i="74" s="1"/>
  <c r="N48" i="74" a="1"/>
  <c r="N48" i="74" s="1"/>
  <c r="N47" i="74" a="1"/>
  <c r="N47" i="74" s="1"/>
  <c r="N45" i="74" a="1"/>
  <c r="N45" i="74" s="1"/>
  <c r="N60" i="74" a="1"/>
  <c r="N60" i="74" s="1"/>
  <c r="N90" i="74" a="1"/>
  <c r="N90" i="74" s="1"/>
  <c r="N24" i="74" a="1"/>
  <c r="N24" i="74" s="1"/>
  <c r="N31" i="74" a="1"/>
  <c r="N31" i="74" s="1"/>
  <c r="N21" i="74" a="1"/>
  <c r="N21" i="74" s="1"/>
  <c r="N36" i="74" a="1"/>
  <c r="N36" i="74" s="1"/>
  <c r="N89" i="74" a="1"/>
  <c r="N89" i="74" s="1"/>
  <c r="N88" i="74" a="1"/>
  <c r="N88" i="74" s="1"/>
  <c r="N75" i="74" a="1"/>
  <c r="N75" i="74" s="1"/>
  <c r="N98" i="74" a="1"/>
  <c r="N98" i="74" s="1"/>
  <c r="N28" i="74" a="1"/>
  <c r="N28" i="74" s="1"/>
  <c r="N73" i="74" a="1"/>
  <c r="N73" i="74" s="1"/>
  <c r="N72" i="74" a="1"/>
  <c r="N72" i="74" s="1"/>
  <c r="N86" i="74" a="1"/>
  <c r="N86" i="74" s="1"/>
  <c r="N85" i="74" a="1"/>
  <c r="N85" i="74" s="1"/>
  <c r="N67" i="74" a="1"/>
  <c r="N67" i="74" s="1"/>
  <c r="N57" i="74" a="1"/>
  <c r="N57" i="74" s="1"/>
  <c r="N56" i="74" a="1"/>
  <c r="N56" i="74" s="1"/>
  <c r="N70" i="74" a="1"/>
  <c r="N70" i="74" s="1"/>
  <c r="N69" i="74" a="1"/>
  <c r="N69" i="74" s="1"/>
  <c r="N43" i="74" a="1"/>
  <c r="N43" i="74" s="1"/>
  <c r="N49" i="74" a="1"/>
  <c r="N49" i="74" s="1"/>
  <c r="N40" i="74" a="1"/>
  <c r="N40" i="74" s="1"/>
  <c r="N54" i="74" a="1"/>
  <c r="N54" i="74" s="1"/>
  <c r="N61" i="74" a="1"/>
  <c r="N61" i="74" s="1"/>
  <c r="G12" i="69"/>
  <c r="F12" i="69"/>
  <c r="E12" i="69"/>
  <c r="G13" i="69"/>
  <c r="E13" i="69"/>
  <c r="N18" i="74" a="1"/>
  <c r="N18" i="74" s="1"/>
  <c r="R64" i="74" a="1"/>
  <c r="R64" i="74" s="1"/>
  <c r="R39" i="74" a="1"/>
  <c r="R39" i="74" s="1"/>
  <c r="R88" i="74" a="1"/>
  <c r="R88" i="74" s="1"/>
  <c r="R66" i="74" a="1"/>
  <c r="R66" i="74" s="1"/>
  <c r="R89" i="74" a="1"/>
  <c r="R89" i="74" s="1"/>
  <c r="R94" i="74" a="1"/>
  <c r="R94" i="74" s="1"/>
  <c r="R91" i="74" a="1"/>
  <c r="R91" i="74" s="1"/>
  <c r="R78" i="74" a="1"/>
  <c r="R78" i="74" s="1"/>
  <c r="R93" i="74" a="1"/>
  <c r="R93" i="74" s="1"/>
  <c r="R75" i="74" a="1"/>
  <c r="R75" i="74" s="1"/>
  <c r="R32" i="74" a="1"/>
  <c r="R32" i="74" s="1"/>
  <c r="R62" i="74" a="1"/>
  <c r="R62" i="74" s="1"/>
  <c r="R77" i="74" a="1"/>
  <c r="R77" i="74" s="1"/>
  <c r="R51" i="74" a="1"/>
  <c r="R51" i="74" s="1"/>
  <c r="R74" i="74" a="1"/>
  <c r="R74" i="74" s="1"/>
  <c r="R65" i="74" a="1"/>
  <c r="R65" i="74" s="1"/>
  <c r="R49" i="74" a="1"/>
  <c r="R49" i="74" s="1"/>
  <c r="R24" i="74" a="1"/>
  <c r="R24" i="74" s="1"/>
  <c r="R46" i="74" a="1"/>
  <c r="R46" i="74" s="1"/>
  <c r="R61" i="74" a="1"/>
  <c r="R61" i="74" s="1"/>
  <c r="R35" i="74" a="1"/>
  <c r="R35" i="74" s="1"/>
  <c r="R26" i="74" a="1"/>
  <c r="R26" i="74" s="1"/>
  <c r="R25" i="74" a="1"/>
  <c r="R25" i="74" s="1"/>
  <c r="R96" i="74" a="1"/>
  <c r="R96" i="74" s="1"/>
  <c r="R38" i="74" a="1"/>
  <c r="R38" i="74" s="1"/>
  <c r="R45" i="74" a="1"/>
  <c r="R45" i="74" s="1"/>
  <c r="R19" i="74" a="1"/>
  <c r="R19" i="74" s="1"/>
  <c r="R56" i="74" a="1"/>
  <c r="R56" i="74" s="1"/>
  <c r="R98" i="74" a="1"/>
  <c r="R98" i="74" s="1"/>
  <c r="R79" i="74" a="1"/>
  <c r="R79" i="74" s="1"/>
  <c r="R30" i="74" a="1"/>
  <c r="R30" i="74" s="1"/>
  <c r="R29" i="74" a="1"/>
  <c r="R29" i="74" s="1"/>
  <c r="R99" i="74" a="1"/>
  <c r="R99" i="74" s="1"/>
  <c r="R72" i="74" a="1"/>
  <c r="R72" i="74" s="1"/>
  <c r="R73" i="74" a="1"/>
  <c r="R73" i="74" s="1"/>
  <c r="R63" i="74" a="1"/>
  <c r="R63" i="74" s="1"/>
  <c r="R86" i="74" a="1"/>
  <c r="R86" i="74" s="1"/>
  <c r="R92" i="74" a="1"/>
  <c r="R92" i="74" s="1"/>
  <c r="R83" i="74" a="1"/>
  <c r="R83" i="74" s="1"/>
  <c r="R80" i="74" a="1"/>
  <c r="R80" i="74" s="1"/>
  <c r="R57" i="74" a="1"/>
  <c r="R57" i="74" s="1"/>
  <c r="R47" i="74" a="1"/>
  <c r="R47" i="74" s="1"/>
  <c r="R70" i="74" a="1"/>
  <c r="R70" i="74" s="1"/>
  <c r="R76" i="74" a="1"/>
  <c r="R76" i="74" s="1"/>
  <c r="R67" i="74" a="1"/>
  <c r="R67" i="74" s="1"/>
  <c r="R48" i="74" a="1"/>
  <c r="R48" i="74" s="1"/>
  <c r="R40" i="74" a="1"/>
  <c r="R40" i="74" s="1"/>
  <c r="R41" i="74" a="1"/>
  <c r="R41" i="74" s="1"/>
  <c r="R31" i="74" a="1"/>
  <c r="R31" i="74" s="1"/>
  <c r="R54" i="74" a="1"/>
  <c r="R54" i="74" s="1"/>
  <c r="R60" i="74" a="1"/>
  <c r="R60" i="74" s="1"/>
  <c r="R59" i="74" a="1"/>
  <c r="R59" i="74" s="1"/>
  <c r="R81" i="74" a="1"/>
  <c r="R81" i="74" s="1"/>
  <c r="R33" i="74" a="1"/>
  <c r="R33" i="74" s="1"/>
  <c r="R90" i="74" a="1"/>
  <c r="R90" i="74" s="1"/>
  <c r="R22" i="74" a="1"/>
  <c r="R22" i="74" s="1"/>
  <c r="R36" i="74" a="1"/>
  <c r="R36" i="74" s="1"/>
  <c r="R43" i="74" a="1"/>
  <c r="R43" i="74" s="1"/>
  <c r="R42" i="74" a="1"/>
  <c r="R42" i="74" s="1"/>
  <c r="R95" i="74" a="1"/>
  <c r="R95" i="74" s="1"/>
  <c r="R97" i="74" a="1"/>
  <c r="R97" i="74" s="1"/>
  <c r="R28" i="74" a="1"/>
  <c r="R28" i="74" s="1"/>
  <c r="R27" i="74" a="1"/>
  <c r="R27" i="74" s="1"/>
  <c r="R87" i="74" a="1"/>
  <c r="R87" i="74" s="1"/>
  <c r="R85" i="74" a="1"/>
  <c r="R85" i="74" s="1"/>
  <c r="R84" i="74" a="1"/>
  <c r="R84" i="74" s="1"/>
  <c r="R82" i="74" a="1"/>
  <c r="R82" i="74" s="1"/>
  <c r="R71" i="74" a="1"/>
  <c r="R71" i="74" s="1"/>
  <c r="R69" i="74" a="1"/>
  <c r="R69" i="74" s="1"/>
  <c r="R68" i="74" a="1"/>
  <c r="R68" i="74" s="1"/>
  <c r="R58" i="74" a="1"/>
  <c r="R58" i="74" s="1"/>
  <c r="R55" i="74" a="1"/>
  <c r="R55" i="74" s="1"/>
  <c r="R53" i="74" a="1"/>
  <c r="R53" i="74" s="1"/>
  <c r="R52" i="74" a="1"/>
  <c r="R52" i="74" s="1"/>
  <c r="R50" i="74" a="1"/>
  <c r="R50" i="74" s="1"/>
  <c r="R37" i="74" a="1"/>
  <c r="R37" i="74" s="1"/>
  <c r="R44" i="74" a="1"/>
  <c r="R44" i="74" s="1"/>
  <c r="R34" i="74" a="1"/>
  <c r="R34" i="74" s="1"/>
  <c r="R23" i="74" a="1"/>
  <c r="R23" i="74" s="1"/>
  <c r="R21" i="74" a="1"/>
  <c r="R21" i="74" s="1"/>
  <c r="R20" i="74" a="1"/>
  <c r="R20" i="74" s="1"/>
  <c r="R18" i="74" a="1"/>
  <c r="R18" i="74" s="1"/>
  <c r="L6" i="67" a="1"/>
  <c r="L6" i="67" s="1"/>
  <c r="C11" i="69"/>
  <c r="F11" i="69"/>
  <c r="G11" i="69"/>
  <c r="E11" i="69"/>
  <c r="M98" i="74" a="1"/>
  <c r="M98" i="74" s="1"/>
  <c r="L98" i="74" s="1"/>
  <c r="M99" i="74" a="1"/>
  <c r="M99" i="74" s="1"/>
  <c r="L99" i="74" s="1"/>
  <c r="D12" i="74"/>
  <c r="I39" i="69"/>
  <c r="H39" i="69"/>
  <c r="I40" i="69"/>
  <c r="H40" i="69"/>
  <c r="I41" i="69"/>
  <c r="H41" i="69"/>
  <c r="J41" i="69" s="1"/>
  <c r="M8" i="67" a="1"/>
  <c r="M8" i="67" s="1"/>
  <c r="M7" i="67" a="1"/>
  <c r="M7" i="67" s="1"/>
  <c r="L9" i="67" a="1"/>
  <c r="L9" i="67" s="1"/>
  <c r="M9" i="67" a="1"/>
  <c r="M9" i="67" s="1"/>
  <c r="M10" i="67" a="1"/>
  <c r="M10" i="67" s="1"/>
  <c r="N9" i="67" a="1"/>
  <c r="N9" i="67" s="1"/>
  <c r="L10" i="67" a="1"/>
  <c r="L10" i="67" s="1"/>
  <c r="N10" i="67" a="1"/>
  <c r="N10" i="67" s="1"/>
  <c r="N7" i="67" a="1"/>
  <c r="N7" i="67" s="1"/>
  <c r="N8" i="67" a="1"/>
  <c r="N8" i="67" s="1"/>
  <c r="L8" i="67" a="1"/>
  <c r="L8" i="67" s="1"/>
  <c r="L7" i="67" a="1"/>
  <c r="L7" i="67" s="1"/>
  <c r="M20" i="74" a="1"/>
  <c r="M20" i="74" s="1"/>
  <c r="L20" i="74" s="1"/>
  <c r="M18" i="74" a="1"/>
  <c r="M18" i="74" s="1"/>
  <c r="L18" i="74" s="1"/>
  <c r="M19" i="74" a="1"/>
  <c r="M19" i="74" s="1"/>
  <c r="L19" i="74" s="1"/>
  <c r="M21" i="74" a="1"/>
  <c r="M21" i="74" s="1"/>
  <c r="L21" i="74" s="1"/>
  <c r="M50" i="74" a="1"/>
  <c r="M50" i="74" s="1"/>
  <c r="L50" i="74" s="1"/>
  <c r="M41" i="74" a="1"/>
  <c r="M41" i="74" s="1"/>
  <c r="L41" i="74" s="1"/>
  <c r="M38" i="74" a="1"/>
  <c r="M38" i="74" s="1"/>
  <c r="L38" i="74" s="1"/>
  <c r="M35" i="74" a="1"/>
  <c r="M35" i="74" s="1"/>
  <c r="L35" i="74" s="1"/>
  <c r="M32" i="74" a="1"/>
  <c r="M32" i="74" s="1"/>
  <c r="L32" i="74" s="1"/>
  <c r="M29" i="74" a="1"/>
  <c r="M29" i="74" s="1"/>
  <c r="L29" i="74" s="1"/>
  <c r="M26" i="74" a="1"/>
  <c r="M26" i="74" s="1"/>
  <c r="L26" i="74" s="1"/>
  <c r="M23" i="74" a="1"/>
  <c r="M23" i="74" s="1"/>
  <c r="L23" i="74" s="1"/>
  <c r="M57" i="74" a="1"/>
  <c r="M57" i="74" s="1"/>
  <c r="L57" i="74" s="1"/>
  <c r="M54" i="74" a="1"/>
  <c r="M54" i="74" s="1"/>
  <c r="L54" i="74" s="1"/>
  <c r="M51" i="74" a="1"/>
  <c r="M51" i="74" s="1"/>
  <c r="L51" i="74" s="1"/>
  <c r="M48" i="74" a="1"/>
  <c r="M48" i="74" s="1"/>
  <c r="L48" i="74" s="1"/>
  <c r="M45" i="74" a="1"/>
  <c r="M45" i="74" s="1"/>
  <c r="L45" i="74" s="1"/>
  <c r="M42" i="74" a="1"/>
  <c r="M42" i="74" s="1"/>
  <c r="L42" i="74" s="1"/>
  <c r="M39" i="74" a="1"/>
  <c r="M39" i="74" s="1"/>
  <c r="L39" i="74" s="1"/>
  <c r="M36" i="74" a="1"/>
  <c r="M36" i="74" s="1"/>
  <c r="L36" i="74" s="1"/>
  <c r="M33" i="74" a="1"/>
  <c r="M33" i="74" s="1"/>
  <c r="L33" i="74" s="1"/>
  <c r="M30" i="74" a="1"/>
  <c r="M30" i="74" s="1"/>
  <c r="L30" i="74" s="1"/>
  <c r="M27" i="74" a="1"/>
  <c r="M27" i="74" s="1"/>
  <c r="L27" i="74" s="1"/>
  <c r="M24" i="74" a="1"/>
  <c r="M24" i="74" s="1"/>
  <c r="L24" i="74" s="1"/>
  <c r="M58" i="74" a="1"/>
  <c r="M58" i="74" s="1"/>
  <c r="L58" i="74" s="1"/>
  <c r="M55" i="74" a="1"/>
  <c r="M55" i="74" s="1"/>
  <c r="L55" i="74" s="1"/>
  <c r="M52" i="74" a="1"/>
  <c r="M52" i="74" s="1"/>
  <c r="L52" i="74" s="1"/>
  <c r="M49" i="74" a="1"/>
  <c r="M49" i="74" s="1"/>
  <c r="L49" i="74" s="1"/>
  <c r="M46" i="74" a="1"/>
  <c r="M46" i="74" s="1"/>
  <c r="L46" i="74" s="1"/>
  <c r="M43" i="74" a="1"/>
  <c r="M43" i="74" s="1"/>
  <c r="L43" i="74" s="1"/>
  <c r="M40" i="74" a="1"/>
  <c r="M40" i="74" s="1"/>
  <c r="L40" i="74" s="1"/>
  <c r="M37" i="74" a="1"/>
  <c r="M37" i="74" s="1"/>
  <c r="L37" i="74" s="1"/>
  <c r="M34" i="74" a="1"/>
  <c r="M34" i="74" s="1"/>
  <c r="L34" i="74" s="1"/>
  <c r="M31" i="74" a="1"/>
  <c r="M31" i="74" s="1"/>
  <c r="L31" i="74" s="1"/>
  <c r="M28" i="74" a="1"/>
  <c r="M28" i="74" s="1"/>
  <c r="L28" i="74" s="1"/>
  <c r="M25" i="74" a="1"/>
  <c r="M25" i="74" s="1"/>
  <c r="L25" i="74" s="1"/>
  <c r="M59" i="74" a="1"/>
  <c r="M59" i="74" s="1"/>
  <c r="L59" i="74" s="1"/>
  <c r="M56" i="74" a="1"/>
  <c r="M56" i="74" s="1"/>
  <c r="L56" i="74" s="1"/>
  <c r="M53" i="74" a="1"/>
  <c r="M53" i="74" s="1"/>
  <c r="L53" i="74" s="1"/>
  <c r="N30" i="67" a="1"/>
  <c r="N30" i="67" s="1"/>
  <c r="N41" i="67" a="1"/>
  <c r="N41" i="67" s="1"/>
  <c r="N23" i="67" a="1"/>
  <c r="N23" i="67" s="1"/>
  <c r="L18" i="67" a="1"/>
  <c r="L18" i="67" s="1"/>
  <c r="L28" i="67" a="1"/>
  <c r="L28" i="67" s="1"/>
  <c r="M37" i="67" a="1"/>
  <c r="M37" i="67" s="1"/>
  <c r="N43" i="67" a="1"/>
  <c r="N43" i="67" s="1"/>
  <c r="N38" i="67" a="1"/>
  <c r="N38" i="67" s="1"/>
  <c r="N36" i="67" a="1"/>
  <c r="N36" i="67" s="1"/>
  <c r="L20" i="67" a="1"/>
  <c r="L20" i="67" s="1"/>
  <c r="L31" i="67" a="1"/>
  <c r="L31" i="67" s="1"/>
  <c r="L13" i="67" a="1"/>
  <c r="L13" i="67" s="1"/>
  <c r="N27" i="67" a="1"/>
  <c r="N27" i="67" s="1"/>
  <c r="N22" i="67" a="1"/>
  <c r="N22" i="67" s="1"/>
  <c r="N11" i="67" a="1"/>
  <c r="N11" i="67" s="1"/>
  <c r="L39" i="67" a="1"/>
  <c r="L39" i="67" s="1"/>
  <c r="L30" i="67" a="1"/>
  <c r="L30" i="67" s="1"/>
  <c r="L43" i="67" a="1"/>
  <c r="L43" i="67" s="1"/>
  <c r="M29" i="67" a="1"/>
  <c r="M29" i="67" s="1"/>
  <c r="N40" i="67" a="1"/>
  <c r="N40" i="67" s="1"/>
  <c r="N14" i="67" a="1"/>
  <c r="N14" i="67" s="1"/>
  <c r="L45" i="67" a="1"/>
  <c r="L45" i="67" s="1"/>
  <c r="L40" i="67" a="1"/>
  <c r="L40" i="67" s="1"/>
  <c r="L12" i="67" a="1"/>
  <c r="L12" i="67" s="1"/>
  <c r="N24" i="67" a="1"/>
  <c r="N24" i="67" s="1"/>
  <c r="N35" i="67" a="1"/>
  <c r="N35" i="67" s="1"/>
  <c r="L34" i="67" a="1"/>
  <c r="L34" i="67" s="1"/>
  <c r="M36" i="67" a="1"/>
  <c r="M36" i="67" s="1"/>
  <c r="M15" i="67" a="1"/>
  <c r="M15" i="67" s="1"/>
  <c r="M26" i="67" a="1"/>
  <c r="M26" i="67" s="1"/>
  <c r="M34" i="67" a="1"/>
  <c r="M34" i="67" s="1"/>
  <c r="N37" i="67" a="1"/>
  <c r="N37" i="67" s="1"/>
  <c r="N19" i="67" a="1"/>
  <c r="N19" i="67" s="1"/>
  <c r="M33" i="67" a="1"/>
  <c r="M33" i="67" s="1"/>
  <c r="M47" i="67" a="1"/>
  <c r="M47" i="67" s="1"/>
  <c r="M42" i="67" a="1"/>
  <c r="M42" i="67" s="1"/>
  <c r="M31" i="67" a="1"/>
  <c r="M31" i="67" s="1"/>
  <c r="M44" i="67" a="1"/>
  <c r="M44" i="67" s="1"/>
  <c r="N21" i="67" a="1"/>
  <c r="N21" i="67" s="1"/>
  <c r="N16" i="67" a="1"/>
  <c r="N16" i="67" s="1"/>
  <c r="L33" i="67" a="1"/>
  <c r="L33" i="67" s="1"/>
  <c r="L15" i="67" a="1"/>
  <c r="L15" i="67" s="1"/>
  <c r="L41" i="67" a="1"/>
  <c r="L41" i="67" s="1"/>
  <c r="L26" i="67" a="1"/>
  <c r="L26" i="67" s="1"/>
  <c r="L32" i="67" a="1"/>
  <c r="L32" i="67" s="1"/>
  <c r="M17" i="67" a="1"/>
  <c r="M17" i="67" s="1"/>
  <c r="M46" i="67" a="1"/>
  <c r="M46" i="67" s="1"/>
  <c r="M18" i="67" a="1"/>
  <c r="M18" i="67" s="1"/>
  <c r="N34" i="67" a="1"/>
  <c r="N34" i="67" s="1"/>
  <c r="N32" i="67" a="1"/>
  <c r="N32" i="67" s="1"/>
  <c r="L23" i="67" a="1"/>
  <c r="L23" i="67" s="1"/>
  <c r="L14" i="67" a="1"/>
  <c r="L14" i="67" s="1"/>
  <c r="L27" i="67" a="1"/>
  <c r="L27" i="67" s="1"/>
  <c r="L35" i="67" a="1"/>
  <c r="L35" i="67" s="1"/>
  <c r="M39" i="67" a="1"/>
  <c r="M39" i="67" s="1"/>
  <c r="N18" i="67" a="1"/>
  <c r="N18" i="67" s="1"/>
  <c r="N45" i="67" a="1"/>
  <c r="N45" i="67" s="1"/>
  <c r="L29" i="67" a="1"/>
  <c r="L29" i="67" s="1"/>
  <c r="L16" i="67" a="1"/>
  <c r="L16" i="67" s="1"/>
  <c r="M30" i="67" a="1"/>
  <c r="M30" i="67" s="1"/>
  <c r="M28" i="67" a="1"/>
  <c r="M28" i="67" s="1"/>
  <c r="M11" i="67" a="1"/>
  <c r="M11" i="67" s="1"/>
  <c r="N15" i="67" a="1"/>
  <c r="N15" i="67" s="1"/>
  <c r="N29" i="67" a="1"/>
  <c r="N29" i="67" s="1"/>
  <c r="M14" i="67" a="1"/>
  <c r="M14" i="67" s="1"/>
  <c r="M41" i="67" a="1"/>
  <c r="M41" i="67" s="1"/>
  <c r="L11" i="67" a="1"/>
  <c r="L11" i="67" s="1"/>
  <c r="M43" i="67" a="1"/>
  <c r="M43" i="67" s="1"/>
  <c r="M23" i="67" a="1"/>
  <c r="M23" i="67" s="1"/>
  <c r="N25" i="67" a="1"/>
  <c r="N25" i="67" s="1"/>
  <c r="N13" i="67" a="1"/>
  <c r="N13" i="67" s="1"/>
  <c r="L38" i="67" a="1"/>
  <c r="L38" i="67" s="1"/>
  <c r="M25" i="67" a="1"/>
  <c r="M25" i="67" s="1"/>
  <c r="M38" i="67" a="1"/>
  <c r="M38" i="67" s="1"/>
  <c r="M45" i="67" a="1"/>
  <c r="M45" i="67" s="1"/>
  <c r="N47" i="67" a="1"/>
  <c r="N47" i="67" s="1"/>
  <c r="N20" i="67" a="1"/>
  <c r="N20" i="67" s="1"/>
  <c r="L17" i="67" a="1"/>
  <c r="L17" i="67" s="1"/>
  <c r="L44" i="67" a="1"/>
  <c r="L44" i="67" s="1"/>
  <c r="L25" i="67" a="1"/>
  <c r="L25" i="67" s="1"/>
  <c r="M27" i="67" a="1"/>
  <c r="M27" i="67" s="1"/>
  <c r="M22" i="67" a="1"/>
  <c r="M22" i="67" s="1"/>
  <c r="N31" i="67" a="1"/>
  <c r="N31" i="67" s="1"/>
  <c r="N42" i="67" a="1"/>
  <c r="N42" i="67" s="1"/>
  <c r="L42" i="67" a="1"/>
  <c r="L42" i="67" s="1"/>
  <c r="L36" i="67" a="1"/>
  <c r="L36" i="67" s="1"/>
  <c r="L24" i="67" a="1"/>
  <c r="L24" i="67" s="1"/>
  <c r="L37" i="67" a="1"/>
  <c r="L37" i="67" s="1"/>
  <c r="L47" i="67" a="1"/>
  <c r="L47" i="67" s="1"/>
  <c r="L19" i="67" a="1"/>
  <c r="L19" i="67" s="1"/>
  <c r="M13" i="67" a="1"/>
  <c r="M13" i="67" s="1"/>
  <c r="N12" i="67" a="1"/>
  <c r="N12" i="67" s="1"/>
  <c r="N26" i="67" a="1"/>
  <c r="N26" i="67" s="1"/>
  <c r="L46" i="67" a="1"/>
  <c r="L46" i="67" s="1"/>
  <c r="M40" i="67" a="1"/>
  <c r="M40" i="67" s="1"/>
  <c r="M35" i="67" a="1"/>
  <c r="M35" i="67" s="1"/>
  <c r="M12" i="67" a="1"/>
  <c r="M12" i="67" s="1"/>
  <c r="N33" i="67" a="1"/>
  <c r="N33" i="67" s="1"/>
  <c r="N44" i="67" a="1"/>
  <c r="N44" i="67" s="1"/>
  <c r="N17" i="67" a="1"/>
  <c r="N17" i="67" s="1"/>
  <c r="M24" i="67" a="1"/>
  <c r="M24" i="67" s="1"/>
  <c r="M19" i="67" a="1"/>
  <c r="M19" i="67" s="1"/>
  <c r="M16" i="67" a="1"/>
  <c r="M16" i="67" s="1"/>
  <c r="M20" i="67" a="1"/>
  <c r="M20" i="67" s="1"/>
  <c r="N46" i="67" a="1"/>
  <c r="N46" i="67" s="1"/>
  <c r="N28" i="67" a="1"/>
  <c r="N28" i="67" s="1"/>
  <c r="N39" i="67" a="1"/>
  <c r="N39" i="67" s="1"/>
  <c r="L21" i="67" a="1"/>
  <c r="L21" i="67" s="1"/>
  <c r="L22" i="67" a="1"/>
  <c r="L22" i="67" s="1"/>
  <c r="M32" i="67" a="1"/>
  <c r="M32" i="67" s="1"/>
  <c r="M21" i="67" a="1"/>
  <c r="M21" i="67" s="1"/>
  <c r="M47" i="74" a="1"/>
  <c r="M47" i="74" s="1"/>
  <c r="L47" i="74" s="1"/>
  <c r="M44" i="74" a="1"/>
  <c r="M44" i="74" s="1"/>
  <c r="L44" i="74" s="1"/>
  <c r="M88" i="67" a="1"/>
  <c r="M88" i="67" s="1"/>
  <c r="M69" i="67" a="1"/>
  <c r="M69" i="67" s="1"/>
  <c r="M58" i="67" a="1"/>
  <c r="M58" i="67" s="1"/>
  <c r="M64" i="67" a="1"/>
  <c r="M64" i="67" s="1"/>
  <c r="M53" i="67" a="1"/>
  <c r="M53" i="67" s="1"/>
  <c r="M50" i="67" a="1"/>
  <c r="M50" i="67" s="1"/>
  <c r="M54" i="67" a="1"/>
  <c r="M54" i="67" s="1"/>
  <c r="M76" i="67" a="1"/>
  <c r="M76" i="67" s="1"/>
  <c r="M81" i="67" a="1"/>
  <c r="M81" i="67" s="1"/>
  <c r="M79" i="67" a="1"/>
  <c r="M79" i="67" s="1"/>
  <c r="M60" i="67" a="1"/>
  <c r="M60" i="67" s="1"/>
  <c r="M63" i="67" a="1"/>
  <c r="M63" i="67" s="1"/>
  <c r="M51" i="67" a="1"/>
  <c r="M51" i="67" s="1"/>
  <c r="M55" i="67" a="1"/>
  <c r="M55" i="67" s="1"/>
  <c r="M84" i="67" a="1"/>
  <c r="M84" i="67" s="1"/>
  <c r="M87" i="67" a="1"/>
  <c r="M87" i="67" s="1"/>
  <c r="M68" i="67" a="1"/>
  <c r="M68" i="67" s="1"/>
  <c r="M71" i="67" a="1"/>
  <c r="M71" i="67" s="1"/>
  <c r="M52" i="67" a="1"/>
  <c r="M52" i="67" s="1"/>
  <c r="M73" i="67" a="1"/>
  <c r="M73" i="67" s="1"/>
  <c r="M78" i="67" a="1"/>
  <c r="M78" i="67" s="1"/>
  <c r="M75" i="67" a="1"/>
  <c r="M75" i="67" s="1"/>
  <c r="M56" i="67" a="1"/>
  <c r="M56" i="67" s="1"/>
  <c r="M70" i="67" a="1"/>
  <c r="M70" i="67" s="1"/>
  <c r="M67" i="67" a="1"/>
  <c r="M67" i="67" s="1"/>
  <c r="M80" i="67" a="1"/>
  <c r="M80" i="67" s="1"/>
  <c r="M86" i="67" a="1"/>
  <c r="M86" i="67" s="1"/>
  <c r="M57" i="67" a="1"/>
  <c r="M57" i="67" s="1"/>
  <c r="M62" i="67" a="1"/>
  <c r="M62" i="67" s="1"/>
  <c r="M83" i="67" a="1"/>
  <c r="M83" i="67" s="1"/>
  <c r="M72" i="67" a="1"/>
  <c r="M72" i="67" s="1"/>
  <c r="M77" i="67" a="1"/>
  <c r="M77" i="67" s="1"/>
  <c r="M59" i="67" a="1"/>
  <c r="M59" i="67" s="1"/>
  <c r="M82" i="67" a="1"/>
  <c r="M82" i="67" s="1"/>
  <c r="M61" i="67" a="1"/>
  <c r="M61" i="67" s="1"/>
  <c r="M74" i="67" a="1"/>
  <c r="M74" i="67" s="1"/>
  <c r="M65" i="67" a="1"/>
  <c r="M65" i="67" s="1"/>
  <c r="M48" i="67" a="1"/>
  <c r="M48" i="67" s="1"/>
  <c r="M66" i="67" a="1"/>
  <c r="M66" i="67" s="1"/>
  <c r="M85" i="67" a="1"/>
  <c r="M85" i="67" s="1"/>
  <c r="M49" i="67" a="1"/>
  <c r="M49" i="67" s="1"/>
  <c r="M6" i="67" a="1"/>
  <c r="M6" i="67" s="1"/>
  <c r="M69" i="74" a="1"/>
  <c r="M69" i="74" s="1"/>
  <c r="L69" i="74" s="1"/>
  <c r="M89" i="74" a="1"/>
  <c r="M89" i="74" s="1"/>
  <c r="L89" i="74" s="1"/>
  <c r="M60" i="74" a="1"/>
  <c r="M60" i="74" s="1"/>
  <c r="L60" i="74" s="1"/>
  <c r="M77" i="74" a="1"/>
  <c r="M77" i="74" s="1"/>
  <c r="L77" i="74" s="1"/>
  <c r="M93" i="74" a="1"/>
  <c r="M93" i="74" s="1"/>
  <c r="L93" i="74" s="1"/>
  <c r="M62" i="74" a="1"/>
  <c r="M62" i="74" s="1"/>
  <c r="L62" i="74" s="1"/>
  <c r="M68" i="74" a="1"/>
  <c r="M68" i="74" s="1"/>
  <c r="L68" i="74" s="1"/>
  <c r="M61" i="74" a="1"/>
  <c r="M61" i="74" s="1"/>
  <c r="L61" i="74" s="1"/>
  <c r="M70" i="74" a="1"/>
  <c r="M70" i="74" s="1"/>
  <c r="L70" i="74" s="1"/>
  <c r="M76" i="74" a="1"/>
  <c r="M76" i="74" s="1"/>
  <c r="L76" i="74" s="1"/>
  <c r="M73" i="74" a="1"/>
  <c r="M73" i="74" s="1"/>
  <c r="L73" i="74" s="1"/>
  <c r="M78" i="74" a="1"/>
  <c r="M78" i="74" s="1"/>
  <c r="L78" i="74" s="1"/>
  <c r="M84" i="74" a="1"/>
  <c r="M84" i="74" s="1"/>
  <c r="L84" i="74" s="1"/>
  <c r="M81" i="74" a="1"/>
  <c r="M81" i="74" s="1"/>
  <c r="L81" i="74" s="1"/>
  <c r="M82" i="74" a="1"/>
  <c r="M82" i="74" s="1"/>
  <c r="L82" i="74" s="1"/>
  <c r="M92" i="74" a="1"/>
  <c r="M92" i="74" s="1"/>
  <c r="L92" i="74" s="1"/>
  <c r="M85" i="74" a="1"/>
  <c r="M85" i="74" s="1"/>
  <c r="L85" i="74" s="1"/>
  <c r="M86" i="74" a="1"/>
  <c r="M86" i="74" s="1"/>
  <c r="L86" i="74" s="1"/>
  <c r="M96" i="74" a="1"/>
  <c r="M96" i="74" s="1"/>
  <c r="L96" i="74" s="1"/>
  <c r="M97" i="74" a="1"/>
  <c r="M97" i="74" s="1"/>
  <c r="L97" i="74" s="1"/>
  <c r="M63" i="74" a="1"/>
  <c r="M63" i="74" s="1"/>
  <c r="L63" i="74" s="1"/>
  <c r="M65" i="74" a="1"/>
  <c r="M65" i="74" s="1"/>
  <c r="L65" i="74" s="1"/>
  <c r="M71" i="74" a="1"/>
  <c r="M71" i="74" s="1"/>
  <c r="L71" i="74" s="1"/>
  <c r="M66" i="74" a="1"/>
  <c r="M66" i="74" s="1"/>
  <c r="L66" i="74" s="1"/>
  <c r="M79" i="74" a="1"/>
  <c r="M79" i="74" s="1"/>
  <c r="L79" i="74" s="1"/>
  <c r="M74" i="74" a="1"/>
  <c r="M74" i="74" s="1"/>
  <c r="L74" i="74" s="1"/>
  <c r="M87" i="74" a="1"/>
  <c r="M87" i="74" s="1"/>
  <c r="L87" i="74" s="1"/>
  <c r="M90" i="74" a="1"/>
  <c r="M90" i="74" s="1"/>
  <c r="L90" i="74" s="1"/>
  <c r="M94" i="74" a="1"/>
  <c r="M94" i="74" s="1"/>
  <c r="L94" i="74" s="1"/>
  <c r="M67" i="74" a="1"/>
  <c r="M67" i="74" s="1"/>
  <c r="L67" i="74" s="1"/>
  <c r="M64" i="74" a="1"/>
  <c r="M64" i="74" s="1"/>
  <c r="L64" i="74" s="1"/>
  <c r="M75" i="74" a="1"/>
  <c r="M75" i="74" s="1"/>
  <c r="L75" i="74" s="1"/>
  <c r="M72" i="74" a="1"/>
  <c r="M72" i="74" s="1"/>
  <c r="L72" i="74" s="1"/>
  <c r="M83" i="74" a="1"/>
  <c r="M83" i="74" s="1"/>
  <c r="L83" i="74" s="1"/>
  <c r="M80" i="74" a="1"/>
  <c r="M80" i="74" s="1"/>
  <c r="L80" i="74" s="1"/>
  <c r="M91" i="74" a="1"/>
  <c r="M91" i="74" s="1"/>
  <c r="L91" i="74" s="1"/>
  <c r="M88" i="74" a="1"/>
  <c r="M88" i="74" s="1"/>
  <c r="L88" i="74" s="1"/>
  <c r="M95" i="74" a="1"/>
  <c r="M95" i="74" s="1"/>
  <c r="L95" i="74" s="1"/>
  <c r="M22" i="74" a="1"/>
  <c r="M22" i="74" s="1"/>
  <c r="L22" i="74" s="1"/>
  <c r="E14" i="69"/>
  <c r="F13" i="69"/>
  <c r="C13" i="69"/>
  <c r="D13" i="69" s="1"/>
  <c r="D12" i="69"/>
  <c r="L82" i="67" a="1"/>
  <c r="L82" i="67" s="1"/>
  <c r="L73" i="67" a="1"/>
  <c r="L73" i="67" s="1"/>
  <c r="L49" i="67" a="1"/>
  <c r="L49" i="67" s="1"/>
  <c r="L84" i="67" a="1"/>
  <c r="L84" i="67" s="1"/>
  <c r="L75" i="67" a="1"/>
  <c r="L75" i="67" s="1"/>
  <c r="L58" i="67" a="1"/>
  <c r="L58" i="67" s="1"/>
  <c r="G41" i="69"/>
  <c r="G40" i="69"/>
  <c r="L77" i="67" a="1"/>
  <c r="L77" i="67" s="1"/>
  <c r="L62" i="67" a="1"/>
  <c r="L62" i="67" s="1"/>
  <c r="L60" i="67" a="1"/>
  <c r="L60" i="67" s="1"/>
  <c r="F40" i="69"/>
  <c r="L79" i="67" a="1"/>
  <c r="L79" i="67" s="1"/>
  <c r="L66" i="67" a="1"/>
  <c r="L66" i="67" s="1"/>
  <c r="L50" i="67" a="1"/>
  <c r="L50" i="67" s="1"/>
  <c r="F41" i="69"/>
  <c r="C40" i="69"/>
  <c r="L83" i="67" a="1"/>
  <c r="L83" i="67" s="1"/>
  <c r="L64" i="67" a="1"/>
  <c r="L64" i="67" s="1"/>
  <c r="L51" i="67" a="1"/>
  <c r="L51" i="67" s="1"/>
  <c r="N72" i="67" a="1"/>
  <c r="N72" i="67" s="1"/>
  <c r="N55" i="67" a="1"/>
  <c r="N55" i="67" s="1"/>
  <c r="C41" i="69"/>
  <c r="L81" i="67" a="1"/>
  <c r="L81" i="67" s="1"/>
  <c r="L68" i="67" a="1"/>
  <c r="L68" i="67" s="1"/>
  <c r="N61" i="67" a="1"/>
  <c r="N61" i="67" s="1"/>
  <c r="N6" i="67" a="1"/>
  <c r="N6" i="67" s="1"/>
  <c r="E41" i="69"/>
  <c r="L85" i="67" a="1"/>
  <c r="L85" i="67" s="1"/>
  <c r="L70" i="67" a="1"/>
  <c r="L70" i="67" s="1"/>
  <c r="N83" i="67" a="1"/>
  <c r="N83" i="67" s="1"/>
  <c r="L74" i="67" a="1"/>
  <c r="L74" i="67" s="1"/>
  <c r="L53" i="67" a="1"/>
  <c r="L53" i="67" s="1"/>
  <c r="N87" i="67" a="1"/>
  <c r="N87" i="67" s="1"/>
  <c r="N81" i="67" a="1"/>
  <c r="N81" i="67" s="1"/>
  <c r="L87" i="67" a="1"/>
  <c r="L87" i="67" s="1"/>
  <c r="L72" i="67" a="1"/>
  <c r="L72" i="67" s="1"/>
  <c r="L55" i="67" a="1"/>
  <c r="L55" i="67" s="1"/>
  <c r="L61" i="67" a="1"/>
  <c r="L61" i="67" s="1"/>
  <c r="L57" i="67" a="1"/>
  <c r="L57" i="67" s="1"/>
  <c r="L76" i="67" a="1"/>
  <c r="L76" i="67" s="1"/>
  <c r="L59" i="67" a="1"/>
  <c r="L59" i="67" s="1"/>
  <c r="L63" i="67" a="1"/>
  <c r="L63" i="67" s="1"/>
  <c r="L54" i="67" a="1"/>
  <c r="L54" i="67" s="1"/>
  <c r="L65" i="67" a="1"/>
  <c r="L65" i="67" s="1"/>
  <c r="L52" i="67" a="1"/>
  <c r="L52" i="67" s="1"/>
  <c r="L67" i="67" a="1"/>
  <c r="L67" i="67" s="1"/>
  <c r="L86" i="67" a="1"/>
  <c r="L86" i="67" s="1"/>
  <c r="L78" i="67" a="1"/>
  <c r="L78" i="67" s="1"/>
  <c r="L69" i="67" a="1"/>
  <c r="L69" i="67" s="1"/>
  <c r="L48" i="67" a="1"/>
  <c r="L48" i="67" s="1"/>
  <c r="E40" i="69"/>
  <c r="L88" i="67" a="1"/>
  <c r="L88" i="67" s="1"/>
  <c r="L80" i="67" a="1"/>
  <c r="L80" i="67" s="1"/>
  <c r="L71" i="67" a="1"/>
  <c r="L71" i="67" s="1"/>
  <c r="L56" i="67" a="1"/>
  <c r="L56" i="67" s="1"/>
  <c r="N85" i="67" a="1"/>
  <c r="N85" i="67" s="1"/>
  <c r="N75" i="67" a="1"/>
  <c r="N75" i="67" s="1"/>
  <c r="N79" i="67" a="1"/>
  <c r="N79" i="67" s="1"/>
  <c r="N56" i="67" a="1"/>
  <c r="N56" i="67" s="1"/>
  <c r="E39" i="69"/>
  <c r="N62" i="67" a="1"/>
  <c r="N62" i="67" s="1"/>
  <c r="N60" i="67" a="1"/>
  <c r="N60" i="67" s="1"/>
  <c r="F39" i="69"/>
  <c r="N66" i="67" a="1"/>
  <c r="N66" i="67" s="1"/>
  <c r="N58" i="67" a="1"/>
  <c r="N58" i="67" s="1"/>
  <c r="N64" i="67" a="1"/>
  <c r="N64" i="67" s="1"/>
  <c r="N51" i="67" a="1"/>
  <c r="N51" i="67" s="1"/>
  <c r="N86" i="67" a="1"/>
  <c r="N86" i="67" s="1"/>
  <c r="N68" i="67" a="1"/>
  <c r="N68" i="67" s="1"/>
  <c r="N53" i="67" a="1"/>
  <c r="N53" i="67" s="1"/>
  <c r="N88" i="67" a="1"/>
  <c r="N88" i="67" s="1"/>
  <c r="N70" i="67" a="1"/>
  <c r="N70" i="67" s="1"/>
  <c r="N57" i="67" a="1"/>
  <c r="N57" i="67" s="1"/>
  <c r="N74" i="67" a="1"/>
  <c r="N74" i="67" s="1"/>
  <c r="N48" i="67" a="1"/>
  <c r="N48" i="67" s="1"/>
  <c r="N63" i="67" a="1"/>
  <c r="N63" i="67" s="1"/>
  <c r="N59" i="67" a="1"/>
  <c r="N59" i="67" s="1"/>
  <c r="N65" i="67" a="1"/>
  <c r="N65" i="67" s="1"/>
  <c r="N49" i="67" a="1"/>
  <c r="N49" i="67" s="1"/>
  <c r="N76" i="67" a="1"/>
  <c r="N76" i="67" s="1"/>
  <c r="N54" i="67" a="1"/>
  <c r="N54" i="67" s="1"/>
  <c r="N67" i="67" a="1"/>
  <c r="N67" i="67" s="1"/>
  <c r="N52" i="67" a="1"/>
  <c r="N52" i="67" s="1"/>
  <c r="N78" i="67" a="1"/>
  <c r="N78" i="67" s="1"/>
  <c r="N69" i="67" a="1"/>
  <c r="N69" i="67" s="1"/>
  <c r="N50" i="67" a="1"/>
  <c r="N50" i="67" s="1"/>
  <c r="N80" i="67" a="1"/>
  <c r="N80" i="67" s="1"/>
  <c r="N71" i="67" a="1"/>
  <c r="N71" i="67" s="1"/>
  <c r="C39" i="69"/>
  <c r="N82" i="67" a="1"/>
  <c r="N82" i="67" s="1"/>
  <c r="N77" i="67" a="1"/>
  <c r="N77" i="67" s="1"/>
  <c r="N84" i="67" a="1"/>
  <c r="N84" i="67" s="1"/>
  <c r="N73" i="67" a="1"/>
  <c r="N73" i="67" s="1"/>
  <c r="G39" i="69"/>
  <c r="D24" i="68"/>
  <c r="D23" i="68"/>
  <c r="D45" i="68"/>
  <c r="D16" i="68"/>
  <c r="D42" i="68"/>
  <c r="D15" i="68"/>
  <c r="D36" i="68"/>
  <c r="D26" i="68"/>
  <c r="D12" i="68"/>
  <c r="D9" i="68"/>
  <c r="D19" i="68"/>
  <c r="D11" i="68"/>
  <c r="D41" i="68"/>
  <c r="D44" i="68"/>
  <c r="D32" i="68"/>
  <c r="D35" i="68"/>
  <c r="D27" i="68"/>
  <c r="D13" i="68"/>
  <c r="D17" i="68"/>
  <c r="D20" i="68"/>
  <c r="D22" i="68"/>
  <c r="D31" i="68"/>
  <c r="D40" i="68"/>
  <c r="D43" i="68"/>
  <c r="D38" i="68"/>
  <c r="D33" i="68"/>
  <c r="D47" i="68"/>
  <c r="D8" i="68"/>
  <c r="D46" i="68"/>
  <c r="D29" i="68"/>
  <c r="D37" i="68"/>
  <c r="D7" i="68"/>
  <c r="D21" i="68"/>
  <c r="D34" i="68"/>
  <c r="D10" i="68"/>
  <c r="D18" i="68"/>
  <c r="D25" i="68"/>
  <c r="D14" i="68"/>
  <c r="D30" i="68"/>
  <c r="D28" i="68"/>
  <c r="D39" i="68"/>
  <c r="D88" i="68"/>
  <c r="G9" i="74" l="1" a="1"/>
  <c r="G9" i="74" s="1"/>
  <c r="F9" i="74" a="1"/>
  <c r="F9" i="74" s="1"/>
  <c r="H9" i="74" a="1"/>
  <c r="H9" i="74" s="1"/>
  <c r="E9" i="74" s="1"/>
  <c r="D11" i="69"/>
  <c r="L103" i="67"/>
  <c r="L101" i="67"/>
  <c r="L102" i="67"/>
  <c r="L100" i="67"/>
  <c r="L98" i="67"/>
  <c r="L93" i="67"/>
  <c r="L99" i="67"/>
  <c r="L91" i="67"/>
  <c r="L92" i="67"/>
  <c r="L89" i="67"/>
  <c r="L97" i="67"/>
  <c r="L95" i="67"/>
  <c r="L96" i="67"/>
  <c r="N96" i="67"/>
  <c r="N97" i="67"/>
  <c r="N95" i="67"/>
  <c r="M99" i="67"/>
  <c r="M92" i="67"/>
  <c r="M89" i="67"/>
  <c r="M100" i="67"/>
  <c r="M98" i="67"/>
  <c r="M93" i="67"/>
  <c r="M91" i="67"/>
  <c r="N102" i="67"/>
  <c r="N103" i="67"/>
  <c r="N101" i="67"/>
  <c r="N100" i="67"/>
  <c r="N98" i="67"/>
  <c r="N93" i="67"/>
  <c r="N91" i="67"/>
  <c r="N99" i="67"/>
  <c r="N92" i="67"/>
  <c r="N89" i="67"/>
  <c r="M103" i="67"/>
  <c r="M101" i="67"/>
  <c r="M102" i="67"/>
  <c r="M97" i="67"/>
  <c r="M95" i="67"/>
  <c r="M96" i="67"/>
  <c r="J40" i="69"/>
  <c r="J39" i="69"/>
  <c r="J9" i="74"/>
  <c r="H10" i="74" a="1"/>
  <c r="H10" i="74" s="1"/>
  <c r="E10" i="74" s="1"/>
  <c r="H11" i="74" a="1"/>
  <c r="H11" i="74" s="1"/>
  <c r="E11" i="74" s="1"/>
  <c r="G10" i="74" a="1"/>
  <c r="G10" i="74" s="1"/>
  <c r="F10" i="74" a="1"/>
  <c r="F10" i="74" s="1"/>
  <c r="F11" i="74" a="1"/>
  <c r="F11" i="74" s="1"/>
  <c r="G11" i="74" a="1"/>
  <c r="G11" i="74" s="1"/>
  <c r="I11" i="74"/>
  <c r="K11" i="74" s="1"/>
  <c r="J11" i="74"/>
  <c r="L17" i="74"/>
  <c r="I9" i="74" s="1"/>
  <c r="K9" i="74" s="1"/>
  <c r="I42" i="69"/>
  <c r="F14" i="69"/>
  <c r="G14" i="69"/>
  <c r="D14" i="69"/>
  <c r="C14" i="69"/>
  <c r="G42" i="69"/>
  <c r="D40" i="69"/>
  <c r="D41" i="69"/>
  <c r="D39" i="69"/>
  <c r="C42" i="69"/>
  <c r="E42" i="69"/>
  <c r="H42" i="69"/>
  <c r="F42" i="69"/>
  <c r="D57" i="68"/>
  <c r="D50" i="68"/>
  <c r="D72" i="68"/>
  <c r="D73" i="68"/>
  <c r="D62" i="68"/>
  <c r="D83" i="68"/>
  <c r="D87" i="68"/>
  <c r="D70" i="68"/>
  <c r="D55" i="68"/>
  <c r="D86" i="68"/>
  <c r="D51" i="68"/>
  <c r="D60" i="68"/>
  <c r="D61" i="68"/>
  <c r="D63" i="68"/>
  <c r="D78" i="68"/>
  <c r="D84" i="68"/>
  <c r="D59" i="68"/>
  <c r="D75" i="68"/>
  <c r="D66" i="68"/>
  <c r="D54" i="68"/>
  <c r="D52" i="68"/>
  <c r="D58" i="68"/>
  <c r="D69" i="68"/>
  <c r="D81" i="68"/>
  <c r="D65" i="68"/>
  <c r="D79" i="68"/>
  <c r="D82" i="68"/>
  <c r="D71" i="68"/>
  <c r="D67" i="68"/>
  <c r="D80" i="68"/>
  <c r="D68" i="68"/>
  <c r="D53" i="68"/>
  <c r="D56" i="68"/>
  <c r="D74" i="68"/>
  <c r="D64" i="68"/>
  <c r="D85" i="68"/>
  <c r="J42" i="69" l="1"/>
  <c r="F12" i="74"/>
  <c r="G12" i="74"/>
  <c r="H12" i="74"/>
  <c r="J10" i="74"/>
  <c r="J12" i="74" s="1"/>
  <c r="I10" i="74"/>
  <c r="J95" i="67"/>
  <c r="J96" i="67"/>
  <c r="J97" i="67"/>
  <c r="E12" i="74"/>
  <c r="J98" i="67"/>
  <c r="J102" i="67"/>
  <c r="J99" i="67"/>
  <c r="J103" i="67"/>
  <c r="J100" i="67"/>
  <c r="J93" i="67"/>
  <c r="D42" i="69"/>
  <c r="J91" i="67"/>
  <c r="J92" i="67"/>
  <c r="J101" i="67"/>
  <c r="D49" i="68"/>
  <c r="I12" i="74" l="1"/>
  <c r="K12" i="74" s="1"/>
  <c r="P5" i="74" s="1"/>
  <c r="K10" i="74"/>
  <c r="N62" i="71"/>
  <c r="M88" i="71"/>
  <c r="M68" i="71"/>
  <c r="M80" i="71"/>
  <c r="N71" i="71"/>
  <c r="M53" i="71"/>
  <c r="N76" i="71"/>
  <c r="M77" i="71"/>
  <c r="N49" i="71"/>
  <c r="N54" i="71"/>
  <c r="N63" i="71"/>
  <c r="N74" i="71"/>
  <c r="M13" i="71"/>
  <c r="N29" i="71"/>
  <c r="M18" i="71"/>
  <c r="N8" i="71"/>
  <c r="N25" i="71"/>
  <c r="N13" i="71"/>
  <c r="M41" i="71"/>
  <c r="N42" i="71"/>
  <c r="M44" i="71"/>
  <c r="N35" i="71"/>
  <c r="M70" i="71"/>
  <c r="N79" i="71"/>
  <c r="N87" i="71"/>
  <c r="N64" i="71"/>
  <c r="N85" i="71"/>
  <c r="N18" i="71"/>
  <c r="M23" i="71"/>
  <c r="M15" i="71"/>
  <c r="N46" i="71"/>
  <c r="M86" i="71"/>
  <c r="N58" i="71"/>
  <c r="N19" i="71"/>
  <c r="N31" i="71"/>
  <c r="N51" i="71"/>
  <c r="N34" i="71"/>
  <c r="N81" i="71"/>
  <c r="N78" i="71"/>
  <c r="M82" i="71"/>
  <c r="N61" i="71"/>
  <c r="N65" i="71"/>
  <c r="M58" i="71"/>
  <c r="N52" i="71"/>
  <c r="N73" i="71"/>
  <c r="N68" i="71"/>
  <c r="N6" i="71"/>
  <c r="M32" i="71"/>
  <c r="M26" i="71"/>
  <c r="N15" i="71"/>
  <c r="N11" i="71"/>
  <c r="N14" i="71"/>
  <c r="M20" i="71"/>
  <c r="N43" i="71"/>
  <c r="M40" i="71"/>
  <c r="M36" i="71"/>
  <c r="M60" i="71"/>
  <c r="M84" i="71"/>
  <c r="M59" i="71"/>
  <c r="M51" i="71"/>
  <c r="M27" i="71"/>
  <c r="N26" i="71"/>
  <c r="N37" i="71"/>
  <c r="N40" i="71"/>
  <c r="M57" i="71"/>
  <c r="N55" i="71"/>
  <c r="M22" i="71"/>
  <c r="M24" i="71"/>
  <c r="M47" i="71"/>
  <c r="N38" i="71"/>
  <c r="D48" i="68"/>
  <c r="N86" i="71"/>
  <c r="N82" i="71"/>
  <c r="N83" i="71"/>
  <c r="N67" i="71"/>
  <c r="M54" i="71"/>
  <c r="M69" i="71"/>
  <c r="N53" i="71"/>
  <c r="M64" i="71"/>
  <c r="M62" i="71"/>
  <c r="N24" i="71"/>
  <c r="M16" i="71"/>
  <c r="N10" i="71"/>
  <c r="N7" i="71"/>
  <c r="M7" i="71"/>
  <c r="N32" i="71"/>
  <c r="M12" i="71"/>
  <c r="N41" i="71"/>
  <c r="N33" i="71"/>
  <c r="M46" i="71"/>
  <c r="N72" i="71"/>
  <c r="M55" i="71"/>
  <c r="M61" i="71"/>
  <c r="M79" i="71"/>
  <c r="M19" i="71"/>
  <c r="M11" i="71"/>
  <c r="M43" i="71"/>
  <c r="N9" i="71"/>
  <c r="M76" i="71"/>
  <c r="N84" i="71"/>
  <c r="M81" i="71"/>
  <c r="M28" i="71"/>
  <c r="N28" i="71"/>
  <c r="M37" i="71"/>
  <c r="M52" i="71"/>
  <c r="N75" i="71"/>
  <c r="N69" i="71"/>
  <c r="M49" i="71"/>
  <c r="M83" i="71"/>
  <c r="M85" i="71"/>
  <c r="N57" i="71"/>
  <c r="M65" i="71"/>
  <c r="N48" i="71"/>
  <c r="N66" i="71"/>
  <c r="N88" i="71"/>
  <c r="M6" i="71"/>
  <c r="M21" i="71"/>
  <c r="M29" i="71"/>
  <c r="M8" i="71"/>
  <c r="N21" i="71"/>
  <c r="N27" i="71"/>
  <c r="N22" i="71"/>
  <c r="M33" i="71"/>
  <c r="N47" i="71"/>
  <c r="M45" i="71"/>
  <c r="D77" i="68"/>
  <c r="M87" i="71"/>
  <c r="M73" i="71"/>
  <c r="M14" i="71"/>
  <c r="M10" i="71"/>
  <c r="M17" i="71"/>
  <c r="N45" i="71"/>
  <c r="M39" i="71"/>
  <c r="N80" i="71"/>
  <c r="M67" i="71"/>
  <c r="M75" i="71"/>
  <c r="N16" i="71"/>
  <c r="N36" i="71"/>
  <c r="M78" i="71"/>
  <c r="N56" i="71"/>
  <c r="M56" i="71"/>
  <c r="M66" i="71"/>
  <c r="M38" i="71"/>
  <c r="N59" i="71"/>
  <c r="N70" i="71"/>
  <c r="M71" i="71"/>
  <c r="N77" i="71"/>
  <c r="D76" i="68"/>
  <c r="N60" i="71"/>
  <c r="M9" i="71"/>
  <c r="M31" i="71"/>
  <c r="N12" i="71"/>
  <c r="N30" i="71"/>
  <c r="N20" i="71"/>
  <c r="M30" i="71"/>
  <c r="M25" i="71"/>
  <c r="N39" i="71"/>
  <c r="M35" i="71"/>
  <c r="M42" i="71"/>
  <c r="M72" i="71"/>
  <c r="M74" i="71"/>
  <c r="N50" i="71"/>
  <c r="M63" i="71"/>
  <c r="M50" i="71"/>
  <c r="M48" i="71"/>
  <c r="D6" i="68"/>
  <c r="N17" i="71"/>
  <c r="N23" i="71"/>
  <c r="N44" i="71"/>
  <c r="M34" i="71"/>
  <c r="L55" i="71"/>
  <c r="L74" i="71"/>
  <c r="L15" i="71"/>
  <c r="L31" i="71"/>
  <c r="L7" i="71"/>
  <c r="L20" i="71"/>
  <c r="L69" i="71"/>
  <c r="L66" i="71"/>
  <c r="L62" i="71"/>
  <c r="L63" i="71"/>
  <c r="L56" i="71"/>
  <c r="L14" i="71"/>
  <c r="L23" i="71"/>
  <c r="L30" i="71"/>
  <c r="L10" i="71"/>
  <c r="L50" i="71"/>
  <c r="L67" i="71"/>
  <c r="L76" i="71"/>
  <c r="L16" i="71"/>
  <c r="L25" i="71"/>
  <c r="L22" i="71"/>
  <c r="L9" i="71"/>
  <c r="L48" i="71"/>
  <c r="L49" i="71"/>
  <c r="L70" i="71"/>
  <c r="L80" i="71"/>
  <c r="L65" i="71"/>
  <c r="L59" i="71"/>
  <c r="L17" i="71"/>
  <c r="L13" i="71"/>
  <c r="L84" i="71"/>
  <c r="L68" i="71"/>
  <c r="L86" i="71"/>
  <c r="L60" i="71"/>
  <c r="L87" i="71"/>
  <c r="L61" i="71"/>
  <c r="L38" i="71"/>
  <c r="L81" i="71"/>
  <c r="L75" i="71"/>
  <c r="L82" i="71"/>
  <c r="L34" i="71"/>
  <c r="L27" i="71"/>
  <c r="L19" i="71"/>
  <c r="L24" i="71"/>
  <c r="L32" i="71"/>
  <c r="L85" i="71"/>
  <c r="L53" i="71"/>
  <c r="L51" i="71"/>
  <c r="L54" i="71"/>
  <c r="L71" i="71"/>
  <c r="L79" i="71"/>
  <c r="L8" i="71"/>
  <c r="L57" i="71"/>
  <c r="L78" i="71"/>
  <c r="L58" i="71"/>
  <c r="L18" i="71"/>
  <c r="L64" i="71"/>
  <c r="L77" i="71"/>
  <c r="L11" i="71"/>
  <c r="L43" i="71"/>
  <c r="L52" i="71"/>
  <c r="L12" i="71"/>
  <c r="L29" i="71"/>
  <c r="L26" i="71"/>
  <c r="L21" i="71"/>
  <c r="L44" i="71"/>
  <c r="L46" i="71"/>
  <c r="L40" i="71"/>
  <c r="L33" i="71"/>
  <c r="L83" i="71"/>
  <c r="L72" i="71"/>
  <c r="L88" i="71"/>
  <c r="L6" i="71"/>
  <c r="L39" i="71"/>
  <c r="L36" i="71"/>
  <c r="L28" i="71"/>
  <c r="L37" i="71"/>
  <c r="L47" i="71"/>
  <c r="L73" i="71"/>
  <c r="L42" i="71"/>
  <c r="L35" i="71"/>
  <c r="L45" i="71"/>
  <c r="L41" i="71"/>
  <c r="I19" i="67"/>
  <c r="J77" i="67"/>
  <c r="F24" i="70"/>
  <c r="F13" i="70"/>
  <c r="F41" i="67"/>
  <c r="H85" i="67"/>
  <c r="J69" i="67"/>
  <c r="H19" i="67"/>
  <c r="H8" i="70"/>
  <c r="H9" i="70"/>
  <c r="F17" i="70"/>
  <c r="F31" i="71"/>
  <c r="H28" i="70"/>
  <c r="H79" i="67"/>
  <c r="H33" i="70"/>
  <c r="F60" i="67"/>
  <c r="I62" i="67"/>
  <c r="I15" i="70"/>
  <c r="I84" i="67"/>
  <c r="J28" i="70"/>
  <c r="J63" i="70"/>
  <c r="F25" i="70"/>
  <c r="H76" i="70"/>
  <c r="F15" i="70"/>
  <c r="I80" i="70"/>
  <c r="I20" i="70"/>
  <c r="H86" i="70"/>
  <c r="J88" i="67"/>
  <c r="H11" i="67"/>
  <c r="I17" i="67"/>
  <c r="J76" i="71"/>
  <c r="I77" i="70"/>
  <c r="H13" i="70"/>
  <c r="F81" i="67"/>
  <c r="H59" i="71"/>
  <c r="J82" i="70"/>
  <c r="J77" i="70"/>
  <c r="I68" i="70"/>
  <c r="I54" i="70"/>
  <c r="I29" i="67"/>
  <c r="F15" i="67"/>
  <c r="H76" i="71"/>
  <c r="J83" i="67"/>
  <c r="F44" i="67"/>
  <c r="I79" i="67"/>
  <c r="F73" i="67"/>
  <c r="I8" i="67"/>
  <c r="K7" i="71"/>
  <c r="F81" i="71"/>
  <c r="J46" i="67"/>
  <c r="H74" i="71"/>
  <c r="K59" i="71"/>
  <c r="J57" i="67"/>
  <c r="I25" i="70"/>
  <c r="H46" i="67"/>
  <c r="F14" i="67"/>
  <c r="J43" i="67"/>
  <c r="J68" i="71"/>
  <c r="F53" i="70"/>
  <c r="F24" i="67"/>
  <c r="J23" i="70"/>
  <c r="H40" i="67"/>
  <c r="F45" i="70"/>
  <c r="H25" i="70"/>
  <c r="F85" i="67"/>
  <c r="H53" i="70"/>
  <c r="J35" i="70"/>
  <c r="I60" i="71"/>
  <c r="H85" i="71"/>
  <c r="F56" i="70"/>
  <c r="J50" i="71"/>
  <c r="F74" i="71"/>
  <c r="I34" i="70"/>
  <c r="H75" i="71"/>
  <c r="F71" i="70"/>
  <c r="H53" i="67"/>
  <c r="H80" i="71"/>
  <c r="F20" i="70"/>
  <c r="F26" i="67"/>
  <c r="F45" i="67"/>
  <c r="H87" i="71"/>
  <c r="J71" i="70"/>
  <c r="H55" i="70"/>
  <c r="F54" i="67"/>
  <c r="I15" i="67"/>
  <c r="F14" i="70"/>
  <c r="F67" i="71"/>
  <c r="J14" i="67"/>
  <c r="I65" i="71"/>
  <c r="I16" i="71"/>
  <c r="I10" i="70"/>
  <c r="I82" i="67"/>
  <c r="K15" i="71"/>
  <c r="J25" i="71"/>
  <c r="J71" i="71"/>
  <c r="H12" i="67"/>
  <c r="I20" i="71"/>
  <c r="I11" i="71"/>
  <c r="H13" i="71"/>
  <c r="H71" i="70"/>
  <c r="I9" i="71"/>
  <c r="I17" i="71"/>
  <c r="F46" i="71"/>
  <c r="K54" i="71"/>
  <c r="J81" i="67"/>
  <c r="I42" i="67"/>
  <c r="K26" i="71"/>
  <c r="F32" i="70"/>
  <c r="H55" i="71"/>
  <c r="I44" i="71"/>
  <c r="I63" i="70"/>
  <c r="I21" i="70"/>
  <c r="F20" i="71"/>
  <c r="H40" i="70"/>
  <c r="K77" i="71"/>
  <c r="I24" i="70"/>
  <c r="F7" i="71"/>
  <c r="J26" i="71"/>
  <c r="K35" i="71"/>
  <c r="I22" i="71"/>
  <c r="K84" i="71"/>
  <c r="F87" i="71"/>
  <c r="K38" i="71"/>
  <c r="H27" i="71"/>
  <c r="K53" i="71"/>
  <c r="K79" i="71"/>
  <c r="F78" i="71"/>
  <c r="I73" i="67"/>
  <c r="I74" i="70"/>
  <c r="J69" i="70"/>
  <c r="H72" i="70"/>
  <c r="F7" i="67"/>
  <c r="H44" i="67"/>
  <c r="J18" i="67"/>
  <c r="H37" i="67"/>
  <c r="I25" i="67"/>
  <c r="F87" i="70"/>
  <c r="J14" i="70"/>
  <c r="H63" i="71"/>
  <c r="I64" i="67"/>
  <c r="I54" i="67"/>
  <c r="H31" i="70"/>
  <c r="H25" i="67"/>
  <c r="F11" i="70"/>
  <c r="H63" i="67"/>
  <c r="H44" i="70"/>
  <c r="J39" i="70"/>
  <c r="H39" i="67"/>
  <c r="I18" i="67"/>
  <c r="J72" i="70"/>
  <c r="I67" i="71"/>
  <c r="I34" i="67"/>
  <c r="H24" i="70"/>
  <c r="F44" i="70"/>
  <c r="I47" i="70"/>
  <c r="F75" i="70"/>
  <c r="H38" i="67"/>
  <c r="I87" i="70"/>
  <c r="J79" i="67"/>
  <c r="H67" i="71"/>
  <c r="J22" i="67"/>
  <c r="H50" i="71"/>
  <c r="F9" i="67"/>
  <c r="F29" i="67"/>
  <c r="J30" i="67"/>
  <c r="H7" i="67"/>
  <c r="H80" i="67"/>
  <c r="H9" i="67"/>
  <c r="J74" i="70"/>
  <c r="I65" i="67"/>
  <c r="I82" i="70"/>
  <c r="J60" i="67"/>
  <c r="I27" i="70"/>
  <c r="J58" i="67"/>
  <c r="H54" i="67"/>
  <c r="I81" i="71"/>
  <c r="I50" i="70"/>
  <c r="I62" i="70"/>
  <c r="H87" i="70"/>
  <c r="F47" i="67"/>
  <c r="F36" i="67"/>
  <c r="F70" i="71"/>
  <c r="J10" i="67"/>
  <c r="J35" i="67"/>
  <c r="J25" i="70"/>
  <c r="H88" i="67"/>
  <c r="H79" i="70"/>
  <c r="H31" i="71"/>
  <c r="H62" i="71"/>
  <c r="J38" i="71"/>
  <c r="F42" i="70"/>
  <c r="J16" i="67"/>
  <c r="F47" i="70"/>
  <c r="J56" i="71"/>
  <c r="I14" i="67"/>
  <c r="H24" i="67"/>
  <c r="J18" i="70"/>
  <c r="I82" i="71"/>
  <c r="H81" i="67"/>
  <c r="I51" i="70"/>
  <c r="I87" i="67"/>
  <c r="J82" i="71"/>
  <c r="I69" i="71"/>
  <c r="F52" i="67"/>
  <c r="F62" i="67"/>
  <c r="J19" i="67"/>
  <c r="F50" i="71"/>
  <c r="H16" i="67"/>
  <c r="J81" i="71"/>
  <c r="J8" i="70"/>
  <c r="J52" i="67"/>
  <c r="F11" i="67"/>
  <c r="I56" i="70"/>
  <c r="J83" i="70"/>
  <c r="F16" i="70"/>
  <c r="H55" i="67"/>
  <c r="K23" i="71"/>
  <c r="H43" i="71"/>
  <c r="J85" i="67"/>
  <c r="J41" i="67"/>
  <c r="J24" i="71"/>
  <c r="H26" i="71"/>
  <c r="H84" i="70"/>
  <c r="F78" i="70"/>
  <c r="J31" i="71"/>
  <c r="I43" i="71"/>
  <c r="H44" i="71"/>
  <c r="J14" i="71"/>
  <c r="F81" i="70"/>
  <c r="H77" i="70"/>
  <c r="K33" i="71"/>
  <c r="J36" i="67"/>
  <c r="J33" i="71"/>
  <c r="F46" i="67"/>
  <c r="I81" i="67"/>
  <c r="F80" i="71"/>
  <c r="I26" i="71"/>
  <c r="H56" i="70"/>
  <c r="J61" i="71"/>
  <c r="H42" i="67"/>
  <c r="H32" i="71"/>
  <c r="I41" i="71"/>
  <c r="F17" i="71"/>
  <c r="F54" i="70"/>
  <c r="F77" i="67"/>
  <c r="F79" i="67"/>
  <c r="H62" i="67"/>
  <c r="I41" i="70"/>
  <c r="H58" i="67"/>
  <c r="I67" i="70"/>
  <c r="J24" i="67"/>
  <c r="H70" i="70"/>
  <c r="I49" i="67"/>
  <c r="H35" i="70"/>
  <c r="F31" i="67"/>
  <c r="I48" i="67"/>
  <c r="F51" i="70"/>
  <c r="I44" i="70"/>
  <c r="I60" i="70"/>
  <c r="H19" i="70"/>
  <c r="J42" i="67"/>
  <c r="I55" i="70"/>
  <c r="F33" i="67"/>
  <c r="F86" i="67"/>
  <c r="F6" i="70"/>
  <c r="F57" i="70"/>
  <c r="H64" i="70"/>
  <c r="I70" i="67"/>
  <c r="I22" i="67"/>
  <c r="J17" i="70"/>
  <c r="J22" i="70"/>
  <c r="F80" i="67"/>
  <c r="F34" i="67"/>
  <c r="I80" i="67"/>
  <c r="F6" i="67"/>
  <c r="J31" i="70"/>
  <c r="J7" i="70"/>
  <c r="H23" i="71"/>
  <c r="H26" i="70"/>
  <c r="I55" i="71"/>
  <c r="J84" i="70"/>
  <c r="I8" i="70"/>
  <c r="H15" i="70"/>
  <c r="J40" i="70"/>
  <c r="I27" i="67"/>
  <c r="I76" i="70"/>
  <c r="H48" i="67"/>
  <c r="F63" i="71"/>
  <c r="I88" i="67"/>
  <c r="F55" i="70"/>
  <c r="K66" i="71"/>
  <c r="F82" i="71"/>
  <c r="J67" i="71"/>
  <c r="H29" i="67"/>
  <c r="I16" i="67"/>
  <c r="K65" i="71"/>
  <c r="H14" i="70"/>
  <c r="F35" i="70"/>
  <c r="K82" i="71"/>
  <c r="F64" i="67"/>
  <c r="H71" i="67"/>
  <c r="F70" i="67"/>
  <c r="J38" i="67"/>
  <c r="F85" i="70"/>
  <c r="I28" i="70"/>
  <c r="H70" i="71"/>
  <c r="F73" i="70"/>
  <c r="I75" i="71"/>
  <c r="H33" i="67"/>
  <c r="I51" i="67"/>
  <c r="I57" i="67"/>
  <c r="J79" i="70"/>
  <c r="K49" i="71"/>
  <c r="I35" i="67"/>
  <c r="I73" i="70"/>
  <c r="I84" i="70"/>
  <c r="I74" i="67"/>
  <c r="J48" i="71"/>
  <c r="J47" i="67"/>
  <c r="J86" i="70"/>
  <c r="F27" i="67"/>
  <c r="F30" i="70"/>
  <c r="I11" i="70"/>
  <c r="I9" i="67"/>
  <c r="J47" i="70"/>
  <c r="I69" i="67"/>
  <c r="J17" i="67"/>
  <c r="H42" i="70"/>
  <c r="J62" i="71"/>
  <c r="J10" i="70"/>
  <c r="H47" i="70"/>
  <c r="J20" i="70"/>
  <c r="I7" i="71"/>
  <c r="F11" i="71"/>
  <c r="J54" i="67"/>
  <c r="F9" i="71"/>
  <c r="F43" i="71"/>
  <c r="I56" i="71"/>
  <c r="F51" i="67"/>
  <c r="H9" i="71"/>
  <c r="I29" i="71"/>
  <c r="J46" i="71"/>
  <c r="K20" i="71"/>
  <c r="H85" i="70"/>
  <c r="H15" i="71"/>
  <c r="I19" i="70"/>
  <c r="I30" i="71"/>
  <c r="J29" i="71"/>
  <c r="I30" i="67"/>
  <c r="F38" i="71"/>
  <c r="I78" i="70"/>
  <c r="H33" i="71"/>
  <c r="F12" i="71"/>
  <c r="F70" i="70"/>
  <c r="J66" i="67"/>
  <c r="J37" i="70"/>
  <c r="I10" i="71"/>
  <c r="J27" i="71"/>
  <c r="F25" i="71"/>
  <c r="F25" i="67"/>
  <c r="I48" i="71"/>
  <c r="F84" i="71"/>
  <c r="K87" i="71"/>
  <c r="J75" i="71"/>
  <c r="J84" i="67"/>
  <c r="I58" i="70"/>
  <c r="J88" i="70"/>
  <c r="I85" i="67"/>
  <c r="H77" i="67"/>
  <c r="J36" i="70"/>
  <c r="H68" i="67"/>
  <c r="H11" i="70"/>
  <c r="J73" i="67"/>
  <c r="F53" i="67"/>
  <c r="H31" i="67"/>
  <c r="H36" i="67"/>
  <c r="H50" i="70"/>
  <c r="F63" i="70"/>
  <c r="F57" i="67"/>
  <c r="I18" i="70"/>
  <c r="F79" i="70"/>
  <c r="I53" i="67"/>
  <c r="H32" i="67"/>
  <c r="K74" i="71"/>
  <c r="H63" i="70"/>
  <c r="I57" i="70"/>
  <c r="H16" i="70"/>
  <c r="I55" i="67"/>
  <c r="F42" i="67"/>
  <c r="F67" i="70"/>
  <c r="J71" i="67"/>
  <c r="I26" i="70"/>
  <c r="I62" i="71"/>
  <c r="I32" i="67"/>
  <c r="J69" i="71"/>
  <c r="H68" i="70"/>
  <c r="H18" i="67"/>
  <c r="K63" i="71"/>
  <c r="I41" i="67"/>
  <c r="H57" i="67"/>
  <c r="I26" i="67"/>
  <c r="F72" i="70"/>
  <c r="F62" i="71"/>
  <c r="F31" i="70"/>
  <c r="J8" i="67"/>
  <c r="F22" i="70"/>
  <c r="I45" i="67"/>
  <c r="H80" i="70"/>
  <c r="J51" i="67"/>
  <c r="H30" i="67"/>
  <c r="J86" i="71"/>
  <c r="J26" i="67"/>
  <c r="I76" i="71"/>
  <c r="F74" i="70"/>
  <c r="J9" i="70"/>
  <c r="H69" i="67"/>
  <c r="J13" i="70"/>
  <c r="J60" i="70"/>
  <c r="F69" i="67"/>
  <c r="I52" i="67"/>
  <c r="I63" i="71"/>
  <c r="I34" i="71"/>
  <c r="H12" i="70"/>
  <c r="J15" i="70"/>
  <c r="I58" i="67"/>
  <c r="I31" i="67"/>
  <c r="H35" i="67"/>
  <c r="I86" i="70"/>
  <c r="H79" i="71"/>
  <c r="K62" i="71"/>
  <c r="I46" i="67"/>
  <c r="H81" i="71"/>
  <c r="H45" i="67"/>
  <c r="F58" i="67"/>
  <c r="J87" i="70"/>
  <c r="H50" i="67"/>
  <c r="H20" i="67"/>
  <c r="J65" i="71"/>
  <c r="H70" i="67"/>
  <c r="I83" i="70"/>
  <c r="H27" i="70"/>
  <c r="K85" i="71"/>
  <c r="H32" i="70"/>
  <c r="F66" i="67"/>
  <c r="F86" i="71"/>
  <c r="F28" i="70"/>
  <c r="H66" i="71"/>
  <c r="F58" i="70"/>
  <c r="I71" i="67"/>
  <c r="F48" i="67"/>
  <c r="H7" i="71"/>
  <c r="F15" i="71"/>
  <c r="J25" i="67"/>
  <c r="K43" i="71"/>
  <c r="K32" i="71"/>
  <c r="F49" i="67"/>
  <c r="F82" i="70"/>
  <c r="J21" i="71"/>
  <c r="J32" i="71"/>
  <c r="K40" i="71"/>
  <c r="H20" i="70"/>
  <c r="J19" i="71"/>
  <c r="H21" i="70"/>
  <c r="F43" i="67"/>
  <c r="J30" i="71"/>
  <c r="K21" i="71"/>
  <c r="H61" i="70"/>
  <c r="F82" i="67"/>
  <c r="K55" i="71"/>
  <c r="K36" i="71"/>
  <c r="H25" i="71"/>
  <c r="I15" i="71"/>
  <c r="J60" i="71"/>
  <c r="F84" i="67"/>
  <c r="J17" i="71"/>
  <c r="J43" i="71"/>
  <c r="F8" i="71"/>
  <c r="H48" i="71"/>
  <c r="I68" i="71"/>
  <c r="J55" i="70"/>
  <c r="J33" i="70"/>
  <c r="I61" i="67"/>
  <c r="H46" i="70"/>
  <c r="F23" i="67"/>
  <c r="H73" i="70"/>
  <c r="I9" i="70"/>
  <c r="J34" i="67"/>
  <c r="F37" i="67"/>
  <c r="J12" i="67"/>
  <c r="H17" i="70"/>
  <c r="I66" i="71"/>
  <c r="I13" i="67"/>
  <c r="F18" i="70"/>
  <c r="F10" i="70"/>
  <c r="J54" i="70"/>
  <c r="J85" i="70"/>
  <c r="I33" i="70"/>
  <c r="J53" i="67"/>
  <c r="H17" i="67"/>
  <c r="J19" i="70"/>
  <c r="J64" i="67"/>
  <c r="H84" i="67"/>
  <c r="I43" i="67"/>
  <c r="H39" i="70"/>
  <c r="I39" i="70"/>
  <c r="I35" i="70"/>
  <c r="H37" i="70"/>
  <c r="I81" i="70"/>
  <c r="I72" i="67"/>
  <c r="H78" i="67"/>
  <c r="F26" i="70"/>
  <c r="J74" i="71"/>
  <c r="F20" i="67"/>
  <c r="I49" i="71"/>
  <c r="F8" i="70"/>
  <c r="I33" i="67"/>
  <c r="I40" i="67"/>
  <c r="J23" i="67"/>
  <c r="K48" i="71"/>
  <c r="H23" i="70"/>
  <c r="H26" i="67"/>
  <c r="J76" i="70"/>
  <c r="F61" i="70"/>
  <c r="J61" i="67"/>
  <c r="I40" i="70"/>
  <c r="H78" i="70"/>
  <c r="K14" i="71"/>
  <c r="F88" i="67"/>
  <c r="J78" i="67"/>
  <c r="H86" i="67"/>
  <c r="J49" i="70"/>
  <c r="I42" i="70"/>
  <c r="J43" i="70"/>
  <c r="H30" i="70"/>
  <c r="F59" i="71"/>
  <c r="F12" i="70"/>
  <c r="F62" i="70"/>
  <c r="J48" i="67"/>
  <c r="J50" i="67"/>
  <c r="J87" i="71"/>
  <c r="J11" i="70"/>
  <c r="H8" i="67"/>
  <c r="H61" i="67"/>
  <c r="H45" i="70"/>
  <c r="J59" i="70"/>
  <c r="F65" i="67"/>
  <c r="J6" i="70"/>
  <c r="J11" i="67"/>
  <c r="F36" i="70"/>
  <c r="H38" i="70"/>
  <c r="J44" i="67"/>
  <c r="H75" i="67"/>
  <c r="F76" i="71"/>
  <c r="K50" i="71"/>
  <c r="F76" i="70"/>
  <c r="J87" i="67"/>
  <c r="F43" i="70"/>
  <c r="I16" i="70"/>
  <c r="F32" i="67"/>
  <c r="K80" i="71"/>
  <c r="F87" i="67"/>
  <c r="I23" i="70"/>
  <c r="F19" i="70"/>
  <c r="H58" i="71"/>
  <c r="F51" i="71"/>
  <c r="F16" i="71"/>
  <c r="I75" i="70"/>
  <c r="H72" i="67"/>
  <c r="J16" i="71"/>
  <c r="H30" i="71"/>
  <c r="F78" i="67"/>
  <c r="F53" i="71"/>
  <c r="I24" i="71"/>
  <c r="H29" i="71"/>
  <c r="H10" i="71"/>
  <c r="I47" i="67"/>
  <c r="J54" i="71"/>
  <c r="F10" i="71"/>
  <c r="F29" i="71"/>
  <c r="I79" i="70"/>
  <c r="I31" i="71"/>
  <c r="F21" i="67"/>
  <c r="H67" i="70"/>
  <c r="I14" i="71"/>
  <c r="K13" i="71"/>
  <c r="H64" i="67"/>
  <c r="I78" i="67"/>
  <c r="F54" i="71"/>
  <c r="I37" i="71"/>
  <c r="H60" i="67"/>
  <c r="F58" i="71"/>
  <c r="I13" i="71"/>
  <c r="J15" i="71"/>
  <c r="F33" i="71"/>
  <c r="K8" i="71"/>
  <c r="I70" i="71"/>
  <c r="K68" i="71"/>
  <c r="I61" i="71"/>
  <c r="J32" i="67"/>
  <c r="H59" i="70"/>
  <c r="I6" i="67"/>
  <c r="J45" i="67"/>
  <c r="H10" i="67"/>
  <c r="H49" i="67"/>
  <c r="J56" i="67"/>
  <c r="J56" i="70"/>
  <c r="H22" i="67"/>
  <c r="I76" i="67"/>
  <c r="F22" i="67"/>
  <c r="F37" i="70"/>
  <c r="J34" i="70"/>
  <c r="I71" i="70"/>
  <c r="J28" i="67"/>
  <c r="J31" i="67"/>
  <c r="J53" i="70"/>
  <c r="I77" i="67"/>
  <c r="H60" i="70"/>
  <c r="I48" i="70"/>
  <c r="J52" i="70"/>
  <c r="H23" i="67"/>
  <c r="J46" i="70"/>
  <c r="F69" i="70"/>
  <c r="H28" i="67"/>
  <c r="F41" i="70"/>
  <c r="I21" i="67"/>
  <c r="J12" i="70"/>
  <c r="H83" i="70"/>
  <c r="H83" i="67"/>
  <c r="J78" i="70"/>
  <c r="I86" i="67"/>
  <c r="J6" i="67"/>
  <c r="F66" i="71"/>
  <c r="F67" i="67"/>
  <c r="J67" i="70"/>
  <c r="J76" i="67"/>
  <c r="I10" i="67"/>
  <c r="F49" i="70"/>
  <c r="I38" i="67"/>
  <c r="J30" i="70"/>
  <c r="I24" i="67"/>
  <c r="I37" i="70"/>
  <c r="J61" i="70"/>
  <c r="F35" i="67"/>
  <c r="K30" i="71"/>
  <c r="I11" i="67"/>
  <c r="I86" i="71"/>
  <c r="H54" i="70"/>
  <c r="J80" i="70"/>
  <c r="J39" i="67"/>
  <c r="I80" i="71"/>
  <c r="F16" i="67"/>
  <c r="H18" i="70"/>
  <c r="I37" i="67"/>
  <c r="H21" i="67"/>
  <c r="F40" i="67"/>
  <c r="F12" i="67"/>
  <c r="J68" i="70"/>
  <c r="H24" i="71"/>
  <c r="I50" i="71"/>
  <c r="I75" i="67"/>
  <c r="F39" i="67"/>
  <c r="H62" i="70"/>
  <c r="J73" i="70"/>
  <c r="F66" i="70"/>
  <c r="F71" i="67"/>
  <c r="I52" i="70"/>
  <c r="K67" i="71"/>
  <c r="J57" i="70"/>
  <c r="J68" i="67"/>
  <c r="J44" i="70"/>
  <c r="F21" i="70"/>
  <c r="J64" i="70"/>
  <c r="I63" i="67"/>
  <c r="K81" i="71"/>
  <c r="H65" i="70"/>
  <c r="F48" i="71"/>
  <c r="F75" i="67"/>
  <c r="F13" i="67"/>
  <c r="I49" i="70"/>
  <c r="J34" i="71"/>
  <c r="H41" i="67"/>
  <c r="J13" i="67"/>
  <c r="F49" i="71"/>
  <c r="H81" i="70"/>
  <c r="F27" i="71"/>
  <c r="I30" i="70"/>
  <c r="I20" i="67"/>
  <c r="K10" i="71"/>
  <c r="H18" i="71"/>
  <c r="I7" i="67"/>
  <c r="F55" i="67"/>
  <c r="F26" i="71"/>
  <c r="F32" i="71"/>
  <c r="H82" i="70"/>
  <c r="J40" i="67"/>
  <c r="J41" i="70"/>
  <c r="J18" i="71"/>
  <c r="F18" i="71"/>
  <c r="I77" i="71"/>
  <c r="I84" i="71"/>
  <c r="J20" i="71"/>
  <c r="K76" i="71"/>
  <c r="H34" i="67"/>
  <c r="K18" i="71"/>
  <c r="K71" i="71"/>
  <c r="I59" i="67"/>
  <c r="J52" i="71"/>
  <c r="I8" i="71"/>
  <c r="F44" i="71"/>
  <c r="H21" i="71"/>
  <c r="I43" i="70"/>
  <c r="K29" i="71"/>
  <c r="F21" i="71"/>
  <c r="F30" i="71"/>
  <c r="F45" i="71"/>
  <c r="I56" i="67"/>
  <c r="F72" i="67"/>
  <c r="F17" i="67"/>
  <c r="J26" i="70"/>
  <c r="J70" i="70"/>
  <c r="J37" i="67"/>
  <c r="I60" i="67"/>
  <c r="F68" i="70"/>
  <c r="K16" i="71"/>
  <c r="F55" i="71"/>
  <c r="H47" i="67"/>
  <c r="H41" i="70"/>
  <c r="H59" i="67"/>
  <c r="I14" i="70"/>
  <c r="I32" i="70"/>
  <c r="H48" i="70"/>
  <c r="I59" i="71"/>
  <c r="F33" i="70"/>
  <c r="J59" i="71"/>
  <c r="H86" i="71"/>
  <c r="I69" i="70"/>
  <c r="F29" i="70"/>
  <c r="F14" i="71"/>
  <c r="J80" i="67"/>
  <c r="K19" i="71"/>
  <c r="H56" i="67"/>
  <c r="H15" i="67"/>
  <c r="K11" i="71"/>
  <c r="I25" i="71"/>
  <c r="I40" i="71"/>
  <c r="H69" i="71"/>
  <c r="F60" i="71"/>
  <c r="K34" i="71"/>
  <c r="J85" i="71"/>
  <c r="I79" i="71"/>
  <c r="I78" i="71"/>
  <c r="K64" i="71"/>
  <c r="F52" i="71"/>
  <c r="K83" i="71"/>
  <c r="J72" i="71"/>
  <c r="F6" i="71"/>
  <c r="H36" i="71"/>
  <c r="K37" i="71"/>
  <c r="J73" i="71"/>
  <c r="J42" i="71"/>
  <c r="K45" i="71"/>
  <c r="J48" i="70"/>
  <c r="H57" i="71"/>
  <c r="F39" i="71"/>
  <c r="I70" i="70"/>
  <c r="I13" i="70"/>
  <c r="I7" i="70"/>
  <c r="J74" i="67"/>
  <c r="F71" i="71"/>
  <c r="I68" i="67"/>
  <c r="H87" i="67"/>
  <c r="J16" i="70"/>
  <c r="F30" i="67"/>
  <c r="H57" i="70"/>
  <c r="J81" i="70"/>
  <c r="F60" i="70"/>
  <c r="H14" i="67"/>
  <c r="F61" i="67"/>
  <c r="J62" i="67"/>
  <c r="H43" i="70"/>
  <c r="J49" i="67"/>
  <c r="H51" i="67"/>
  <c r="F50" i="70"/>
  <c r="J62" i="70"/>
  <c r="I54" i="71"/>
  <c r="H34" i="70"/>
  <c r="I17" i="70"/>
  <c r="K78" i="71"/>
  <c r="I36" i="70"/>
  <c r="I71" i="71"/>
  <c r="K31" i="71"/>
  <c r="I33" i="71"/>
  <c r="I67" i="67"/>
  <c r="I12" i="67"/>
  <c r="H12" i="71"/>
  <c r="J84" i="71"/>
  <c r="J9" i="71"/>
  <c r="I87" i="71"/>
  <c r="H34" i="71"/>
  <c r="I53" i="71"/>
  <c r="J79" i="71"/>
  <c r="H78" i="71"/>
  <c r="J64" i="71"/>
  <c r="J44" i="71"/>
  <c r="J83" i="71"/>
  <c r="K72" i="71"/>
  <c r="H6" i="71"/>
  <c r="J36" i="71"/>
  <c r="F37" i="71"/>
  <c r="K73" i="71"/>
  <c r="H42" i="71"/>
  <c r="J45" i="71"/>
  <c r="H22" i="71"/>
  <c r="J59" i="67"/>
  <c r="J10" i="71"/>
  <c r="F68" i="71"/>
  <c r="I52" i="71"/>
  <c r="H47" i="71"/>
  <c r="J55" i="71"/>
  <c r="J29" i="67"/>
  <c r="F10" i="67"/>
  <c r="H73" i="67"/>
  <c r="J51" i="70"/>
  <c r="F69" i="71"/>
  <c r="H52" i="71"/>
  <c r="F36" i="71"/>
  <c r="I45" i="71"/>
  <c r="J65" i="67"/>
  <c r="F48" i="70"/>
  <c r="I23" i="67"/>
  <c r="F23" i="70"/>
  <c r="J32" i="70"/>
  <c r="J29" i="70"/>
  <c r="J86" i="67"/>
  <c r="J58" i="70"/>
  <c r="F86" i="70"/>
  <c r="J70" i="71"/>
  <c r="I38" i="70"/>
  <c r="F76" i="67"/>
  <c r="J21" i="70"/>
  <c r="F88" i="70"/>
  <c r="I74" i="71"/>
  <c r="J50" i="70"/>
  <c r="H74" i="67"/>
  <c r="H66" i="70"/>
  <c r="H27" i="67"/>
  <c r="H74" i="70"/>
  <c r="H11" i="71"/>
  <c r="F56" i="71"/>
  <c r="J11" i="71"/>
  <c r="F34" i="70"/>
  <c r="F77" i="70"/>
  <c r="J8" i="71"/>
  <c r="F19" i="67"/>
  <c r="J13" i="71"/>
  <c r="K70" i="71"/>
  <c r="H61" i="71"/>
  <c r="F34" i="71"/>
  <c r="J53" i="71"/>
  <c r="F57" i="71"/>
  <c r="K58" i="71"/>
  <c r="J77" i="71"/>
  <c r="K44" i="71"/>
  <c r="H83" i="71"/>
  <c r="I88" i="71"/>
  <c r="I6" i="71"/>
  <c r="I36" i="71"/>
  <c r="J37" i="71"/>
  <c r="I73" i="71"/>
  <c r="H35" i="71"/>
  <c r="F41" i="71"/>
  <c r="H41" i="71"/>
  <c r="I47" i="71"/>
  <c r="I66" i="70"/>
  <c r="H6" i="67"/>
  <c r="K56" i="71"/>
  <c r="H52" i="67"/>
  <c r="H82" i="71"/>
  <c r="K25" i="71"/>
  <c r="H38" i="71"/>
  <c r="H64" i="71"/>
  <c r="K28" i="71"/>
  <c r="J80" i="71"/>
  <c r="I36" i="67"/>
  <c r="I18" i="71"/>
  <c r="F75" i="71"/>
  <c r="I72" i="71"/>
  <c r="K47" i="71"/>
  <c r="J7" i="67"/>
  <c r="F38" i="67"/>
  <c r="J24" i="70"/>
  <c r="H52" i="70"/>
  <c r="F56" i="67"/>
  <c r="F8" i="67"/>
  <c r="F50" i="67"/>
  <c r="I64" i="70"/>
  <c r="I85" i="70"/>
  <c r="F63" i="67"/>
  <c r="H6" i="70"/>
  <c r="H51" i="70"/>
  <c r="F9" i="70"/>
  <c r="H75" i="70"/>
  <c r="F27" i="70"/>
  <c r="F84" i="70"/>
  <c r="H7" i="70"/>
  <c r="H82" i="67"/>
  <c r="J9" i="67"/>
  <c r="I53" i="70"/>
  <c r="H68" i="71"/>
  <c r="K17" i="71"/>
  <c r="I72" i="70"/>
  <c r="I12" i="71"/>
  <c r="F52" i="70"/>
  <c r="H17" i="71"/>
  <c r="I21" i="71"/>
  <c r="F64" i="70"/>
  <c r="H20" i="71"/>
  <c r="F65" i="71"/>
  <c r="F61" i="71"/>
  <c r="I27" i="71"/>
  <c r="H53" i="71"/>
  <c r="K57" i="71"/>
  <c r="J58" i="71"/>
  <c r="H77" i="71"/>
  <c r="K46" i="71"/>
  <c r="F83" i="71"/>
  <c r="F88" i="71"/>
  <c r="K39" i="71"/>
  <c r="H28" i="71"/>
  <c r="H37" i="71"/>
  <c r="F73" i="71"/>
  <c r="I35" i="71"/>
  <c r="J41" i="71"/>
  <c r="F77" i="71"/>
  <c r="I83" i="71"/>
  <c r="J39" i="71"/>
  <c r="J47" i="71"/>
  <c r="H73" i="71"/>
  <c r="I28" i="71"/>
  <c r="F28" i="67"/>
  <c r="J63" i="71"/>
  <c r="H43" i="67"/>
  <c r="F74" i="67"/>
  <c r="F24" i="71"/>
  <c r="K22" i="71"/>
  <c r="F19" i="71"/>
  <c r="H72" i="71"/>
  <c r="H45" i="71"/>
  <c r="I59" i="70"/>
  <c r="I65" i="70"/>
  <c r="J55" i="67"/>
  <c r="H49" i="71"/>
  <c r="H16" i="71"/>
  <c r="I85" i="71"/>
  <c r="F40" i="71"/>
  <c r="F42" i="71"/>
  <c r="I31" i="70"/>
  <c r="F59" i="67"/>
  <c r="J20" i="67"/>
  <c r="H49" i="70"/>
  <c r="H65" i="67"/>
  <c r="H10" i="70"/>
  <c r="F7" i="70"/>
  <c r="I6" i="70"/>
  <c r="I29" i="70"/>
  <c r="J33" i="67"/>
  <c r="I50" i="67"/>
  <c r="J66" i="70"/>
  <c r="I23" i="71"/>
  <c r="K75" i="71"/>
  <c r="F18" i="67"/>
  <c r="F59" i="70"/>
  <c r="J67" i="67"/>
  <c r="I46" i="70"/>
  <c r="F83" i="70"/>
  <c r="H88" i="70"/>
  <c r="F83" i="67"/>
  <c r="H29" i="70"/>
  <c r="H54" i="71"/>
  <c r="I22" i="70"/>
  <c r="J7" i="71"/>
  <c r="F22" i="71"/>
  <c r="I46" i="71"/>
  <c r="K27" i="71"/>
  <c r="J75" i="70"/>
  <c r="F13" i="71"/>
  <c r="J23" i="71"/>
  <c r="K41" i="71"/>
  <c r="H65" i="71"/>
  <c r="K61" i="71"/>
  <c r="I19" i="71"/>
  <c r="I51" i="71"/>
  <c r="I57" i="71"/>
  <c r="I58" i="71"/>
  <c r="H46" i="71"/>
  <c r="J88" i="71"/>
  <c r="F28" i="71"/>
  <c r="F35" i="71"/>
  <c r="I42" i="71"/>
  <c r="J21" i="67"/>
  <c r="J75" i="67"/>
  <c r="K69" i="71"/>
  <c r="I88" i="70"/>
  <c r="I66" i="67"/>
  <c r="F79" i="71"/>
  <c r="J12" i="71"/>
  <c r="J40" i="71"/>
  <c r="K42" i="71"/>
  <c r="J45" i="70"/>
  <c r="I83" i="67"/>
  <c r="J15" i="67"/>
  <c r="K60" i="71"/>
  <c r="F80" i="70"/>
  <c r="J78" i="71"/>
  <c r="J28" i="71"/>
  <c r="H76" i="67"/>
  <c r="J27" i="67"/>
  <c r="F39" i="70"/>
  <c r="F68" i="67"/>
  <c r="I12" i="70"/>
  <c r="I28" i="67"/>
  <c r="J70" i="67"/>
  <c r="F38" i="70"/>
  <c r="J72" i="67"/>
  <c r="I45" i="70"/>
  <c r="H66" i="67"/>
  <c r="J63" i="67"/>
  <c r="F65" i="70"/>
  <c r="H69" i="70"/>
  <c r="K24" i="71"/>
  <c r="H13" i="67"/>
  <c r="K86" i="71"/>
  <c r="J65" i="70"/>
  <c r="H22" i="70"/>
  <c r="I61" i="70"/>
  <c r="H51" i="71"/>
  <c r="J51" i="71"/>
  <c r="J49" i="71"/>
  <c r="I39" i="67"/>
  <c r="I32" i="71"/>
  <c r="J66" i="71"/>
  <c r="H67" i="67"/>
  <c r="I39" i="71"/>
  <c r="J27" i="70"/>
  <c r="F47" i="71"/>
  <c r="J6" i="71"/>
  <c r="K12" i="71"/>
  <c r="H84" i="71"/>
  <c r="I38" i="71"/>
  <c r="H19" i="71"/>
  <c r="K51" i="71"/>
  <c r="J57" i="71"/>
  <c r="I64" i="71"/>
  <c r="K52" i="71"/>
  <c r="H40" i="71"/>
  <c r="F72" i="71"/>
  <c r="H88" i="71"/>
  <c r="H39" i="71"/>
  <c r="J35" i="71"/>
  <c r="H56" i="71"/>
  <c r="H58" i="70"/>
  <c r="H36" i="70"/>
  <c r="F40" i="70"/>
  <c r="F85" i="71"/>
  <c r="J42" i="70"/>
  <c r="H71" i="71"/>
  <c r="K88" i="71"/>
  <c r="J38" i="70"/>
  <c r="F46" i="70"/>
  <c r="J82" i="67"/>
  <c r="I44" i="67"/>
  <c r="H8" i="71"/>
  <c r="H60" i="71"/>
  <c r="F64" i="71"/>
  <c r="K6" i="71"/>
  <c r="G47" i="71" l="1"/>
  <c r="G42" i="71"/>
  <c r="G45" i="71"/>
  <c r="G44" i="71"/>
  <c r="G33" i="71"/>
  <c r="G35" i="71"/>
  <c r="G43" i="71"/>
  <c r="G37" i="71"/>
  <c r="G46" i="71"/>
  <c r="G25" i="71"/>
  <c r="G28" i="71"/>
  <c r="G17" i="71"/>
  <c r="G12" i="71"/>
  <c r="G26" i="71"/>
  <c r="G11" i="71"/>
  <c r="G20" i="71"/>
  <c r="G18" i="71"/>
  <c r="G13" i="71"/>
  <c r="G10" i="71"/>
  <c r="G30" i="71"/>
  <c r="G32" i="71"/>
  <c r="G15" i="71"/>
  <c r="G29" i="71"/>
  <c r="G36" i="71"/>
  <c r="G41" i="71"/>
  <c r="G39" i="71"/>
  <c r="G40" i="71"/>
  <c r="G21" i="71"/>
  <c r="G14" i="71"/>
  <c r="G8" i="71"/>
  <c r="G7" i="71"/>
  <c r="G6" i="71"/>
  <c r="G24" i="71"/>
  <c r="G19" i="71"/>
  <c r="I89" i="71"/>
  <c r="G27" i="71"/>
  <c r="G22" i="71"/>
  <c r="L92" i="71"/>
  <c r="L94" i="71"/>
  <c r="L95" i="71"/>
  <c r="L93" i="71"/>
  <c r="L89" i="71"/>
  <c r="L96" i="71" s="1"/>
  <c r="L90" i="71"/>
  <c r="G31" i="71"/>
  <c r="G16" i="71"/>
  <c r="M94" i="71"/>
  <c r="M89" i="71"/>
  <c r="M96" i="71" s="1"/>
  <c r="M92" i="71"/>
  <c r="M90" i="71"/>
  <c r="M93" i="71"/>
  <c r="M95" i="71"/>
  <c r="N90" i="71"/>
  <c r="N93" i="71"/>
  <c r="N89" i="71"/>
  <c r="N96" i="71" s="1"/>
  <c r="N92" i="71"/>
  <c r="N95" i="71"/>
  <c r="N94" i="71"/>
  <c r="J89" i="67"/>
  <c r="G22" i="67"/>
  <c r="G20" i="67"/>
  <c r="G58" i="71"/>
  <c r="G15" i="70"/>
  <c r="G21" i="70"/>
  <c r="G31" i="67"/>
  <c r="G76" i="71"/>
  <c r="G8" i="67"/>
  <c r="G17" i="70"/>
  <c r="G35" i="67"/>
  <c r="G81" i="67"/>
  <c r="G39" i="70"/>
  <c r="G51" i="71"/>
  <c r="G58" i="70"/>
  <c r="G71" i="70"/>
  <c r="G85" i="70"/>
  <c r="G55" i="70"/>
  <c r="G84" i="67"/>
  <c r="G83" i="70"/>
  <c r="G57" i="70"/>
  <c r="G53" i="67"/>
  <c r="G54" i="71"/>
  <c r="G73" i="67"/>
  <c r="G87" i="71"/>
  <c r="G77" i="70"/>
  <c r="G12" i="67"/>
  <c r="G87" i="70"/>
  <c r="G49" i="71"/>
  <c r="G69" i="71"/>
  <c r="G79" i="71"/>
  <c r="G71" i="71"/>
  <c r="G38" i="70"/>
  <c r="G11" i="67"/>
  <c r="G25" i="67"/>
  <c r="G24" i="67"/>
  <c r="G37" i="67"/>
  <c r="G67" i="71"/>
  <c r="G59" i="70"/>
  <c r="G26" i="70"/>
  <c r="G6" i="70"/>
  <c r="F89" i="70"/>
  <c r="G52" i="70"/>
  <c r="G58" i="67"/>
  <c r="G40" i="67"/>
  <c r="G29" i="70"/>
  <c r="G82" i="70"/>
  <c r="F89" i="67"/>
  <c r="G6" i="67"/>
  <c r="G25" i="70"/>
  <c r="G19" i="70"/>
  <c r="G70" i="67"/>
  <c r="G28" i="70"/>
  <c r="G63" i="71"/>
  <c r="G17" i="67"/>
  <c r="G53" i="70"/>
  <c r="G44" i="67"/>
  <c r="G14" i="70"/>
  <c r="G88" i="70"/>
  <c r="H89" i="70"/>
  <c r="G34" i="71"/>
  <c r="G84" i="71"/>
  <c r="G34" i="70"/>
  <c r="G51" i="67"/>
  <c r="G62" i="70"/>
  <c r="G86" i="67"/>
  <c r="G55" i="67"/>
  <c r="G74" i="71"/>
  <c r="G61" i="70"/>
  <c r="G81" i="71"/>
  <c r="G28" i="67"/>
  <c r="G86" i="71"/>
  <c r="G70" i="70"/>
  <c r="G80" i="71"/>
  <c r="G36" i="70"/>
  <c r="G78" i="70"/>
  <c r="G50" i="70"/>
  <c r="G53" i="71"/>
  <c r="G57" i="71"/>
  <c r="G68" i="70"/>
  <c r="G33" i="67"/>
  <c r="G87" i="67"/>
  <c r="G64" i="70"/>
  <c r="G12" i="70"/>
  <c r="G60" i="71"/>
  <c r="G66" i="67"/>
  <c r="G69" i="67"/>
  <c r="G64" i="67"/>
  <c r="G34" i="67"/>
  <c r="G56" i="67"/>
  <c r="G43" i="67"/>
  <c r="G70" i="71"/>
  <c r="G22" i="70"/>
  <c r="G78" i="71"/>
  <c r="G54" i="67"/>
  <c r="G10" i="67"/>
  <c r="G46" i="70"/>
  <c r="G48" i="67"/>
  <c r="G19" i="67"/>
  <c r="G56" i="70"/>
  <c r="G59" i="71"/>
  <c r="G59" i="67"/>
  <c r="G84" i="70"/>
  <c r="G52" i="71"/>
  <c r="G71" i="67"/>
  <c r="G36" i="67"/>
  <c r="G61" i="71"/>
  <c r="J89" i="70"/>
  <c r="G14" i="67"/>
  <c r="G80" i="67"/>
  <c r="G65" i="70"/>
  <c r="G18" i="67"/>
  <c r="G77" i="71"/>
  <c r="G16" i="67"/>
  <c r="G15" i="67"/>
  <c r="G75" i="70"/>
  <c r="G38" i="67"/>
  <c r="G13" i="67"/>
  <c r="G79" i="70"/>
  <c r="G48" i="70"/>
  <c r="G32" i="67"/>
  <c r="G72" i="71"/>
  <c r="G35" i="70"/>
  <c r="G64" i="71"/>
  <c r="I89" i="70"/>
  <c r="G23" i="67"/>
  <c r="G33" i="70"/>
  <c r="G47" i="67"/>
  <c r="G49" i="70"/>
  <c r="G11" i="70"/>
  <c r="G66" i="70"/>
  <c r="G50" i="71"/>
  <c r="G56" i="71"/>
  <c r="G65" i="67"/>
  <c r="G9" i="70"/>
  <c r="G31" i="70"/>
  <c r="G7" i="67"/>
  <c r="G16" i="70"/>
  <c r="G41" i="67"/>
  <c r="G75" i="67"/>
  <c r="G63" i="67"/>
  <c r="G82" i="71"/>
  <c r="G32" i="70"/>
  <c r="G74" i="67"/>
  <c r="G50" i="67"/>
  <c r="G72" i="67"/>
  <c r="G81" i="70"/>
  <c r="G62" i="71"/>
  <c r="G41" i="70"/>
  <c r="I12" i="69" a="1"/>
  <c r="I12" i="69" s="1"/>
  <c r="H5" i="69" a="1"/>
  <c r="H5" i="69" s="1"/>
  <c r="I11" i="69" a="1"/>
  <c r="I11" i="69" s="1"/>
  <c r="I13" i="69" a="1"/>
  <c r="I13" i="69" s="1"/>
  <c r="H89" i="67"/>
  <c r="E5" i="69" s="1"/>
  <c r="G68" i="71"/>
  <c r="G83" i="67"/>
  <c r="G47" i="70"/>
  <c r="G68" i="67"/>
  <c r="G48" i="71"/>
  <c r="G61" i="67"/>
  <c r="G13" i="70"/>
  <c r="G43" i="70"/>
  <c r="G55" i="71"/>
  <c r="G73" i="71"/>
  <c r="G57" i="67"/>
  <c r="G30" i="70"/>
  <c r="G44" i="70"/>
  <c r="G62" i="67"/>
  <c r="G72" i="70"/>
  <c r="I89" i="67"/>
  <c r="F5" i="69" s="1"/>
  <c r="G45" i="67"/>
  <c r="G60" i="70"/>
  <c r="G60" i="67"/>
  <c r="G83" i="71"/>
  <c r="G54" i="70"/>
  <c r="G65" i="71"/>
  <c r="G82" i="67"/>
  <c r="G27" i="70"/>
  <c r="G74" i="70"/>
  <c r="G80" i="70"/>
  <c r="G67" i="70"/>
  <c r="G10" i="70"/>
  <c r="G27" i="67"/>
  <c r="G49" i="67"/>
  <c r="G39" i="67"/>
  <c r="G63" i="70"/>
  <c r="G24" i="70"/>
  <c r="G52" i="67"/>
  <c r="G26" i="67"/>
  <c r="G42" i="70"/>
  <c r="G29" i="67"/>
  <c r="G23" i="70"/>
  <c r="G38" i="71"/>
  <c r="G85" i="67"/>
  <c r="G76" i="70"/>
  <c r="G30" i="67"/>
  <c r="G69" i="70"/>
  <c r="G79" i="67"/>
  <c r="G67" i="67"/>
  <c r="G18" i="70"/>
  <c r="G42" i="67"/>
  <c r="G20" i="70"/>
  <c r="G76" i="67"/>
  <c r="G51" i="70"/>
  <c r="G73" i="70"/>
  <c r="G85" i="71"/>
  <c r="G9" i="67"/>
  <c r="G88" i="71"/>
  <c r="G21" i="67"/>
  <c r="G40" i="70"/>
  <c r="G86" i="70"/>
  <c r="G66" i="71"/>
  <c r="G37" i="70"/>
  <c r="G77" i="67"/>
  <c r="G78" i="67"/>
  <c r="G8" i="70"/>
  <c r="G7" i="70"/>
  <c r="G46" i="67"/>
  <c r="G75" i="71"/>
  <c r="G88" i="67"/>
  <c r="G45" i="70"/>
  <c r="H14" i="71"/>
  <c r="K9" i="71"/>
  <c r="J22" i="71"/>
  <c r="F23" i="71"/>
  <c r="H89" i="71" l="1"/>
  <c r="G23" i="71"/>
  <c r="F89" i="71"/>
  <c r="J89" i="71"/>
  <c r="K89" i="71"/>
  <c r="G9" i="71"/>
  <c r="G89" i="71" s="1"/>
  <c r="I14" i="69"/>
  <c r="K96" i="71"/>
  <c r="K93" i="71"/>
  <c r="H13" i="69" a="1"/>
  <c r="H13" i="69" s="1"/>
  <c r="J13" i="69" s="1"/>
  <c r="H12" i="69" a="1"/>
  <c r="H12" i="69" s="1"/>
  <c r="J12" i="69" s="1"/>
  <c r="G89" i="67"/>
  <c r="D5" i="69" s="1"/>
  <c r="G5" i="69" a="1"/>
  <c r="G5" i="69" s="1"/>
  <c r="I5" i="69" s="1"/>
  <c r="J5" i="69" s="1"/>
  <c r="H11" i="69" a="1"/>
  <c r="H11" i="69" s="1"/>
  <c r="K95" i="71"/>
  <c r="K94" i="71"/>
  <c r="G89" i="70"/>
  <c r="K92" i="71"/>
  <c r="H14" i="69" l="1"/>
  <c r="J14" i="69" s="1"/>
  <c r="J11" i="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btrust-DS</author>
  </authors>
  <commentList>
    <comment ref="F4" authorId="0" shapeId="0" xr:uid="{00000000-0006-0000-0B00-000001000000}">
      <text>
        <r>
          <rPr>
            <b/>
            <sz val="10"/>
            <color indexed="81"/>
            <rFont val="맑은 고딕"/>
            <family val="3"/>
            <charset val="129"/>
          </rPr>
          <t>양호, 신규, 조치, 미조치에 대한 통계 기준은 아래와 같습니다.
 작년 결과 | 올해 결과 | 비교 결과
   미점검   |    양호     |    양호
   미점검   |    취약     |    신규
   미점검   |  부분만족  |    신규
   미점검   |    N/A     |    N/A
     양호    |     양호    |    양호
     양호    |     취약    |    신규
     양호    |  부분만족  |    신규
     양호    |     N/A    |    N/A
     취약    |     양호    |    조치
     취약    |     취약    |   미조치
     취약    |  부분만족  |   미조치
     취약    |     N/A    |    조치 
  부분만족  |     양호    |    양호
  부분만족  |     취약    |   미조치
  부분만족  |  부분만족  |   미조치
  부분만족  |     N/A    |    조치
     N/A    |     양호    |    양호
     N/A    |     취약    |    신규
     N/A    |  부분만족  |    신규
     N/A    |     N/A    |    N/A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<sst xmlns="http://schemas.openxmlformats.org/spreadsheetml/2006/main" count="4226" uniqueCount="1237">
  <si>
    <t>◈ 보고서 사용법</t>
    <phoneticPr fontId="5" type="noConversion"/>
  </si>
  <si>
    <t>해당 보고서는 기술진단 통합보고서입니다.</t>
    <phoneticPr fontId="1" type="noConversion"/>
  </si>
  <si>
    <t>하기의 주의사항을 숙지 후 작업하시기 바랍니다.</t>
    <phoneticPr fontId="1" type="noConversion"/>
  </si>
  <si>
    <t>[공통]</t>
    <phoneticPr fontId="1" type="noConversion"/>
  </si>
  <si>
    <r>
      <t xml:space="preserve">① </t>
    </r>
    <r>
      <rPr>
        <b/>
        <u/>
        <sz val="11"/>
        <color theme="1"/>
        <rFont val="맑은 고딕"/>
        <family val="3"/>
        <charset val="129"/>
        <scheme val="minor"/>
      </rPr>
      <t>단계별 보고서를 사전에 분리하여 사용할 것을 권고</t>
    </r>
    <r>
      <rPr>
        <b/>
        <sz val="11"/>
        <color theme="1"/>
        <rFont val="맑은 고딕"/>
        <family val="3"/>
        <charset val="129"/>
        <scheme val="minor"/>
      </rPr>
      <t>드립니다.</t>
    </r>
    <phoneticPr fontId="1" type="noConversion"/>
  </si>
  <si>
    <r>
      <t xml:space="preserve">    통합보고서를 저장할 경우, </t>
    </r>
    <r>
      <rPr>
        <b/>
        <sz val="11"/>
        <color rgb="FFFF0000"/>
        <rFont val="맑은 고딕"/>
        <family val="3"/>
        <charset val="129"/>
        <scheme val="minor"/>
      </rPr>
      <t>매우 오랜시간이 걸림</t>
    </r>
    <phoneticPr fontId="1" type="noConversion"/>
  </si>
  <si>
    <t>② 대부분 '통합 점검결과' 시트를 참조하고 있습니다.</t>
    <phoneticPr fontId="1" type="noConversion"/>
  </si>
  <si>
    <r>
      <t xml:space="preserve">    따라서 '</t>
    </r>
    <r>
      <rPr>
        <b/>
        <u/>
        <sz val="11"/>
        <color theme="1"/>
        <rFont val="맑은 고딕"/>
        <family val="3"/>
        <charset val="129"/>
        <scheme val="minor"/>
      </rPr>
      <t>통합 점검결과' 시트의 결과값이 들어간 경우, 수식을 값으로 전환할 것을 권고</t>
    </r>
    <r>
      <rPr>
        <b/>
        <sz val="11"/>
        <color theme="1"/>
        <rFont val="맑은 고딕"/>
        <family val="3"/>
        <charset val="129"/>
        <scheme val="minor"/>
      </rPr>
      <t>드립니다.</t>
    </r>
    <phoneticPr fontId="1" type="noConversion"/>
  </si>
  <si>
    <r>
      <t xml:space="preserve">    수식이 살아있을 경우, </t>
    </r>
    <r>
      <rPr>
        <b/>
        <sz val="11"/>
        <color rgb="FFFF0000"/>
        <rFont val="맑은 고딕"/>
        <family val="3"/>
        <charset val="129"/>
        <scheme val="minor"/>
      </rPr>
      <t>매우 오랜시간이 걸림</t>
    </r>
    <phoneticPr fontId="1" type="noConversion"/>
  </si>
  <si>
    <r>
      <t xml:space="preserve">③ 통합보고서의 속도를 고려하여 </t>
    </r>
    <r>
      <rPr>
        <b/>
        <sz val="11"/>
        <color rgb="FFFF0000"/>
        <rFont val="맑은 고딕"/>
        <family val="3"/>
        <charset val="129"/>
        <scheme val="minor"/>
      </rPr>
      <t>최소한의 수식만을 남겨두었습니다</t>
    </r>
    <r>
      <rPr>
        <b/>
        <sz val="11"/>
        <color theme="1"/>
        <rFont val="맑은 고딕"/>
        <family val="3"/>
        <charset val="129"/>
        <scheme val="minor"/>
      </rPr>
      <t>.</t>
    </r>
    <phoneticPr fontId="1" type="noConversion"/>
  </si>
  <si>
    <r>
      <t xml:space="preserve">    </t>
    </r>
    <r>
      <rPr>
        <b/>
        <u/>
        <sz val="11"/>
        <color theme="1"/>
        <rFont val="맑은 고딕"/>
        <family val="3"/>
        <charset val="129"/>
        <scheme val="minor"/>
      </rPr>
      <t>적절하게 복붙하여 자동채우기 사용을 권고</t>
    </r>
    <r>
      <rPr>
        <b/>
        <sz val="11"/>
        <color theme="1"/>
        <rFont val="맑은 고딕"/>
        <family val="3"/>
        <charset val="129"/>
        <scheme val="minor"/>
      </rPr>
      <t>드립니다.</t>
    </r>
    <phoneticPr fontId="1" type="noConversion"/>
  </si>
  <si>
    <t>④ 보고서 종류별 '통합 점검결과' 시트 변경하기</t>
    <phoneticPr fontId="1" type="noConversion"/>
  </si>
  <si>
    <t>[취약점 진단]</t>
    <phoneticPr fontId="1" type="noConversion"/>
  </si>
  <si>
    <t>① '점검대상' 시트 채우기</t>
    <phoneticPr fontId="1" type="noConversion"/>
  </si>
  <si>
    <t xml:space="preserve">     * hostname이 점검대상을 구분하는 기준입니다. 중복값 검증해주시기 바랍니다. (Ex. Hostname_instance 등으로 변경)</t>
    <phoneticPr fontId="1" type="noConversion"/>
  </si>
  <si>
    <t>② 점검대상에 따라 '통합 점검결과' 시트 채우기</t>
    <phoneticPr fontId="1" type="noConversion"/>
  </si>
  <si>
    <t>※ 정보보호시스템, 네트워크장비 등은 수동점검하여 채워넣기</t>
    <phoneticPr fontId="1" type="noConversion"/>
  </si>
  <si>
    <t>③ '#삭제. 결과가져오기' 시트 매크로를 이용하여 스크립트 결과값 채워넣기</t>
    <phoneticPr fontId="1" type="noConversion"/>
  </si>
  <si>
    <t xml:space="preserve">     * ANSI(개행문자 \r\n) 형식 텍스트만 매크로가 동작합니다. Notepad++로 변환하여 사용이 필요합니다.</t>
    <phoneticPr fontId="1" type="noConversion"/>
  </si>
  <si>
    <t>④ '통합 점검결과' 시트 현황값 채워넣고 진단하기</t>
    <phoneticPr fontId="1" type="noConversion"/>
  </si>
  <si>
    <t xml:space="preserve">     * 진단완료시 불필요한 수식은 값으로 변경하기를 권고드립니다.</t>
    <phoneticPr fontId="1" type="noConversion"/>
  </si>
  <si>
    <t>⑤ 그 외 시트에 대해 검토하기</t>
    <phoneticPr fontId="1" type="noConversion"/>
  </si>
  <si>
    <t>⑥ (개별 점검 시트가 필요한 경우) 진단 완료 후 '점검대상'의 매크로를 이용하여 '점검대상(샘플)' 시트 복사하기</t>
    <phoneticPr fontId="1" type="noConversion"/>
  </si>
  <si>
    <t>[위험평가]</t>
    <phoneticPr fontId="1" type="noConversion"/>
  </si>
  <si>
    <t xml:space="preserve"> - 통합 위혐평가표 / 개별 위험평가표 여부는 PM님과 협의하여 결정</t>
    <phoneticPr fontId="1" type="noConversion"/>
  </si>
  <si>
    <t>① [상세결과보고서] '점검대상'을 동일 시트에 복붙하기</t>
    <phoneticPr fontId="1" type="noConversion"/>
  </si>
  <si>
    <t>② [상세결과보고서] '통합 점검결과' 시트의 값을 동일 시트에 복붙하기</t>
    <phoneticPr fontId="1" type="noConversion"/>
  </si>
  <si>
    <t>③ [위험평가표] '통합 점검결과' 시트명을 '위험평가표'로 변경하기</t>
    <phoneticPr fontId="1" type="noConversion"/>
  </si>
  <si>
    <t>④ 그 외 시트에 대해 검토하기</t>
    <phoneticPr fontId="1" type="noConversion"/>
  </si>
  <si>
    <t>[위험조치계획]</t>
    <phoneticPr fontId="1" type="noConversion"/>
  </si>
  <si>
    <t xml:space="preserve"> - 통합 조치계획서 / 개별 조치계획서 여부는 PM님과 협의하여 결정</t>
    <phoneticPr fontId="1" type="noConversion"/>
  </si>
  <si>
    <t>① [위험평가표] '점검대상'을 동일 시트에 복붙하기</t>
    <phoneticPr fontId="1" type="noConversion"/>
  </si>
  <si>
    <t>② [위험평가표] '통합 점검결과' 시트의 값을 동일 시트에 복붙하기</t>
    <phoneticPr fontId="1" type="noConversion"/>
  </si>
  <si>
    <t>③ [위험조치계획서] '통합 점검결과' 시트명을 '위험조치계획'으로 변경하기</t>
    <phoneticPr fontId="1" type="noConversion"/>
  </si>
  <si>
    <t>[이행조치]</t>
    <phoneticPr fontId="1" type="noConversion"/>
  </si>
  <si>
    <r>
      <t xml:space="preserve">④ '통합 점검결과' 시트 </t>
    </r>
    <r>
      <rPr>
        <b/>
        <u/>
        <sz val="11"/>
        <color theme="1"/>
        <rFont val="맑은 고딕"/>
        <family val="3"/>
        <charset val="129"/>
        <scheme val="minor"/>
      </rPr>
      <t>이행 후</t>
    </r>
    <r>
      <rPr>
        <b/>
        <sz val="11"/>
        <color theme="1"/>
        <rFont val="맑은 고딕"/>
        <family val="3"/>
        <charset val="129"/>
        <scheme val="minor"/>
      </rPr>
      <t xml:space="preserve"> 현황값 채워넣고 진단하기</t>
    </r>
    <phoneticPr fontId="1" type="noConversion"/>
  </si>
  <si>
    <t>③ [이행조치결과서] '통합 점검결과' 시트명을 '통합 이행점검결과'으로 변경하기</t>
    <phoneticPr fontId="1" type="noConversion"/>
  </si>
  <si>
    <r>
      <t>⑥ (개별 점검 시트가 필요한 경우) 진단 완료 후 '점검대상'의 매크로를 이용하여 '</t>
    </r>
    <r>
      <rPr>
        <b/>
        <u/>
        <sz val="11"/>
        <color theme="1"/>
        <rFont val="맑은 고딕"/>
        <family val="3"/>
        <charset val="129"/>
        <scheme val="minor"/>
      </rPr>
      <t>점검대상(샘플)_이행</t>
    </r>
    <r>
      <rPr>
        <b/>
        <sz val="11"/>
        <color theme="1"/>
        <rFont val="맑은 고딕"/>
        <family val="3"/>
        <charset val="129"/>
        <scheme val="minor"/>
      </rPr>
      <t>' 시트 복사하기</t>
    </r>
    <phoneticPr fontId="1" type="noConversion"/>
  </si>
  <si>
    <t>시트</t>
    <phoneticPr fontId="1" type="noConversion"/>
  </si>
  <si>
    <t>매크로</t>
    <phoneticPr fontId="1" type="noConversion"/>
  </si>
  <si>
    <t>단계별 보고서 종류</t>
    <phoneticPr fontId="1" type="noConversion"/>
  </si>
  <si>
    <t>취약점 진단</t>
    <phoneticPr fontId="1" type="noConversion"/>
  </si>
  <si>
    <t>위험평가</t>
    <phoneticPr fontId="1" type="noConversion"/>
  </si>
  <si>
    <t>위험조치계획</t>
    <phoneticPr fontId="1" type="noConversion"/>
  </si>
  <si>
    <t>이행조치</t>
    <phoneticPr fontId="1" type="noConversion"/>
  </si>
  <si>
    <t>시트명</t>
    <phoneticPr fontId="1" type="noConversion"/>
  </si>
  <si>
    <t>숨김/삭제 여부</t>
    <phoneticPr fontId="1" type="noConversion"/>
  </si>
  <si>
    <t>필수 사용 여부</t>
    <phoneticPr fontId="1" type="noConversion"/>
  </si>
  <si>
    <t>매크로명</t>
    <phoneticPr fontId="1" type="noConversion"/>
  </si>
  <si>
    <t>동작방식</t>
    <phoneticPr fontId="1" type="noConversion"/>
  </si>
  <si>
    <t>No</t>
    <phoneticPr fontId="1" type="noConversion"/>
  </si>
  <si>
    <t>상세 결과보고서</t>
    <phoneticPr fontId="1" type="noConversion"/>
  </si>
  <si>
    <t>위험평가보고서</t>
    <phoneticPr fontId="1" type="noConversion"/>
  </si>
  <si>
    <t>위험조치계획서</t>
    <phoneticPr fontId="1" type="noConversion"/>
  </si>
  <si>
    <t>이행조치보고서</t>
    <phoneticPr fontId="1" type="noConversion"/>
  </si>
  <si>
    <t>#숨김. 진단대상 보안 가이드</t>
    <phoneticPr fontId="1" type="noConversion"/>
  </si>
  <si>
    <t>수식 -&gt; 값 전환 후 삭제</t>
    <phoneticPr fontId="1" type="noConversion"/>
  </si>
  <si>
    <t>필수</t>
    <phoneticPr fontId="1" type="noConversion"/>
  </si>
  <si>
    <t>-</t>
    <phoneticPr fontId="1" type="noConversion"/>
  </si>
  <si>
    <t>표지</t>
    <phoneticPr fontId="1" type="noConversion"/>
  </si>
  <si>
    <t>개정이력</t>
    <phoneticPr fontId="1" type="noConversion"/>
  </si>
  <si>
    <t>개요</t>
    <phoneticPr fontId="1" type="noConversion"/>
  </si>
  <si>
    <t>선택</t>
    <phoneticPr fontId="1" type="noConversion"/>
  </si>
  <si>
    <t>위험도 산정기준</t>
    <phoneticPr fontId="1" type="noConversion"/>
  </si>
  <si>
    <t>정보보호계획 수립기준</t>
    <phoneticPr fontId="1" type="noConversion"/>
  </si>
  <si>
    <t>점검대상</t>
    <phoneticPr fontId="1" type="noConversion"/>
  </si>
  <si>
    <t>sheet_copy</t>
    <phoneticPr fontId="1" type="noConversion"/>
  </si>
  <si>
    <t>클릭 실행</t>
    <phoneticPr fontId="1" type="noConversion"/>
  </si>
  <si>
    <t>위험평가 통계</t>
    <phoneticPr fontId="1" type="noConversion"/>
  </si>
  <si>
    <t>보안수준 통계</t>
    <phoneticPr fontId="1" type="noConversion"/>
  </si>
  <si>
    <t>요약 통계</t>
    <phoneticPr fontId="1" type="noConversion"/>
  </si>
  <si>
    <t>이행 후 보안수준 통계</t>
    <phoneticPr fontId="1" type="noConversion"/>
  </si>
  <si>
    <t>이행 후 요약 통계</t>
    <phoneticPr fontId="1" type="noConversion"/>
  </si>
  <si>
    <t>#삭제. 항목별 취약 시스템</t>
    <phoneticPr fontId="1" type="noConversion"/>
  </si>
  <si>
    <t>작업 완료 후 삭제</t>
    <phoneticPr fontId="1" type="noConversion"/>
  </si>
  <si>
    <t>fn취약대상()</t>
    <phoneticPr fontId="1" type="noConversion"/>
  </si>
  <si>
    <t>자동 실행</t>
    <phoneticPr fontId="1" type="noConversion"/>
  </si>
  <si>
    <t>#숨김. 전년도 점검 결과</t>
    <phoneticPr fontId="1" type="noConversion"/>
  </si>
  <si>
    <t>숨김</t>
    <phoneticPr fontId="1" type="noConversion"/>
  </si>
  <si>
    <t>결과 비교</t>
    <phoneticPr fontId="1" type="noConversion"/>
  </si>
  <si>
    <t>fn_Compare()</t>
    <phoneticPr fontId="1" type="noConversion"/>
  </si>
  <si>
    <t>#삭제. 결과가져오기</t>
    <phoneticPr fontId="1" type="noConversion"/>
  </si>
  <si>
    <t>text_to_excel</t>
    <phoneticPr fontId="1" type="noConversion"/>
  </si>
  <si>
    <t>통합 점검결과</t>
    <phoneticPr fontId="1" type="noConversion"/>
  </si>
  <si>
    <t>위험평가표</t>
    <phoneticPr fontId="1" type="noConversion"/>
  </si>
  <si>
    <t>통합 이행점검결과</t>
    <phoneticPr fontId="1" type="noConversion"/>
  </si>
  <si>
    <t>대상(샘플)</t>
    <phoneticPr fontId="1" type="noConversion"/>
  </si>
  <si>
    <t>불필요한 경우 삭제</t>
    <phoneticPr fontId="1" type="noConversion"/>
  </si>
  <si>
    <t>대상(샘플)_이행</t>
    <phoneticPr fontId="1" type="noConversion"/>
  </si>
  <si>
    <t>END</t>
    <phoneticPr fontId="1" type="noConversion"/>
  </si>
  <si>
    <t>◈ WINDOWS 서버 보안 가이드</t>
    <phoneticPr fontId="5" type="noConversion"/>
  </si>
  <si>
    <t>취약성 평가</t>
    <phoneticPr fontId="1" type="noConversion"/>
  </si>
  <si>
    <t>취약점 진단 및 조치</t>
    <phoneticPr fontId="1" type="noConversion"/>
  </si>
  <si>
    <t>분류</t>
    <phoneticPr fontId="1" type="noConversion"/>
  </si>
  <si>
    <t>구분(전자금융)</t>
    <phoneticPr fontId="1" type="noConversion"/>
  </si>
  <si>
    <t>항목</t>
  </si>
  <si>
    <t>취약점 설명</t>
  </si>
  <si>
    <t>등급</t>
    <phoneticPr fontId="1" type="noConversion"/>
  </si>
  <si>
    <t>중요도</t>
    <phoneticPr fontId="1" type="noConversion"/>
  </si>
  <si>
    <t>위협코드</t>
  </si>
  <si>
    <t>위협항목</t>
  </si>
  <si>
    <t>잠재위험</t>
  </si>
  <si>
    <t>심각도</t>
    <phoneticPr fontId="1" type="noConversion"/>
  </si>
  <si>
    <t>발생빈도</t>
    <phoneticPr fontId="1" type="noConversion"/>
  </si>
  <si>
    <t>위협등급</t>
  </si>
  <si>
    <t>판단기준
(WIN)</t>
  </si>
  <si>
    <t>판단방법
(WIN)</t>
  </si>
  <si>
    <t>조치방법</t>
    <phoneticPr fontId="1" type="noConversion"/>
  </si>
  <si>
    <t>주통기반</t>
    <phoneticPr fontId="1" type="noConversion"/>
  </si>
  <si>
    <t>보안 관리</t>
    <phoneticPr fontId="1" type="noConversion"/>
  </si>
  <si>
    <t>SRV-001</t>
  </si>
  <si>
    <t>중</t>
    <phoneticPr fontId="1" type="noConversion"/>
  </si>
  <si>
    <t>계정 침해</t>
  </si>
  <si>
    <t>H</t>
  </si>
  <si>
    <t>M</t>
  </si>
  <si>
    <t>(중) [서비스 관리] W-61 SNMP 서비스 커뮤니티스트링의 복잡성 설정</t>
  </si>
  <si>
    <t>SRV-003</t>
  </si>
  <si>
    <t>(중) [서비스 관리] W-62 SNMP Access control 설정</t>
  </si>
  <si>
    <t>SRV-004</t>
  </si>
  <si>
    <t>불필요한 SMTP 서비스 실행</t>
  </si>
  <si>
    <t>o SMTP 서비스는 인터넷에서 메일을 전송하는 SMTP 프로토콜을 기반으로 하는 서비스로, 악의적인 공격자가 SMTP 서비스를 실행 중인 서버의 정보를 획득하는 등 다양한 공격이 가능하므로 불필요한 SMTP 서비스 가동 여부를 점검</t>
  </si>
  <si>
    <t>불필요 시스템 사용</t>
  </si>
  <si>
    <t>* 양호 - SMTP 서비스가 동작 중이지 않거나, 업무상 사용 중인 경우
* 취약 - 불필요한 SMTP 서비스가 동작 중인 경우</t>
  </si>
  <si>
    <t>25번 포트에 SMTP 서비스가 동작 중인지 확인</t>
  </si>
  <si>
    <t>불필요 시 SMTP 서비스 비활성화</t>
  </si>
  <si>
    <t>SRV-013</t>
  </si>
  <si>
    <t>Anonymous 계정의 FTP 서비스 접속 제한 미비</t>
  </si>
  <si>
    <t>o FTP 서비스는 파일을 전송하기 위한 프로토콜을 기반으로 하는 서비스로, 임의의 사용자가 FTP 서비스를 이용할 수 있는 익명(Anonymous) FTP 기능이 활성화된 경우 악의적인 사용자도 손쉽게 접근이 가능하므로 해당 기능의 허용 여부를 점검</t>
  </si>
  <si>
    <t>상</t>
    <phoneticPr fontId="1" type="noConversion"/>
  </si>
  <si>
    <t>* 양호 - FTP 서비스 미사용 또는 Anonymous 설정 비활성화
* 취약 - Anonymous FTP 설정 활성화</t>
  </si>
  <si>
    <t xml:space="preserve">[ IIS - FTP ]
1. FTP 설정 확인 (IIS 설정)
- IIS 6.0 이하: AllowAnonymous=True 여부 확인 (metabase.xml)
- IIS 7.0 이상: anonymousAuthentication enabled="true" 여부 확인 (applicationHost.config)
2. 접근이 가능한 경우 실제 FTP 접속 시도 (ftp -A 0.0.0.0)
</t>
  </si>
  <si>
    <t>FTP서비스를 비활성화 하거나, FTP의 '익명 연결 허용' 기능 '사용 안 함' 설정</t>
  </si>
  <si>
    <t>(상) [서비스 관리] W-27 Anonymouse FTP 금지</t>
  </si>
  <si>
    <t>SRV-018</t>
  </si>
  <si>
    <t>불필요한 하드디스크 기본 공유 활성화</t>
  </si>
  <si>
    <t xml:space="preserve">o Windows는 프로그램 및 서비스를 네트워크나 컴퓨터 환경에서 관리하기 위해 시스템 기본 공유 항목을 자동으로 생성하며, 이러한 공유 기능을 이용하여 비인가자가 불법적으로 모든 시스템 자원에 접근할 수 있는 위협이 있으므로 해당 서비스가 업무에 관계없이 활성화 되어 있는지 점검
</t>
  </si>
  <si>
    <t>* 양호 - Windows 2003 이상이면 양호, Windows 2003 미만은 기본 공유가 존재하지 않으면서 서버의 경우 AutoShareServer 키 값이 0일 경우, NT의 경우 AutoShareWks 값이 0일 경우 양호
* 취약 - Windows 2003 미만이면서 아래의 조건 중 해당사항이 있는 경우
1. 기본 공유가 존재함
2. 서버의 경우 AutoShareServer 키 값이 없거나 0이 아닐 경우, NT의 경우 AutoShareWks 값이 없거나 0이 아닐 경우
취약 항목 1, 2번 중 하나라도 해당할 시 취약</t>
  </si>
  <si>
    <t>HKLM\SYSTEM\CurrentControlSet\Services\Lanmanserver\Parameters /v AutoShareServer 값이 0으로 설정되어 있는지 확인</t>
  </si>
  <si>
    <t>기본 공유 중지 및 공유 관련 레지스트리인 AutoShareServer, AutoShareWks 값을 0으로 설정</t>
  </si>
  <si>
    <t>(상) [서비스 관리] W-08 하드디스크 기본 공유 제거</t>
  </si>
  <si>
    <t>SRV-020</t>
  </si>
  <si>
    <t>공유에 대한 접근 통제 미비</t>
  </si>
  <si>
    <t>o Windows의 공유 기능은 폴더, 디스크 드라이브, 프린터 등을 공유하여 다른 사용자들과 함께 사용 가능하며 접근통제가 미흡한 공유는 비인가 접근 위협이 존재하므로, 사용자 권한 및 사용자 그룹 설정 등 보안 설정의 적절성을 점검</t>
  </si>
  <si>
    <t>환경설정 미흡</t>
  </si>
  <si>
    <t>* 양호 - 공유폴더가 없거나, 공유 폴더의 접근 권한에 Everyone이 없는 등 접근 통제가 되어 있을 경우
* 취약 - 공유폴더에 Everyone 권한이 존재하는 등 접근 통제가 되어 있지 않을 경우</t>
  </si>
  <si>
    <t>1. net share 명령어를 통해 공유 중인 폴더 확인
2. 공유 폴더들의 접근 권한 중 Everyone 권한 부여 여부 확인</t>
  </si>
  <si>
    <t>공유폴더 공유를 중지하거나, 공유폴더를 사용하는 경우 Everyone 권한 제거 및 적절한 접근통제 설정</t>
  </si>
  <si>
    <t>(상) [서비스 관리] W-07 공유 권한 및 사용자 그룹 설정</t>
  </si>
  <si>
    <t>SRV-021</t>
  </si>
  <si>
    <t>FTP 서비스 접근 제어 설정 미비</t>
  </si>
  <si>
    <t>* 양호 - 특정 IP 주소 또는 호스트에서만 FTP 서버에 접속하도록 접근제어 설정을 적용한 경우
* 취약 - 특정 IP 주소 또는 호스트에서만 FTP 서버에 접속하도록 접근제어 설정을 적용하지 않은 경우</t>
  </si>
  <si>
    <t>* iisconfig 파일의 설정으로 확인
- metabase.xml, applicationhost.config 파일을 참조하여 ipsecurity 항목 적용 여부 확인
* 직접 확인하는 방법
1. Windows 2003 이하
시작 &gt; 실행 &gt; inetmgr &gt; 디렉터리 보안 탭을 확인하여 TCP/IP 제한이 수행되고 있는지 확인
2. Windows 2008
시작 &gt; 실행 &gt; inetmgr &gt; FTP IPv4 주소 및 도메인 제한에 허용 항목 및 거부 항목이 설정되어 있는지 확인</t>
  </si>
  <si>
    <t>특정 IP주소에서만 FTP 서비스에 접근 가능하도록 접근제어를 설정</t>
  </si>
  <si>
    <t>(상) [서비스 관리] W-28 FTP 접근 제어 설정</t>
  </si>
  <si>
    <t>SRV-022</t>
  </si>
  <si>
    <t>계정의 비밀번호 미설정, 빈 암호 사용 관리 미흡</t>
  </si>
  <si>
    <t>o 시스템 접속 계정에 대한 비밀번호가 설정되어 있지 않은 경우 비인가자가 계정을 도용하여 인가되지 않은 파일 및 서비스에 접근할 수 있는 위협이 존재하므로, 계정에 비밀번호가 설정되어 있지 않거나 빈 비밀번호를 설정하였는지를 점검</t>
  </si>
  <si>
    <t>* 양호 - 계정들의 비밀번호가 모두 설정되어 있고, “콘솔 로그온 시 로컬 계정에서 빈 암호 사용 제한” 정책이 “사용”인 경우
* 취약 - 비밀번호가 설정되지 않은 계정이 존재하거나, “콘솔 로그온 시 로컬 계정에서 빈 암호 사용 제한” 정책이 “사용 안 함”인 경우</t>
  </si>
  <si>
    <t>* HKEY_LOCAL_MACHINE\SYSTEM\CurrentControlSet\Control\Lsa\LimitBlankPasswordUse 값 확인 
(1일 경우 양호, 0일 경우 취약)
* 계정별 로그인 확인 및 담당자 확인을 통해 비밀번호 미설정 계정 확인
* 패스워드 크랙 점검 결과 확인</t>
  </si>
  <si>
    <t>계정에 비밀번호를 설정하거나 불필요한 계정 제거</t>
  </si>
  <si>
    <t>(중) [계정 관리] W-56 콘솔 로그온 시 로컬 계정에서 빈 암호 사용 제한</t>
  </si>
  <si>
    <t>SRV-023</t>
  </si>
  <si>
    <t>원격 터미널 서비스의 암호화 수준 설정 미흡</t>
  </si>
  <si>
    <t>o 원격 터미널 서비스는 원격지에 있는 서버를 관리하기 위한 유용한 도구이지만 원격 터미널 서비스의 암호화 수준이 낮을 경우, 계정 탈취 위협이 증가하므로 해당 설정의 적절성을 점검</t>
  </si>
  <si>
    <t>암호화 미흡</t>
  </si>
  <si>
    <t>* 양호 - 원격 터미널 서비스를 사용하지 않거나 사용 시 암호화 수준을 "클라이언트와 호환 가능(중간)" 이상으로 설정한 경우
* 취약 - 원격 터미널 서비스를 사용하고 암호화 수준을 "낮음" 으로 설정한 경우</t>
  </si>
  <si>
    <t>HKEY_LOCAL_MACHINE\SYSTEM\CurrentControlSet\Control\Terminal Server\WinStations\RDP-Tcp\MinEncryptionLevel 확인 (2 이상일 경우 양호)
HKEY_LOCAL_MACHINE\SOFTWARE\Policies\Microsoft\Windows NT\Terminal Services" (Windows 2012 이상: 2 이상일 경우 양호)</t>
  </si>
  <si>
    <t>터미널 서비스를 중지하거나 사용할 경우 암호화 수준을 "클라이언트와 호환 가능(중간)" 이상으로 설정</t>
  </si>
  <si>
    <t>(중) [서비스 관리] W-58 터미널 서비스 암호화 수준 설정</t>
  </si>
  <si>
    <t>SRV-024</t>
  </si>
  <si>
    <t>취약한 Telnet 인증 방식 사용</t>
  </si>
  <si>
    <t>o Telnet 서비스는 평문으로 데이터를 송수신하므로 패스워드 방식으로 인증을 수행할 경우 계정 및 패스워드가 노출될 위험성이 존재함. 네트워크상으로 패스워드를 전송하지 않는 NTLM 인증 설정을 적용하고 있는지 점검</t>
  </si>
  <si>
    <t>* 양호 - Telnet 서비스가 실행 중이 아니거나 인증 방법 중 NTLM만 허용할 경우
* 취약 - Telnet 서비스가 실행되고 있으며 인증 방법 중 password 방식을 지원할 경우</t>
  </si>
  <si>
    <t xml:space="preserve">tlntadmn config 명령 결과에서 인증 방법 부분에 Password 지원 여부 확인
</t>
  </si>
  <si>
    <t>Telnet 서비스를 비활성화하거나. 서비스를 사용하는 경우 인증방법을 NTLM으로 설정</t>
  </si>
  <si>
    <t>(중) [서비스 관리] W-65 Telnet 보안 설정</t>
  </si>
  <si>
    <t>SRV-027</t>
  </si>
  <si>
    <t>서비스 접근 IP 및 포트 제한 미비</t>
  </si>
  <si>
    <t>o 서비스로의 접근이 통제되지 않을 경우 악의적인 사용자의 공격 목표가 될 수 있기 때문에 보안상 접근통제가 필요함. 방화벽, 3rd-party 제품 또는 tcpwrapper를 활용하여 서비스에 대한 IP 및 포트 접근제어를 수행하고 있는지 점검</t>
  </si>
  <si>
    <t>* 양호 - 방화벽 제품 또는 Windows 방화벽을 사용한 접근통제를 수행하는 경우
* 취약 - 방화벽 제품 또는 Windows 방화벽을 사용한 접근통제를 수행하지 않는 경우</t>
  </si>
  <si>
    <t>* 윈도우즈 운영체제의 자체 방화벽 또는 3rd-Party 방화벽 제품을 사용 중인지 확인
* Windows 방화벽 또는 3rd-Party 방화벽 점검
    1. 아래와 같은 과정을 통해 윈도우즈 운영체제의 자체 방화벽 사용 확인 
        - [시작] 버튼 클릭 후 [제어판] 클릭 
        - [Windows 방화벽] 클릭 후 [Windows 방화벽 설정 또는 해제] 클릭 
        - Windows 방화벽 "사용"으로 설정되어 있는지 확인 
    2. 또는 3rd-Party 방화벽 제품 확인</t>
  </si>
  <si>
    <t>방화벽, 3rd-party 제품 등을 통하여 접근제어 설정</t>
  </si>
  <si>
    <t>SRV-028</t>
  </si>
  <si>
    <t>원격 터미널 접속 타임아웃 미설정</t>
  </si>
  <si>
    <t>o 사용자 부재시, 비인가자에 의한 시스템 무단 사용을 방지하기 위해 일정시간 사용하지 않는 세션에 대한 자동 종료시간 설정 여부를 점검하고, 세션 종료시간이 설정되어 있을 경우 과도하게 설정 되어 있는지 점검</t>
  </si>
  <si>
    <t>하</t>
    <phoneticPr fontId="1" type="noConversion"/>
  </si>
  <si>
    <t>* 양호 - 세션 타임아웃 값이 900초 이하(15분)로 설정 되어 있을 경우
* 취약 - 세션 타임아웃 값이 900초 이하(15분)로 설정 되어 있지 않을 경우 (아래 내용 중 해당사항이 있는 경우)
  1) 내부 규정에 세션 종료 시간이 명시되어 있을 경우
     - 세션 타임아웃이 내부 규정에 명시된 세션 종료 시간보다 초과 설정 시 "취약"으로 판단
  2) 내부 규정에 세션 종료시간이 명시되어 있지 않을 경우
     - 세션 타임아웃이 15분 초과 설정 시 "취약"으로 판단</t>
  </si>
  <si>
    <t>HKEY_LOCAL_MACHINE\SYSTEM\CurrentControlSet\Control\Terminal Server\WinStations\RDP-Tcp\MaxIdleTime 확인 (값이 설정되어 있을 경우 양호)
HKEY_LOCAL_MACHINE\SOFTWARE\Policies\Microsoft\Windows NT\Terminal Services 에서 MaxIdleTime 확인 (Windows 2012 이상: 설정 되어 있을 경우 양호)</t>
  </si>
  <si>
    <t>"활성 상태이지만 유휴 터미널 서비스 세션에 시간 제한 설정"을 "사용"으로 설정하고, "유휴 세션 제한" 정책을 “15분”이하로 설정</t>
  </si>
  <si>
    <t>(중) [서비스 관리] W-67 원격터미널 접속 타임아웃 설정</t>
  </si>
  <si>
    <t>SRV-029</t>
  </si>
  <si>
    <t>SMB 세션 중단 관리 설정 미비</t>
  </si>
  <si>
    <t>o SMB 세션은 서버 리소스를 소모하므로 세션 수가 많으면 서버 속도가 느려지거나 성능저하가 발생할 수 있음. 공격자가 악의적으로 SMB 세션을 반복 설정하는 등의 방법을 활용하여 SMB 서비스에 대한 서비스 거부 공격을 감행할 수 있으므로 유효한 로그온 시간이 초과된 세션이 자동으로 종료되도록 설정되었는지 점검</t>
  </si>
  <si>
    <t>* 양호 - "로그온 시간이 만료되면 강제로 로그오프" 정책을 "사용"으로 설정된 경우
* 취약 - "로그온 시간이 만료되면 강제로 로그오프" 정책이 "사용 안 함"으로 설정된 경우</t>
  </si>
  <si>
    <t>HKEY_LOCAL_MACHINE\System\CurrentControlSet\Services\LanManServer\Parameters /v EnableForcedLogOff 확인 (1일 경우 양호)</t>
  </si>
  <si>
    <t>“로그온 시간이 만료되면 강제로 로그오프” 정책을 “사용”으로, “세션 연결을 중단하기 전에 필요한 유휴 시간” 정책을 “15분”이하로 설정</t>
  </si>
  <si>
    <t>(중) [보안 관리] W-74 세션 연결을 중단하기 전에 필요한 유휴시간</t>
  </si>
  <si>
    <t>SRV-031</t>
  </si>
  <si>
    <t>계정 목록 및 네트워크 공유 이름 노출</t>
  </si>
  <si>
    <t>o SAM(보안계정관리자) 계정과 공유의 익명 열거가 허용된 경우, 악의적인 사용자가 계정 이름 목록을 확인하고 사회공학 공격 및 기타 공격에 활용할 수 있으므로, 계정과 공유의 익명 열거를 방지하고 있는지 점검</t>
  </si>
  <si>
    <t>정보수집</t>
  </si>
  <si>
    <t>* 양호 - SAM 계정과 공유의 익명 열거 허용 설정 관련 레지스트리 값이 적절하게 설정되어 있을 경우
* 취약        
    1. Windows 2000
             HKEY\_LOCAL\_MACHINE\SYSTEM\CurrentControlSet\Control\LSA\RestrictAnonymous값이 (DWORD: 2)가 아닐 경우
    2. Windows 2003 이상
             HKEY\_LOCAL\_MACHINE\SYSTEM\CurrentControlSet\Control\LSA\RestrictAnonymous값이 (DWORD: 1)이 아닐 경우</t>
  </si>
  <si>
    <t>HKLM\SYSTEM\CurrentControlSet\Control\LSA 레지스트리에서 확인 (Windows 2000: 2일때 양호, Windows 2003이상 : 1일때 양호)
secpol.msc &gt; 로컬 정책 &gt; 보안 옵션 에서 확인</t>
  </si>
  <si>
    <t>“SAM 계정의 익명 열거 허용 안 함”, “SAM계정과 공유의 익명 열거 허용 안 함”을 '사용'으로 설정</t>
  </si>
  <si>
    <t>(상) [보안 관리] W-42 SAM 계정과 공유의 익명 열거 허용 안 함</t>
  </si>
  <si>
    <t>SRV-034</t>
  </si>
  <si>
    <t>불필요한 서비스 활성화</t>
  </si>
  <si>
    <t>o 시스템 운영 중 불필요한 서비스들이 설치되어 실행되고 있는 경우, 시스템의 성능 저하를 야기하거나 잠재적인 보안 취약점이 발생할 수 있으므로 업무와 관계 없이 활성화되어 있는 서비스를 점검
( 취약한 버전의 automountd , NetBIOS, DMI, WebDAV, RDS 등 일반적으로 불필요한 서비스 점검 )</t>
  </si>
  <si>
    <t>* 양호 - 아래의 항목 중 해당 사항이 없는 경우
* 취약 - 아래의 항목 중 해당하는 조건이 있는 경우
1. NetBIOS 인터페이스가 불필요하게 활성화됨 (Windows 2000 이하의 환경에서 AD를 사용하는 경우는 예외)
2. Alerter, Clipbook, Messenger, Simple TCP/IP Services(Echo, Discard, Character Generator, Daytime, Quote of the Day) 서비스가 불필요하게 활성화됨
3. 불필요하게 WebDAV 서비스가 활성화됨
4. 불필요하게 RDS(Remote Data Services) 서비스가 활성화됨</t>
  </si>
  <si>
    <t>1. NetBIOS
* 레지스트리로 확인
각 인터페이스에 대해서 REG QUERY HKLM\SYSTEM\CurrentControlSet\Services\NetBT\parameters\Interfaces\{인터페이스명} 명령으로
NetbiosOptions 값 확인 ( 값 2이면 비활성화, 0 또는 1이면 활성화 )
* 직접 확인
TCP/IP &gt; 속성 &gt; [일반]탭&gt;[고급] &gt; [WINS]탭 &gt; NetBIOS 설정에서 확인
2. Alerter, Clipbook, Messenger, Simple TCP/IP Services(Echo, Discard, Character Generator, Daytime, Quote of the Day) 서비스
시작 &gt; 설정 &gt; 제어판 &gt; 서비스에서 확인
또는 sc query [서비스명] 명령의 결과로 활성화 여부 확인
3. WebDAV 서비스
* iis 설정 파일인 metabase.xml , applicationHost.config 에서 Webdav 서비스 점검
 ( WebDav enabled = true 와 같은 구문이 존재하는지 점검하여 활성화 여부 판단 )
4. RDS 서비스 
* 다음의 레지스트리 값과 설정 파일 내용 등을 확인하여 활성화 여부 판단
reg query "HKLM\SYSTEM\CurrentControlSet\Services\W3SVC\Parameters\ADCLaunch" 명령 결과의 레지스트리 값들 확인
type %SystemRoot%\msdfmap.ini 설정 파일 확인
* 직접 확인
시작 &gt; 실행 &gt; inetmgr &gt; 웹사이트에서 ‘/msadc’ 가상 디렉토리 확인</t>
  </si>
  <si>
    <t xml:space="preserve">불필요 시 아래의 서비스 비활성화
- NetBIOS
- Alerter, Clipbook, Messenger, Simple TCP/IP Services(Echo, Discard, Character Generator, Daytime, Quote of the Day)
- WebDAV
- RDS(Remote Data Services) </t>
  </si>
  <si>
    <t xml:space="preserve">(상) [서비스 관리] W-09 불필요한 서비스 제거
(상) [서비스 관리] W-23 IIS WebDAV 비활성화
(상) [서비스 관리] W-24 NetBIOS 바인딩 서비스 구동 점검
(상) [서비스 관리] W-30 RDS(RemoteDataServices)제거 </t>
  </si>
  <si>
    <t>SRV-037</t>
  </si>
  <si>
    <t>취약한 FTP 서비스 실행</t>
  </si>
  <si>
    <t>* 양호: FTP 서비스가 비활성화 되어 있는 경우
* 취약: FTP 서비스가 활성화 되어 있는 경우
(단, 업무상 필요하여 FTPS를 활용하는 등 통신 암호화를 위한 별도의 보안수단이 적용된 경우는 양호)</t>
  </si>
  <si>
    <t>* 다음 명령들의 결과 확인
sc query MSFTPSVC
sc query FTPSVC
netstat -an | findstr :21
* 직접 확인
시작 &gt; 실행 &gt; services.msc &gt; FTP Publishing Service / Microsoft FTP Service 확인
http://www.iis.net/learn/publish/using-the-ftp-service/creating-a-new-ftp-site-in-iis-7</t>
  </si>
  <si>
    <t>불필요 시 FTP 서비스 비활성화</t>
  </si>
  <si>
    <t>(상) [서비스 관리] W-25 FTP 서비스 구동 점검</t>
  </si>
  <si>
    <t>SRV-040</t>
  </si>
  <si>
    <t>웹 서비스 디렉터리 리스팅 방지 설정 미흡</t>
  </si>
  <si>
    <t>o 디렉터리 리스팅은 디렉터리에 대한 요청 시 그 디렉터리에 기본 문서가 존재하지 않을 경우 디렉터리 내에 존재하는 모든 파일들의 목록을 출력함. 해당 기능이 활성화 되어 있는 경우 백업 파일이나 소스 파일 등 중요 파일이 외부에 노출될 수 있으므로 해당 기능의 활성화 여부를 점검</t>
  </si>
  <si>
    <t>* 양호 - 디렉터리 리스팅이 허용되지 않은 경우
* 취약 - 디렉터리 리스팅이 허용된 경우</t>
  </si>
  <si>
    <t>[ IIS ]
* iis 설정 파일인 metabase.xml, applicationHost.config 에서 Directory Browsing 관련 설정 확인
1. IIS 6.0 이하: EnableDirBrowsing Flag 존재 여부 확인
2. IIS 7.0 이상: directoryBrowse enabled 값 true 여부 확인
* 직접 확인
- 윈도우 2003 (IIS 6.0) 이하 : 시작 &gt; 실행 &gt; inetmgr &gt; 웹 사이트 &gt; 속성 &gt; 홈 디렉터리에서 "디렉터리 검색" 체크 확인
- 윈도우 2008 (IIS 7.0) 이상 : 시작 &gt; 실행 &gt; inetmgr &gt; 웹 사이트 &gt; 디렉터리 검색에서 "디렉터리 검색" 사용 확인</t>
  </si>
  <si>
    <t>inetmgr &gt; 웹 사이트 &gt; 디렉터리 검색 또는 inetmgr &gt; 웹 사이트 &gt; 속성 &gt; 홈 디렉터리에서 '디렉터리 검색' 기능 비활성화</t>
  </si>
  <si>
    <t>(상) [서비스 관리] W-11 디렉토리 리스팅 제거</t>
  </si>
  <si>
    <t>SRV-041</t>
  </si>
  <si>
    <t>웹 서비스의 CGI 스크립트 관리 미흡</t>
  </si>
  <si>
    <t>o CGI(Common Gateway Interface)는 동적 컨텐츠를 생성하기 위해 호출하는 처리 프로그램과 통신하기 위해 정의된 인터페이스 명세이다. CGI 도입 초기에 취약점이 있는 스크립트들이 존재하였으므로 취약 스크립트가 있는지 확인하고, 악성 CGI 스크립트의 비인가 생성을 방지하기 위해 CGI 디렉터리의 권한이 적절하게 설정되어있는지 여부를 점검</t>
  </si>
  <si>
    <t>* 양호 - CGI 스크립트 디렉터리에 알려진 취약한 스크립트가 없고, Everyone 권한이 부여되지 않은 경우
* 취약 - CGI 스크립트 디렉터리에 알려진 취약한 스크립트가 존재하거나, Everyone 권한이 부여된 경우</t>
  </si>
  <si>
    <t>* Windows NT, 2000, 2003
     1. CGI 스크립트 목록 확인
     2. 탐색기 &gt; 해당 디렉터리 &gt; 속성 &gt; 보안 확인
* Windows 2008 이상
     1. CGI 스크립트 목록 확인
     2. 시작 &gt; 실행 &gt; inetmgr &gt; 웹사이트 &gt; CGI 우측버튼 클릭 &gt; 사용 권한 편집 클릭 후 확인</t>
  </si>
  <si>
    <t>CGI 스크립트 디렉터리에 알려진 취약한 스크립트를 제거및 Everyone 권한 제거</t>
  </si>
  <si>
    <t>(상) [서비스 관리] W-12 IIS CGI 실행 제한</t>
  </si>
  <si>
    <t>SRV-042</t>
  </si>
  <si>
    <t>웹 서비스 상위 디렉터리 접근 제한 설정 미흡</t>
  </si>
  <si>
    <t>o 상위 디렉터리로 이동이 가능하면 하위경로에 접속한 후 상위로 이동하여 중요 파일들에 대한 접근이 가능한 위협이 존재하므로 ".." 와 같은 상위 경로를 사용하지 못하도록 적절하게 설정하였는지 점검</t>
  </si>
  <si>
    <t>* 양호 - 상위 디렉터리 접근 설정이 비활성화 되어 있어, 접근이 불가능한 경우
* 취약 - 상위 디렉터리 접근 설정이 활성화 되어 있어, 접근이 가능한 경우</t>
  </si>
  <si>
    <t>[ IIS ]
"부모 경로 사용" 또는 "상위 경로 사용" 설정이 활성화 되어 있는지 확인
* iis 설정 파일인 metabase.xml , applicationHost.config 에서 Enable Parent Paths 관련 Flag 확인
- IIS 6.0 이하 : egrep "AspEnableParentPaths" "%SystemRoot%\System32\Inetsrv\metabase.xml"
- IIS 7.0 이상 : egrep "enableParentPaths" "%SystemRoot%\System32\Inetsrv\config\applicationHost.config"
* 직접 확인
- Windows 2003 : 시작 &gt; 실행 &gt; inetmgr &gt; 웹 사이트 &gt; 속성 &gt;홈 디렉터리 &gt; 구성에서 "부모 경로 사용" 또는 "상위 경로 사용" 설정 확인
- Windows 2008 : 시작 &gt; 실행 &gt; inetmgr &gt; 웹사이트 &gt; ASP에서 "부모 경로 사용" 설정 확인</t>
  </si>
  <si>
    <t>inetmgr &gt; 웹사이트 &gt; ASP 또는 inetmgr &gt; 웹 사이트 &gt; 속성 &gt;홈 디렉터리 &gt; 구성에서 '부모경로사용'(상위경로 사용) 기능 비활성화</t>
  </si>
  <si>
    <t>(상) [서비스 관리] W-13 IIS 상위 디렉토리 접근 금지</t>
  </si>
  <si>
    <t>SRV-043</t>
  </si>
  <si>
    <t>웹 서비스 경로 내 불필요한 파일 존재</t>
  </si>
  <si>
    <t>o 웹 서비스 설치 시 기본으로 생성되는 설명 파일 또는 테스트 페이지로 인한 불필요한 정보 노출이 발생할 수 있으므로, 불필요한 파일의 존재 여부를 점검</t>
  </si>
  <si>
    <t>* 양호 - 불필요한 파일이 존재하지 않을 경우
* 취약 - 샘플 디렉터리, 임시 파일, 백업 파일 등이 존재하는 경우</t>
  </si>
  <si>
    <t>[ IIS ]
* IISSamples, IISHelp와 같은 샘플 디렉터리 혹은 임시 파일, 백업 파일 등의 존재 여부 확인
* iis 설정 파일인 metabase.xml , applicationHost.config 에서 IISSamples, IISHelp 와 같은 샘플 디렉터리 존재 여부 확인
        - 점검 스크립트 결과 확인
        - 직접 확인
              &gt;&gt; Windows 2003 : 시작 &gt; 실행 &gt; inetmgr &gt; 웹 사이트 &gt; IISSamples, IISHelp 와 같은 샘플 디렉터리 존재 여부 확인
              &gt;&gt; Windows 2008 : 시작 &gt; 실행 &gt; inetmgr &gt; 웹 사이트 &gt; 가상 디렉터리&gt;IISSamples, IISHelp 와 같은 샘플 디렉터리 존재 여부 확인</t>
  </si>
  <si>
    <t>IISSamples, IISHelp와 같은 샘플 디렉터리 및 임시파일, 백업파일 제거</t>
  </si>
  <si>
    <t>(상) [서비스 관리] W-14 IIS 불필요한 파일 제거</t>
  </si>
  <si>
    <t>SRV-044</t>
  </si>
  <si>
    <t>웹 서비스 파일 업로드 및 다운로드 용량 제한 미설정</t>
  </si>
  <si>
    <t xml:space="preserve">o 웹 서버에 불필요한 대량의 파일 업로드, 다운로드로 인한 서비스 거부 공격 위협이 존재하므로, 서버에 영향을 줄 정도의 대량의 업로드와 다운로드에 대한 통제 여부를 점검 </t>
  </si>
  <si>
    <t>* 양호 - 파일 업로드 및 다운로드 제한 설정 존재 시
* 취약 - 파일 업로드 및 다운로드 제한 설정 존재하지 않을 시</t>
  </si>
  <si>
    <t>[ IIS ]
* iis 설정 파일인 metabase.xml , applicationHost.config 에서 관련 설정 값 확인 
- IIS 6.0 이하 : AspMaxRequestEntityAllowed, AspBufferingLimit
- IIS 7.0 이상 : bufferingLimit, maxRequestEntityAllowed, maxAllowedContentLength</t>
  </si>
  <si>
    <t>파일 업로드 및 다운로드 용량 제한  (AspMaxRequestEntityAllowed, AspBufferingLimit) 설정</t>
  </si>
  <si>
    <t>(상) [서비스 관리] W-17 IIS 파일 업로드 및 다운로드 제한</t>
  </si>
  <si>
    <t>SRV-045</t>
  </si>
  <si>
    <t>웹 서비스 프로세스 권한 제한 미비</t>
  </si>
  <si>
    <t>o 웹 서버에 대한 요청을 처리하는 프로세스의 권한을 제한하지 않을 경우, 취약점 존재 시 공격자가 해당 서버의 높은 권한을 획득 가능한 위협이 존재함. 웹 서버 요청을 처리하는 프로세스 권한이 적절하게 설정되어 있는지 여부를 점검</t>
  </si>
  <si>
    <t xml:space="preserve">* 양호 - 웹 서비스의 요청 처리 프로세스의 실행 계정이 적절하게 설정되어 있을 경우
* 취약 - 웹 서비스의 요청 처리 프로세스의 실행 계정이 관리자 권한으로 설정된 경우
</t>
  </si>
  <si>
    <t>[ IIS ]
* iis 설정 파일인 metabase.xml , applicationHost.config 에서 AppPoolIdentityType 확인
* 또는 관리자 메뉴를 사용하여 점검
        1. 설정 파일 점검: iis 설정 파일인 metabase.xml 또는 applicationHost.config 에서 AppPoolIdentityType 설정 값이 LocalSystem인지 확인
        2. 직접 점검:  (1) Windows 2003 : 시작 &gt; 실행 &gt; inetmgr &gt; 사이트 &gt; Application Pools 선택 &gt; 오른쪽 클릭 &gt; Settings &gt; Identity 탭 &gt; Predefined 의 값이 LocalSystem인지 확인                                 
                          (2) Windows 2008 : 시작 &gt; 실행 &gt; inetmgr &gt; 사이트 &gt; Application Pools 선택 &gt; 오른쪽 화면에 Identity 탭 설정 값이 LocalSystem인 항목이 존재하는지 확인</t>
  </si>
  <si>
    <t>Application Pools의 Identity 설정 값을 LocalSystem 외의 값(ApplicationPoolIdentity 권장) 으로 설정</t>
  </si>
  <si>
    <t>(상) [서비스 관리] W-15 웹 프로세스 권한 제한</t>
  </si>
  <si>
    <t>SRV-046</t>
  </si>
  <si>
    <t>웹 서비스 경로 설정 미흡</t>
  </si>
  <si>
    <t>o 웹 서비스 경로를 기타 업무와 영역이 분리되지 않은 경로로 설정하거나, 불필요한 경로가 존재할 경우 외부에서 시스템의 중요 파일이나 기능에 비인가 접근이 발생할 위협이 존재하므로 웹 서비스 경로 설정의 적절성을 점검</t>
  </si>
  <si>
    <t>[ IIS ]
* 양호 - 기타 업무와 영역이 분리되지 않은 경로 또는 IISAdmin, IISAdmpwd 와 같은 불필요한 경로가 존재하지 않을 경우
* 취약 - 기타 업무와 영역이 분리되지 않은 경로 또는 IISAdmin, IISAdmpwd 와 같은 불필요한 경로가 존재하는 경우</t>
  </si>
  <si>
    <t>[ IIS ]
* iis 설정 파일인 metabase.xml , applicationHost.config 에서 기타 업무와 영역이 분리되지 않은 경로나 IISAdmin, IISAdmpwd 경로 존재 여부 확인
* 직접 확인
IIS관리 메뉴(inetmgr)에서 기타 업무와 영역이 분리되지 않은 경로나 /issadmpwd, /issadmin 과 같은 경로가 존재하는지 확인</t>
  </si>
  <si>
    <t>IIS Admin, IIS Adminpwd 가상 디렉터리 삭제</t>
  </si>
  <si>
    <t>(상) [서비스 관리] W-19 IIS 가상 디렉토리 삭제</t>
  </si>
  <si>
    <t>SRV-047</t>
  </si>
  <si>
    <t>웹 서비스 경로 내 불필요한 링크 파일 존재</t>
  </si>
  <si>
    <t>o 웹 서버에 설정된 웹 서비스 루트 경로를 벗어나는 외부 링크 파일이 있다면, 공격자에 의한 비인가 접근 가능성이 존재하므로 불필요한 링크 파일 존재 여부를 점검</t>
  </si>
  <si>
    <t>* 양호 - 웹 서비스 경로 내에 불필요한 바로가기 파일이 존재하지 않을 경우
* 취약 - 웹 서비스 경로 내에 불필요한 바로가기 파일이 존재할 경우</t>
  </si>
  <si>
    <t>* 명령어로 바로가기 파일 목록 확인
- ATTRIB | findstr .lnk 
* 직접 확
- 웹 서비스 디렉터리를 실사하여 바로가기 파일이 존재하는지 점검</t>
  </si>
  <si>
    <t>웹 서비스 경로 내에 있는 불필요한 심볼릭 링크, aliases, 바로가기 파일 삭제</t>
  </si>
  <si>
    <t>(상) [서비스 관리] W-16 IIS 링크 사용금지</t>
  </si>
  <si>
    <t>SRV-048</t>
  </si>
  <si>
    <t>불필요한 웹 서비스 실행</t>
  </si>
  <si>
    <t>o 웹 서비스는 구동 중일 경우 잠재적인 보안 취약점이 발생할 수 있고 흔히 공격의 목표가 되는 서비스이므로, 업무와 관계 없이 불필요하게 활성화되어 있는지 여부를 점검</t>
  </si>
  <si>
    <t>* 양호 - 웹 서비스가 실행되고 있지 않은 경우
* 취약 - 웹 서비스가 불필요하게 실행 중인 경우</t>
  </si>
  <si>
    <t>불필요 시 웹 서비스 비활성화</t>
  </si>
  <si>
    <t>(상) [서비스 관리] W-10 IIS 서비스 구동 점검</t>
  </si>
  <si>
    <t>SRV-055</t>
  </si>
  <si>
    <t>웹 서비스 설정 파일 노출</t>
  </si>
  <si>
    <t>[ IIS ]
o Global.asa 파일에는 데이터베이스 관련 정보(IP주소, DB명, 패스워드), 내부 IP주소, 웹 애플리케이션 환경설정 정보 및 기타 정보 등 중요 정보가 포함될 수 있으므로 해당 파일에 대한 접근통제의 적절성 여부 등을 점검
* .asa 파일을 매핑하여 Global.asa 파일이 요청되었을 때 웹 서버가 평문으로 응답하지 않도록 조치 필요</t>
  </si>
  <si>
    <t>* 양호 - 웹 서비스 설정 파일 경로 요청 시에, 설정 파일이 노출되는 경우
* 취약 - 웹 서비스 설정 파일 경로 요청 시에, 설정 파일이 노출되지 않는 경우</t>
  </si>
  <si>
    <t>[ IIS ]
* iis 설정 파일인 metabase.xml , applicationHost.config 에서 .asa 매핑 관련 설정 값 확인
        .asa 에 asp.dll 파일 맵핑 존재 시(GET, HEAD, POST, TRACE)에는 설정 파일이 노출되지 않음
        .asa 에 맵핑이 없는 경우에는 설정 파일 내용이 평문 응답으로 노출될 수 있음
1. 직접 점검
- IIS관리 메뉴(inetmgr) 에서 .asa 매핑이 존재하는지 확인
2. 설정 파일 점검
 * IIS 6.0 이하
   다음 구문 존재 여부 확인
ScriptMaps=".asa,C:\WINDOWS\system32\inetsrv\asp.dll,5,GET,HEAD,POST,TRACE
 * IIS 7.0 이상
   다음 구문 존재 여부 확인 (요청 필터링 부분)
&lt;add fileExtension=".asa" allowed="false" /&gt;</t>
  </si>
  <si>
    <t>.asa 매핑 시 특정 동작만 가능하도록 제한하여 설정</t>
  </si>
  <si>
    <t>(상) [서비스 관리] W-18 IIS DB 연결 취약점 점검</t>
  </si>
  <si>
    <t>SRV-057</t>
  </si>
  <si>
    <t>웹 서비스 경로 내 파일의 접근 통제 미흡</t>
  </si>
  <si>
    <t>o 웹 서비스 경로 내 파일의 접근 권한을 확인하여 비인가자에 의한 웹 서비스 파일의 실행 및 읽기 방지가 이루어지고 있는지 점검</t>
  </si>
  <si>
    <t>* 양호 - 웹 디렉터리 하위 파일들에 Everyone 권한이 없을 경우 (정적 파일은 읽기 권한만 있을 경우 양호)
* 취약 - 웹 디렉터리 하위 파일들에 Everyone 권한이 존재할 경우 (정적 파일은 읽기 권한만 있을 경우 양호)</t>
  </si>
  <si>
    <t>* 명령어로 파일에 부여된 접근 권한 확인
 &gt; cacls [파일경로]
* 웹 디렉터리 내 파일들 중 Everyone 권한이 과도하게 부여된 파일 존재 여부 확인</t>
  </si>
  <si>
    <t xml:space="preserve">웹 디렉터리의 하위파일 및 디렉터리에 존재하는 Everyone 권한 제거  </t>
  </si>
  <si>
    <t>(상) [서비스 관리] W-20 IIS 데이터 파일 ACL 적용</t>
  </si>
  <si>
    <t>SRV-058</t>
  </si>
  <si>
    <t>웹 서비스의 불필요한 스크립트 매핑 존재</t>
  </si>
  <si>
    <t>o 웹 서비스에서 사용하지 않는 스크립트 매핑은 잠재적 보안 위협이 될 수 있으므로, 업무와 관계없는 불필요한 스크립트가 매핑되어 있는지 여부를 점검</t>
  </si>
  <si>
    <t>* 양호 - 취약한 매핑(.htr .idc .stm .shtm .shtml .printer .htw .ida .idq)이 존재하지 않거나 404 핸들러로 매핑한 경우
* 취약 - 취약한 매핑(.htr, .idc, .stm, .shtm, .shtml, .printer, .htw, .ida, .idq) 이 존재할 경우</t>
  </si>
  <si>
    <t>[ IIS ]
* iis 설정 파일인 metabase.xml , applicationHost.config 에서 불필요한 매핑 존재 여부 확인
* 직접 확인
- IIS관리 메뉴(inetmgr) 에서 취약하거나 불필요한 매핑이 존재하는지 확인</t>
  </si>
  <si>
    <t>IIS(인터넷 정보 서비스)관리자 매핑에서 취약한 매핑(.htr .idc .stm .shtm .shtml .printer .htw .ida .idq)을 제거하거나, 404핸들러로 매핑 설정</t>
  </si>
  <si>
    <t>(상) [서비스 관리] W-21 IIS 미사용 스크립트 매핑 제거</t>
  </si>
  <si>
    <t>SRV-059</t>
  </si>
  <si>
    <t>웹 서비스 서버 명령 실행 기능 제한 설정 미흡</t>
  </si>
  <si>
    <t>o 웹 서버에서 임의의 명령을 실행할 수 있도록 설정되어 있는 경우, 비인가자에 의한 임의 파일 수정 및 시스템 관리자 권한 획득이 가능한 위협이 있어 이에 대한 보안설정 적절성 여부를 점검</t>
  </si>
  <si>
    <t>* 양호 - 웹 서버의 서버 명령 실행 제한 설정이 적용된 경우
* 취약 - 웹 서버의 서버 명령 실행 제한 설정이 적용되지 않은 경우</t>
  </si>
  <si>
    <t>[ IIS ]
* IIS 버전 및 레지스트리 값 확인: 
        IIS 7.0 이상이거나 HKLM\SYSTEM\CurrentControlSet\Services\W3SVC\Parameters\SSIEnableCmdDirective 값이 0일 경우에는 명령 실행이 허용되지 않음
* IIS 7.0 미만은 레지스트리 값 확인: "HKLM\SYSTEM\CurrentControlSet\Services\W3SVC\Parameters" /v SSIEnableCmdDirective
        IIS 7.0 미만이면서 SSIEnableCmdDirective 값이 1일 경우 명령 실행을 허용하고 있을 수 있음</t>
  </si>
  <si>
    <t>IIS 7.0 미만 버전에서 해당 레지스트리 값을 0으로 설정하거나, IIS 7.0 버전 이상으로 변경</t>
  </si>
  <si>
    <t>(상) [서비스 관리] W-22 IIS Exec 명령어 쉘 호출 진단</t>
  </si>
  <si>
    <t>SRV-060</t>
  </si>
  <si>
    <t>웹 서비스 기본 계정(아이디 또는 비밀번호) 미변경</t>
  </si>
  <si>
    <t>o Tomcat은 Apache 웹 서버에 JSP와 자바 서블릿을 실행시킬 수 있는 기능을 제공하는 자바 애플리케이션 서버로 Tomcat이 설치될 때 기본으로 설정되는 계정을 변경하지 않을 경우 비인가자에 의한 시스템 접근이 발생할 수 있으므로 기본 계정에 대한 보안 설정의 적절성 여부를 점검</t>
  </si>
  <si>
    <t>* 양호 - 관리자 계정/패스워드가 디폴트 설정 이외의 다른 값으로 설정되어 있을 경우
* 취약 - 관리자 계정/패스워드가 디폴트 값으로 설정되어 있을 경우</t>
  </si>
  <si>
    <t>Tomcat 관리자 계정/패스워드 tomcat/admin 이외의 다른 패스워드로 설정</t>
  </si>
  <si>
    <t>SRV-063</t>
  </si>
  <si>
    <t>DNS Recursive Query 설정 미흡</t>
  </si>
  <si>
    <t>o 공격자가 스푸핑 IP 주소(IP Spoofing)로 다량의 DNS 응답을 보내는 공격(DNS Cache Poisoning-DNS 캐시에 거짓정보가 들어가게 하는 공격) 등의 DNS 공격 위협이 존재하므로 DNS 서버가 불필요하게 Recursive Query를 지원하고 있는지 점검</t>
  </si>
  <si>
    <t>* 양호 - Recursive Query를 제한하는 레지스트리 값이 1일 경우. 또는 신뢰된 호스트가 등록되어 있을 경우 (또는 방화벽 등으로 질의 가능한 호스트를 통제하고 있을 경우)
* 취약 - Recursive Query를 제한하는 레지스트리 값이 존재하지 않거나, 1이 아니면서 신뢰된 호스트를 별도로 등록하지 않은 경우</t>
  </si>
  <si>
    <t>* 다음 레지스트리 값을 확인하여 Recursion 활성화 여부 점검
HKLM\SYSTEM\CurrentControlSet\Services\DNS\Parameters /v NoRecursion</t>
  </si>
  <si>
    <t>Recursive Query를 제한하는 레지스트리 값이 1로 설정하거나, 신뢰된 호스트 등록</t>
  </si>
  <si>
    <t>SRV-066</t>
  </si>
  <si>
    <t>DNS Zone Transfer 설정 미흡</t>
  </si>
  <si>
    <t>o DNS 서버에 저장되어 있는 도메인 정보의 사본을 전송하는 DNS Zone Transfer 기능이 내부 DNS 서버만 접근할 수 있도록 통제되어 있지 않다면, 임의의 공격자가 도메인 내 호스트 목록 정보를 획득하여 공격에 활용할 수 있기 때문에 해당 기능의 설정 적절성을 점검</t>
  </si>
  <si>
    <t>* 양호 - 아래 기준에 해당 될 경우
  1. DNS 서비스를 사용 하지 않을 경우
  2. DNS 서비스 영역 전송이 허용되지 않는 경우
  3. DNS 서비스 영역 전송이 특정 서버로 설정되어 있을 경우
  레지스트리 값이 2, 3 인 경우는 양호, 1인 경우에는 확인 필요
* 취약 - 위 3개 기준 중 해당 되는 항목이 하나도 없을 경우
* 참고 레지스트리 값 별 설정 상태
  영역 전송 아무 서버로나 : 0
  이름 서버 탭에 나열된 서버로만 :  1
  다음 서버로만 : 2
  영역전송 허용이 꺼져있는 경우 3</t>
  </si>
  <si>
    <t>* 명령어로 확인 (레지스트리)
reg query "HKLM\SOFTWARE\Microsoft\Windows NT\CurrentVersion\DNS Server\Zones" /s
정의된 각 zone의 SecureSecondaries 레지스트리 설정 값 점검
* 직접 확인
시작 &gt; 실행 &gt; DNSMGMT.MSC &gt; 각 조회영역 &gt; 해당 영역 &gt; 속성 &gt;영역전송 에서 확인</t>
  </si>
  <si>
    <t>DNS설정을 통해 내부 Zone 파일을 임의의 외부 서버에서 전송 받지 못하게 하고, 아무나 쿼리 응답을 받을 수 없도록 수정</t>
  </si>
  <si>
    <t>(상) [서비스 관리] W-29 DNS Zone Transfer 설정</t>
  </si>
  <si>
    <t>사용자 인증</t>
    <phoneticPr fontId="1" type="noConversion"/>
  </si>
  <si>
    <t>SRV-069</t>
  </si>
  <si>
    <t>비밀번호 관리정책 설정 미비</t>
  </si>
  <si>
    <t>o 사용자 비밀번호에 대한 관리정책 설정이 미흡할 경우 유추하기 쉬운 비밀번호 설정, 주기적인 비밀번호 미변경 등 비인가자에 의한 계정 탈취 가능성이 높아지는 위협이 존재하므로 적절한 비밀번호 관리정책이 설정되어 있는지 여부를 점검</t>
  </si>
  <si>
    <t>* 양호 - 비밀번호 관련 정책들이 설정되어 있을 경우
* 취약 - 비밀번호 관련 정책들이 설정되어 있지 않을 경우
※ 정책 기준: 영문 숫자 특수문자 2개 조합 시 10자리 이상, 3개 조합 시 8자리 이상, 패스워드 변경 기간 90일 이하</t>
  </si>
  <si>
    <t>* 비밀번호의 복잡도 설정 및 기타 설정 
* secedit /EXPORT /CFG securitypolicy 결과에서 다음 값들 확인
MaximumPasswordAge 패스워드 유효 기간(단위: 일) (0~999 설정 가능)
MinimumPasswordLength 패스워드 최소 길이 (0~14 설정 가능)
PasswordComplexity 패스워드 복잡도 강제화 (계정명과 이름 미포함 여부, [소문자,대문자,숫자,특수문자,유니코드] 중 3종류 이상 포함)</t>
  </si>
  <si>
    <t>“최대 암호 사용 기간” 정책을 90일 이하로 설정하고, “최소 암호 길이” 정책을 8자리 이상, “암호는 복잡성을 만족해야 함”정책을 '사용'으로 설정
(비밀번호 설정 시 영문, 숫자, 특수문자 2개 조합 시 10자리 이상, 3개 조합 시 8자리 이상 설정)</t>
  </si>
  <si>
    <t xml:space="preserve">(중) [계정 관리] W-48 패스워드 복잡성 설정
(중) [계정 관리] W-49 패스워드 최소 암호 길이
(중) [계정 관리] W-50 패스워드 최대 사용 기간
(중) [계정 관리] W-51 패스워드 최소 사용 기간 
(중) [계정 관리] W-55 최근 암호 기억
(중) [보안 관리] W-80 컴퓨터 계정 암호 최대 사용 기간
</t>
  </si>
  <si>
    <t>SRV-070</t>
  </si>
  <si>
    <t>취약한 패스워드 저장 방식 사용</t>
  </si>
  <si>
    <t>o 취약한 패스워드 저장 방식을 사용할 경우, 공격자에게 계정의 로그인 정보가 탈취되어 악용될 위협이 존재하므로 관련 설정의 적절성 여부를 점검</t>
  </si>
  <si>
    <t>* 양호 -  '해독 가능한 암호화를 사용하여 암호 저장' 정책 사용 안 함, ClearTextPassword=0 일 때
* 취약 -  '해독 가능한 암호화를 사용하여 암호 저장' 정책 사용, ClearTextPassword=1 일 때</t>
  </si>
  <si>
    <t>* secedit /EXPORT /CFG securitypolicy | Find /I "ClearTextPassword" 명령 결과 확인
* 직접 확인
- 시작 &gt; 실행 &gt; secpol.msc &gt; 계정 정책 &gt; 암호 정책에서 확인</t>
  </si>
  <si>
    <t>"해독 가능한 암호화를 사용하여 암호 저장" 정책을 "사용 안 함"으로 설정</t>
  </si>
  <si>
    <t>(상) [계정 관리] W-05 해독 가능한 암호화를 사용하여 암호 저장 해제</t>
  </si>
  <si>
    <t>SRV-072</t>
  </si>
  <si>
    <t>기본 관리자 계정명(Administrator) 존재</t>
  </si>
  <si>
    <t>o Windows는 널리 알려진 관리자 계정(Administrator)명이 디폴트로 생성되어, 공격자가 쉽게 계정명을 유추하고 탈취 시도를 할 수 있으므로 Administrator 계정의 계정명 변경 유무를 점검</t>
  </si>
  <si>
    <t>* 양호 - 관리자 권한의 Administrator인 계정명이 존재하지 않을 경우
* 취약 - 관리자 권한의 Administrator인 계정명이 존재할 경우</t>
  </si>
  <si>
    <t>* net localgroup Administrators 명령 결과 확인
* net user Administrator 명령 결과 확인
* 직접 확인
- 제어판의 관리도구에서 컴퓨터 관리 실행 (도메인 콘트롤러의 경우 관리도구에서 Active Directory 사용자 및 컴퓨터 실행)
- 시스템 도구 확장  - 로컬 사용자 및 그룹 확장  - 사용자 선택
- 계정명이 Administrator인 계정이 존재하는지 확인</t>
  </si>
  <si>
    <t>Administrator를 유추하기 어려운 계정명으로 변경하여 사용</t>
  </si>
  <si>
    <t>(상) [계정 관리] W-01 Administrator 계정 이름 변경 또는 보안성 강화</t>
  </si>
  <si>
    <t>SRV-073</t>
  </si>
  <si>
    <t>관리자 그룹에 불필요한 사용자 존재</t>
  </si>
  <si>
    <t>o 시스템에 다수의 관리자 계정이 존재할 경우, 공격자가 탈취를 시도할 수 있는 관리자 계정이 많아지므로 관리자 그룹에 업무상 필요한 최소한의 사용자만 등록하여 사용하고 있는지 여부를 점검</t>
  </si>
  <si>
    <t>* 양호 - Administrator 그룹에 불필요한 관리자 계정이 없을 경우
* 취약 - Administrator 그룹에 불필요한 관리자 계정이 있을 경우</t>
  </si>
  <si>
    <t>* net localgroup Administrators 명령 결과 확인
* 직접 확인
- 아래와 같은 과정을 통해 해당 다수의 관리자 계정이 있는지 파악
        - [시작] 버튼 클릭 후 [제어판] 클릭 
        - [사용자 계정] 클릭 후 다수의 관리자 계정 확인</t>
  </si>
  <si>
    <t>관리자 그룹에 불필요한 계정 제거</t>
  </si>
  <si>
    <t>(상) [계정 관리] W-06 관리자 그룹에 최소한의 사용자 포함</t>
  </si>
  <si>
    <t>SRV-074</t>
  </si>
  <si>
    <t>불필요하거나 관리되지 않는 계정 존재</t>
  </si>
  <si>
    <t>o 시스템 설치 시 기본으로 생성되는 계정, 업무상 더 이상 사용되지 않는 계정 등 불필요한 계정이나 장기간 비밀번호가 변경되지 않은 계정이 존재할 경우 비인가자의 계정 탈취 위협이 증가하므로 불필요한 계정 삭제 및 내부 정책에 따른 주기적인 비밀번호 변경을 실시하고 있는지 여부를 점검</t>
  </si>
  <si>
    <t>계정별 비밀번호 변경일자 및 로그인 기록 확인
* 한글 윈도우
        - 비밀번호 변경일자 : "net user 사용자명 | findstr 마지막"
        - 로그온 기록 : "net user 사용자명 | findstr 최근 | findstr 로그온"
* 영어 윈도우
        - 비밀번호 변경일자 : "net user 사용자명 | findstr Password"
        - 로그온 기록 : "net user 사용자명 | findstr Last | findstr logon"</t>
  </si>
  <si>
    <t>계정 검토 후 업무 상 불필요한 계정 제거</t>
  </si>
  <si>
    <t>(상) [계정 관리] W-03 불필요한 계정 제거</t>
  </si>
  <si>
    <t>SRV-075</t>
  </si>
  <si>
    <t>유추 가능한 계정 비밀번호 존재</t>
  </si>
  <si>
    <t>o 패스워드 설정 시 문자/숫자/특수문자를 모두 포함하여 강력한 패스워드가 설정될 수있도록 암호 복잡성을 설정하여야 하며 영/숫자만으로 이루어진 암호는 현재 공개된 패스워드 크랙 유틸리티 및 무작위 공격에 의해 쉽게 유추할 수 될 수 있으므로 회사에서 정한 비밀번호 관리정책 준수 여부를 점검</t>
  </si>
  <si>
    <t>* 양호 - 시스템의 모든 계정이 비밀번호 복잡도를 만족하는 경우
* 취약 - 비밀번호가 미설정되었거나, 복잡도를 만족하지 않는 계정이 존재하는 경우
※ 복잡도: 영문 숫자 특수문자 2개 조합 시 10자리 이상, 3개 조합 시 8자리 이상 (계정명, 기관명이 포함된 경우 취약)</t>
  </si>
  <si>
    <t>1. 비밀번호 없이 로그인 가능한 계정이 있는지 확인
2. 패스워드 크랙 시도</t>
  </si>
  <si>
    <t>영문, 숫자, 특수문자 2개 조합 시 10자리 이상 3개 조합 시 8자리 이상으로 계정명, 기관명을 포함하지 않는 비밀번호 설정</t>
  </si>
  <si>
    <t>SRV-078</t>
  </si>
  <si>
    <t>불필요한 Guest 계정 활성화</t>
  </si>
  <si>
    <t>o Guest 계정이 활성화 되어있을 경우 시스템에 대한 접근 권한을 보유하지 않은 사용자가 Guest 계정 권한으로 접근할 위협이 존재하므로, Guest 계정을 비활성화하여 접근 권한이 없는 사용자의 접근을 제한하고 있는지를 점검</t>
  </si>
  <si>
    <t>* 양호 - Guest 계정 비활성화
* 취약 - Guest 계정 활성화</t>
  </si>
  <si>
    <t>* net user guest 명령 결과 확인
* 직접 확인
- [시작] 버튼 클릭 후 [제어판] 클릭 
- [사용자 계정] 클릭 및 Guest 계정이 비활성화되어 있는지 확인</t>
  </si>
  <si>
    <t>Guest 계정 비활성화</t>
  </si>
  <si>
    <t>(상) [계정 관리] W-02 Guest 계정 비활성화</t>
  </si>
  <si>
    <t>SRV-079</t>
  </si>
  <si>
    <t>익명 사용자에게 부적절한 권한(Everyone) 적용</t>
  </si>
  <si>
    <t>o 익명 사용자가 Everyone 그룹에게 접근 권한이 부여된 모든 리소스에 접근 가능한지를 결정하는 설정으로 "사용"으로 설정할 경우, 공격자가 익명의 비인가 접근으로 정보를 획득할 위협이 존재하므로 해당 정책 설정의 적절성을 점검</t>
  </si>
  <si>
    <t>* 양호 - "Everyone 사용 권한을 익명 사용자에게 적용" 정책이 "사용 안 함" 으로 설정된 경우
* 취약 - "Everyone 사용 권한을 익명 사용자에게 적용" 정책이 "사용" 으로 설정된 경우</t>
  </si>
  <si>
    <t>1. 제어판 관리도구에서 로컬 보안 정책 &gt; 보안 옵션 &gt; "Everyone 사용 권한을 익명 사용자에게 적용" 항목 설정 확인
2. HKEY_LOCAL_MACHINE\SYSTEM\CurrentControlSet\Control\Lsa" /v everyoneincludesanonymous" 설정 값 확인 (0일 경우 양호)</t>
  </si>
  <si>
    <t>"Everyone 사용 권한을 익명 사용자에게 적용" 정책을 "사용 안 함" 으로 설정</t>
  </si>
  <si>
    <t>(중) [계정 관리] W-46 Everyone 사용 권한을 익명 사용자에 적용 해제</t>
  </si>
  <si>
    <t>SRV-080</t>
  </si>
  <si>
    <t>일반 사용자의 프린터 드라이버 설치 제한 미비</t>
  </si>
  <si>
    <t>o 프린터 드라이버 설치 권한이 부여된 경우 악의적인 사용자가 고의적으로 잘못된 프린터 드라이버를 설치하여 서버를 손상시킬 수도 있고, 프린터 드라이버로 위장한 악성코드를 설치할 가능성도 존재하므로 일반 사용자의 프린터 드라이버 설치를 제한하고 있는지 점검</t>
  </si>
  <si>
    <t>* 양호 - "사용자가 프린터 드라이버를 설치할 수 없게 함" 정책이 "사용"인 경우
* 취약 - "사용자가 프린터 드라이버를 설치할 수 없게 함" 정책이 "사용 안 함"인 경우</t>
  </si>
  <si>
    <t>reg query "HKLM\System\CurrentControlSet\Control\Print\Providers\LanMan Print Services\Servers"
addprintdrivers의 값이 1이면 양호, 0이면 취약</t>
  </si>
  <si>
    <t>"사용자가 프린터 드라이버를 설치할 수 없게 함" 정책을 "사용"으로 설정</t>
  </si>
  <si>
    <t>(중) [보안 관리] W-73 사용자가 프린터 드라이버를 설치할 수 없게 함</t>
  </si>
  <si>
    <t>SRV-082</t>
  </si>
  <si>
    <t>시스템 주요 디렉터리 권한 설정 미흡</t>
  </si>
  <si>
    <t>o 시스템 주요 디렉터리에 대한 권한 설정 미흡으로 인하여 중요 파일에 대한 접근 및 변조가 발생할 위협이 존재하므로, 시스템 주요 디렉터리에 부여된 권한의 적절성을 점검</t>
  </si>
  <si>
    <t>* 양호 - 시스템 로그 파일 디렉터리 접근 권한에 Users 그룹과 같이 불필요한 권한이 부여되지 않은 경우
* 취약 - 시스템 로그 파일 디렉터리 접근 권한에 Users 그룹과 같이 불필요한 권한이 부여된 경우
( C:\WINDOWS\system32\config, C:\WINDOWS\system32\winevt\Logs 디렉터리는 로그 및 중요 파일들이 저장되어있음 )</t>
  </si>
  <si>
    <t>* 명령어로 디렉터리 접근 권한 확인
&gt; cacls C:\WINDOWS\system32\config 
&gt; cacls C:\WINDOWS\system32\winevt\Logs
&gt; cacls C:\WINDOWS\system32\LogFiles
(Users 그룹 등 불필요한 권한 부여 여부 확인)
* 직접 확인
C:\WINDOWS\system32\config
C:\WINDOWS\system32\winevt\Logs
C:\WINDOWS\system32\LogFiles
디렉터리 오른쪽 마우스 클릭 등록정보 &gt; 보안 탭 선택 
(Users 그룹 등 불필요한 권한 부여 여부 확인)</t>
  </si>
  <si>
    <t>아래의 시스템 로그파일의 불필요 권한 제거
- C:\WINDOWS\system32\config
- C:\WINDOWS\system32\winevt\Logs
- C:\WINDOWS\system32\LogFiles</t>
  </si>
  <si>
    <t>(중) [로그 관리] W-71 원격에서 이벤트 로그 파일 접근 차단</t>
  </si>
  <si>
    <t>SRV-084</t>
  </si>
  <si>
    <t>시스템 주요 파일 권한 설정 미흡</t>
  </si>
  <si>
    <t xml:space="preserve">o 시스템 중요 파일에 대한 권한 설정이 미흡할 경우, 중요 정보가 유출, 다른 공격에 활용, 또는 파일 자체가 변조될 위협이 존재하므로 주요 중요 파일의 권한이 일반적으로 권장되는 권한 수준으로 부여되었는지 점검
</t>
  </si>
  <si>
    <t>* 양호 - SAM 파일 접근 권한이 Administrator, System 그룹에게만 부여된 경우
* 취약 - SAM 파일 접근 권한이 Administrator, System 그룹 외 다른 그룹이나 사용자에게 불필요하게 부여된 경우</t>
  </si>
  <si>
    <t>* 명령어로 권한 확인
cacls %systemroot%\system32\config\SAM
* 직접 확인
%systemroot%\system32\config\SAM &gt; 속성 &gt; 보안 에서 확인</t>
  </si>
  <si>
    <t>SAM 파일에서 Administrator, System 그룹 외 다른 그룹에 설정된 권한 제거</t>
  </si>
  <si>
    <t>(상) [보안 관리] W-37 SAM 파일 접근 통제 설정</t>
  </si>
  <si>
    <t>SRV-090</t>
  </si>
  <si>
    <t>불필요한 원격 레지스트리 서비스 활성화</t>
  </si>
  <si>
    <t>o 원격 레지스트리 서비스는 권한 있는 사용자가 원격으로 접근하여 레지스트리 값을 변경할 수 있는 서비스로, 악의적인 사용자가 권한을 탈취한 경우 레지스트리 값 변경을 통한 침해 행위가 발생할 수 있으므로 불필요한 경우 서비스를 비활성화하고 있는지 점검</t>
  </si>
  <si>
    <t>* 양호 - Remote Registry Service 가 중지되어 있을 경우 (Stopped)
* 취약 - Remote Registry Service 가 불필요하게 실행 중일 경우 (Running)</t>
  </si>
  <si>
    <t>* 서비스 상태 조회 명령을 통한 확인
sc query RemoteRegistry
* 직접 확인
시작 &gt; 실행 &gt; services.msc &gt; Remote Registry &gt; 속성에서 확인
※ 접근 제어 참조
HKEY_LOCAL_MACHINE\SYSTEM\CurrentControlSet\Control\SecurePipeServers 경로에 winreg(REG_SZ) 키 추가
winreg 보안 &gt; 권한에서 접근할 수 있는 사용자 및 그룹을 제한 가능</t>
  </si>
  <si>
    <t>불필요한 Remote Registry Service 비활성화</t>
  </si>
  <si>
    <t>(상) [로그 관리] W-35 원격으로 액세스할 수 있는 레지스트리  경로</t>
  </si>
  <si>
    <t>SRV-092</t>
  </si>
  <si>
    <t>사용자 홈 디렉터리 설정 미흡</t>
  </si>
  <si>
    <t>o 사용자 계정별 홈 디렉터리 경로 및 권한이 올바로 설정되지 않을 경우, 비인가 접근이 발생할 가능성이 존재하므로 사용자별 홈 디렉터리 경로 및 접근 권한의 적절성을 점검</t>
  </si>
  <si>
    <t>* 양호 - 사용자 별 홈 디렉터리에 Everyone 권한이 없는 경우 (All Users, Default User 디렉터리는 점검 대상 제외)
* 취약 - 사용자 별 홈 디렉터리에 Everyone 권한이 있는 경우</t>
  </si>
  <si>
    <t>* 사용자별 홈 디렉터리에 Everyone 권한 존재 여부 확인</t>
  </si>
  <si>
    <t>사용자별 홈 디렉터리 소유주를 해당 계정으로 변경하고, others 쓰기 권한 제거</t>
  </si>
  <si>
    <t>(중) [보안 관리] W-76 사용자별 홈 디렉토리 권한 설정</t>
  </si>
  <si>
    <t>SRV-097</t>
  </si>
  <si>
    <t>FTP 서비스 디렉터리 접근권한 설정 미흡</t>
  </si>
  <si>
    <t>o FTP 홈 디렉터리에 Everyone 그룹 접근 허용과 같이 불필요한 권한이 부여되어있는 경우 비인가 접근 위협이 존재하기 때문에, FTP 홈 디렉터리의 접근 권한 설정 적절성을 점검</t>
  </si>
  <si>
    <t>* 양호 - FTP 홈 디렉터리에 Everyone 권한 등 불필요한 권한이 없는 경우
* 취약 - FTP 홈 디렉터리에 Everyone 권한 등 불필요한 권한이 있는 경우</t>
  </si>
  <si>
    <t>* 명령어로 FTP 홈 디렉터리의 접근 권한 점검
$1 = reg query "HKEY_LOCAL_MACHINE\SYSTEM\CurrentControlSet\Services\MSFTPSVC\Parameters" /v "Virtual Roots"
cacls $1
cacls c:\inetpub\ftproot
* 직접 확인
FTP 홈 디렉터리 -&gt; 속성 -&gt; 보안탭 -&gt; 그룹 또는 사용자 이름 -&gt; 사용 권한 확인</t>
  </si>
  <si>
    <t>FTP 홈 디렉터리에서 Everyone 권한 제거</t>
  </si>
  <si>
    <t>(상) [서비스 관리] W-26 FTP 디렉토리 접근권한 설정</t>
  </si>
  <si>
    <t>SRV-101</t>
  </si>
  <si>
    <t>불필요한 예약된 작업 존재</t>
  </si>
  <si>
    <t>o 미리 설정해둔 프로그램을 실행할 수 있는 예약 작업은 시작프로그램과 더불어 공격자가 악성코드 설치 등에 자주 활용하는 경로이므로 예약 작업 목록에 의심스러운 작업이 존재하는지 점검</t>
  </si>
  <si>
    <t>L</t>
  </si>
  <si>
    <t>* 양호 - 예약된 작업에 불필요한 명령어나 파일이 없을 경우
* 취약 - 예약된 작업에 불필요한 명령어나 파일이 존재하는 경우</t>
  </si>
  <si>
    <t>* at 또는 schtasks 명령 결과를 통해 예약된 작업 목록 확인</t>
  </si>
  <si>
    <t>예약된 작업을 검토한 후 불필요한 명령어나 파일 삭제</t>
  </si>
  <si>
    <t>(중) [서비스 관리] W-68 예약된 작업에 의심스러운 명령이 등록되어 있는지 점검</t>
  </si>
  <si>
    <t>SRV-103</t>
  </si>
  <si>
    <t>LAN Manager 인증 수준 미흡</t>
  </si>
  <si>
    <t>o Lan Manager 인증 수준 설정을 통해 네트워크 로그온에 사용할 Challenge/Response 인증 프로토콜의 보안 강도를 설정할 수 있음. 이 설정은 클라이언트가 사용하는 인증 프로토콜 수준, 협상된 세션 보안 수준, 서버가 사용하는 인증 수준에 영향을 주기 때문에 보다 안전한 인증을 위한 NTLMv2 사용 설정 여부를 점검</t>
  </si>
  <si>
    <t>* 양호 - "LAN Manager 인증 수준" 정책에 "NTLMv2 응답만 보냄"이 설정되어 있는 경우
* 취약 - "LAN Manager 인증 수준" 정책에 "LM" 및 "NTLM"인증이 설정되어 있는 경우</t>
  </si>
  <si>
    <t>HKEY_LOCAL_MACHINE\SYSTEM\CurrentControlSet\Control\Lsa\LmCompatibilityLevel 확인 (3 이상일 경우 양호) 
* Windows 2008 이상은 키가 없어도 양호, 2003 이하는 키 없으면 취약</t>
  </si>
  <si>
    <t>"LAN Manager 인증 수준" 정책을 "NTLMv2 응답만 보냄"으로 설정</t>
  </si>
  <si>
    <t>(중) [보안 관리] W-77 LAN Manager 인증 수준</t>
  </si>
  <si>
    <t>SRV-104</t>
  </si>
  <si>
    <t>보안 채널 데이터 디지털 암호화 또는 서명 기능 비활성화</t>
  </si>
  <si>
    <t>o 보안 채널 데이터 디지털 암호화 또는, 서명 설정을 통해 도메인 구성원이 시작한 모든 보안 채널 트래픽의 서명과 암호화 여부를 설정함. 인증 트래픽 끼어들기 공격, 재전송 공격 및 기타 유형의 네트워크 공격으로부터 보호하기 위해 Windows는 NetLogon 보안 통신 채널을 만들어 컴퓨터 및 사용자 계정 인증을 함. 이 정책을 활성화하면 모든 보안 채널의 서명 또는, 암호화가 협상되지 않는 한 보안 채널이 생성되지 않으며, 비활성화할 경우 모든 보안 채널 트래픽의 암호화 및 서명이 가능할 경우에만 수행하기 때문에 적절한 보안 설정이 되어 있는지 점검</t>
  </si>
  <si>
    <t xml:space="preserve">* 양호 - "도메인 구성원: 보안 채널 데이터를 디지털 암호화 또는, 서명(항상)" 정책이 "사용"으로 되어 있는 경우 또는 AD 환경이 아닌 경우
* 취약 - "도메인 구성원: 보안 채널 데이터를 디지털 암호화 또는, 서명(항상)" 정책이 "사용 안 함"으로 되어 있는 경우
    </t>
  </si>
  <si>
    <t>HKEY_LOCAL_MACHINE\System\CurrentControlSet\Services\Netlogon\Parameters\RequireSignOrSeal
HKEY_LOCAL_MACHINE\System\CurrentControlSet\Services\Netlogon\Parameters\SealSecureChannel
HKEY_LOCAL_MACHINE\System\CurrentControlSet\Services\Netlogon\Parameters\SignSecureChannel
(3개의 레지스트리 값이 1이면 양호, 0인 값이 있으면 취약)</t>
  </si>
  <si>
    <t>아래 3가지 정책이 "사용"으로 설정
• 도메인 구성원: 보안 채널 데이터를 디지털 암호화 또는 서명(항상)
• 도메인 구성원: 보안 채널 데이터를 디지털 암호화(가능한 경우)
• 도메인 구성원: 보안 채널 데이터를 디지털 서명(가능한 경우)</t>
  </si>
  <si>
    <t>(중) [보안 관리] W-78 보안 채널 데이터 디지털 암호화 또는 서명</t>
  </si>
  <si>
    <t>SRV-105</t>
  </si>
  <si>
    <t>불필요한 시작프로그램 존재</t>
  </si>
  <si>
    <t>o 시작프로그램 목록에 공격자가 악의적으로 설치한 악성 프로그램이나 공격 도구 등이 포함되어 시스템에 피해를 줄 수 있으므로, 시작프로그램 목록을 수시로 검사하여 불필요하거나 의심스러운 프로그램이 존재하는지 점검</t>
  </si>
  <si>
    <t>* 양호 - 시작프로그램 목록을 정기적으로 검사하고 불필요한 프로그램이 없는 경우
* 취약 - 시작프로그램 목록을 정기적으로 검사하지 않고, 불필요한 프로그램이 존재하는 경우</t>
  </si>
  <si>
    <t>1. reg query "HKEY_LOCAL_MACHINE\SOFTWARE\Microsoft\Windows\CurrentVersion\Run" 결과 확인
2. msconfig 입력 후 시작 프로그램 목록을 분석하여 의심가는 프로그램 존재 여부 확인</t>
  </si>
  <si>
    <t>시작프로그램 목록을 점검하고 불필요한 서비스는 제거</t>
  </si>
  <si>
    <t>(중) [보안 관리] W-81 시작프로그램 목록 분석</t>
  </si>
  <si>
    <t>SRV-108</t>
  </si>
  <si>
    <t>로그에 대한 접근통제 및 관리 미흡</t>
  </si>
  <si>
    <t>o 로그에 대한 접근통제가 미흡할 경우, 비인가자가 로그에서 정보를 획득하거나 로그 자체를 변조할 수 있는 위협이 존재하므로, 로그에 대한 접근 권한의 적절성을 점검</t>
  </si>
  <si>
    <t>* 양호 - 이벤트 로그에 대한 접근통제와 감사 및 보안 로그 관리 권한이 적절하게 설정되어있고, 로그 파일 크기 제한이 적절한 경우
* 취약 - 이벤트 로그에 Guest 권한으로 접근 가능하거나, 감사 및 보안 로그 관리 그룹에 Everyone 또는 User 그룹이 존재하거나, 로그 파일 크기 제한 값이 너무 작을 경우(10240KB 미만)</t>
  </si>
  <si>
    <t>* 레지스트리 값으로 이벤트 로그 접근 권한 확인
reg query "HKEY_LOCAL_MACHINE\SYSTEM\CurrentControlSet\Services\Eventlog\Application" /v RestrictGuestAccess
reg query "HKEY_LOCAL_MACHINE\SYSTEM\CurrentControlSet\Services\Eventlog\Security" /v RestrictGuestAccess
reg query "HKEY_LOCAL_MACHINE\SYSTEM\CurrentControlSet\Services\Eventlog\System" /v RestrictGuestAccess
(값이 1이면 양호, 0이면 취약)
* 감사 및 보안 로그 관리 권한
secedit /EXPORT /CFG securitypolicy | Find /I "SeSecurityPrivilege" 설정 값 확인 (Everyone 또는 User 그룹 존재 유무 확인)
로컬보안정책(secpol.msc) &gt; 로컬 정책 &gt; 사용자 권한 할당 &gt; "감사 및 보안 로그 관리" 항목에서 권한 설정 확인
* 로그 크기 제한 값 확인
reg query "HKLM\SYSTEM\CurrentControlSet\Services\Eventlog\Application" /v MaxSize
reg query "HKLM\SYSTEM\CurrentControlSet\Services\Eventlog\Security" /v MaxSize
reg query "HKLM\SYSTEM\CurrentControlSet\Services\Eventlog\System" /v MaxSize</t>
  </si>
  <si>
    <t>이벤트 로그에 대한 접근통제와 감사 및 보안 로그 관리 권한이 적절하게 설정되어있고, 로그 파일 크기 제한이 10,240KB이상으로 설정되어 있음</t>
  </si>
  <si>
    <t xml:space="preserve">(하) [로그 관리] W-70 이벤트 로그 관리 설정
</t>
  </si>
  <si>
    <t>SRV-109</t>
  </si>
  <si>
    <t>시스템 주요 이벤트 로그 설정 미흡</t>
  </si>
  <si>
    <t>o 시스템 문제 발생 시 원활한 원인 파악/문제 해결 등을 위해서 각종 보안 로그가 저장 및 관리되어야 하며, 특히 인증 관련이나 중요 이벤트 로그가 남도록 설정되었는지 점검</t>
  </si>
  <si>
    <t>* 양호 - 보안 감사 설정을 적절하게 적용 중일 경우
* 취약 - 보안 감사를 수행하고 있지 않을 경우 
- 감사 설정 파라미터
  * AuditAccountManage(계정 관리 감사) = 1 또는 3
  * AuditLogonEvents(로그온 이벤트 감사) = 3
  * AuditDSAccess(디렉터리 서비스 액세스 감사) =  1 또는 3
  * AuditAccountLogon(계정 로그온 이벤트 감사) = 1 또는 3
  * AuditSystemEvents(시스템 이벤트 감사) = 3 
  * AuditPolicyChange(정책 변경 감사) =  1 또는 3
0 : 감사 안 함
1 : 성공만 기록
2 : 실패만 기록
3 : 성공과 실패 모두 기록</t>
  </si>
  <si>
    <t>* 보안감사 관련 설정 확인
  - 명령어 : secedit /EXPORT /CFG securitypolicy
  - GUI : 실행 &gt; secpol.msc (제어판 &gt; 관리도구 &gt; 로컬보안정책)</t>
  </si>
  <si>
    <t>보안감사 관련 파라미터를 아래와 같이 설정
 - AuditAccountManage(계정 관리 감사) = 1 또는 3
 - AuditLogonEvents(계정 로그온 이벤트 감사) = 1 또는 3
 - AuditDSAccess(디렉터리 서비스 액세스 감사) =  1 또는 3
 - AuditAccountLogon(로그온 이벤트 감사) = 3
 - AuditSystemEvents(시스템 이벤트 감사) = 3
 - AuditPolicyChange(정책 변경 감사) =  1 또는 3</t>
  </si>
  <si>
    <t>(중) [패치 관리] W-69 정책에 따른 시스템 로깅 설정</t>
  </si>
  <si>
    <t>SRV-115</t>
  </si>
  <si>
    <t>로그의 정기적 검토 및 보고 미수행</t>
  </si>
  <si>
    <t>o 각종 공격이나 시스템 오류에 대해 원활히 추적이 가능하려면, 로그에 대한 관리와 분석이 중요하므로 정기적으로 로그에 대한 검토 및 보고가 이루어지고 있는지 점검</t>
  </si>
  <si>
    <t>* 양호 - 로그 기록에 대해 정기적 검토, 분석, 보고서 작성 및 보고 등의 절차를 수행하고 있을 경우
* 취약 - 로그 기록에 대해 정기적 검토가 이루어지지 않을 경우</t>
  </si>
  <si>
    <t>로그 검토 보고서 확인 / 인터뷰</t>
  </si>
  <si>
    <t>접속기록 등의 보안 로그, 응용 프로그램 및 시스템 로그 기록에 대해 정기적으로 검토, 분석, 리포트 작성 및 보고</t>
  </si>
  <si>
    <t>(상) [로그 관리] W-34 로그의 정기적 검토 및 보고</t>
  </si>
  <si>
    <t>SRV-116</t>
  </si>
  <si>
    <t>“보안 감사를 수행할 수 없는 경우, 즉시 시스템 종료” 기능 설정 미흡</t>
  </si>
  <si>
    <t>o 보안 감사 로그 불가 시 시스템 종료가 설정되어 있으면 보안 감사 로그가 가득차거나 기타 에러 등의 이유로 로그를 기록하지 못할 경우 시스템이 재부팅되어 서비스 가용성의 문제가 발생할 수 있으므로 적절한 보안설정을 적용하여 운영하고 있는지 점검</t>
  </si>
  <si>
    <t>* 양호 - crashonauditfail 레지스트리 값이 0 이거나 "보안감사를 로그할 수 없는 경우 즉시 시스템 종료" 항목이 "사용 안 함" 인 경우
* 취약 - crashonauditfail 레지스트리 값이 0 이 아니거나 (1, 2) "보안감사를 로그할 수 없는 경우 즉시 시스템 종료" 항목이 "사용" 인 경우</t>
  </si>
  <si>
    <t>HKEY_LOCAL_MACHINE\SYSTEM\CurrentControlSet\Control\Lsa\crashonauditfail 값 확인
또는
gpedit.msc &gt; Windows 설정 &gt; 보안설정 &gt; 로컬 정책 &gt; 보안옵션 &gt; 감사: 보안 감사를 로그할 수 없는 경우 즉시 시스템 종료 항목 확인</t>
  </si>
  <si>
    <t>"보안 감사를 로그할 수 없는 경우 즉시 시스템 종료" 정책을 "사용 안 함"으로 설정</t>
  </si>
  <si>
    <t>(상) [보안 관리] W-41 보안 감사를 로그할 수 없는 경우 즉시 시스템 종료 해제</t>
  </si>
  <si>
    <t>패치 관리</t>
    <phoneticPr fontId="1" type="noConversion"/>
  </si>
  <si>
    <t>SRV-118</t>
  </si>
  <si>
    <t>주기적인 보안패치 및 벤더 권고사항 미적용</t>
  </si>
  <si>
    <t>패치관리 미흡</t>
  </si>
  <si>
    <t>* 양호 - 최신 핫픽스 등 보안 패치를 적절하게 적용하고 있는 경우
* 취약 - 최신 핫픽스 등 보안 패치를 검토하는 절차가 없고, 패치를 적용하지 않은 경우</t>
  </si>
  <si>
    <t>최신 핫픽스 등 보안 패치를 적절하게 적용</t>
  </si>
  <si>
    <t>(상) [서비스 관리] W-31 최신 서비스팩 적용
(상) [패치 관리] W-32 최신 HOT FIX 적용</t>
  </si>
  <si>
    <t>SRV-119</t>
  </si>
  <si>
    <t>백신 프로그램 업데이트 미흡</t>
  </si>
  <si>
    <t>o 지속적으로 기존에 없던 신종 악성코드가 개발 및 배포되는 위협이 존재하므로, 악성코드 정보에 대한 주기적인 업데이트가 적절하게 이루어지고 있는지 점검</t>
  </si>
  <si>
    <t>* 양호 - 백신 프로그램이 주기적으로 업데이트 되고 있는 경우
* 취약 - 백신 프로그램의 주기적으로 업데이트 되고 있지 않은 경우</t>
  </si>
  <si>
    <t xml:space="preserve">* 주기적으로 백신 업데이트를 수행하는 절차 확인
* 설치된 백신의 엔진 버전 확인
</t>
  </si>
  <si>
    <t>백신 프로그램 주기적 업데이트</t>
  </si>
  <si>
    <t>(상) [패치 관리] W-33 백신 프로그램 업데이트</t>
  </si>
  <si>
    <t>SRV-123</t>
  </si>
  <si>
    <t>최종 로그인 사용자 계정 노출</t>
  </si>
  <si>
    <t>o 최종 로그인한 사용자 계정이 로그온 창에 표시되도록 설정된 경우, 해당 계정명의 계정이 존재한다는 정보가 노출될 수 있고, 이후 추가적인 계정 탈취 시도가 발생할 수 있기 때문에 해당 설정이 적절하게 설정되었는지 점검</t>
  </si>
  <si>
    <t>* 양호 - 최종 사용자 이름 표시 안 함 설정이  "사용" 일 경우 
* 취약 - 최종 사용자 이름 표시 안 함 설정이  "사용 안 함" 일 경우</t>
  </si>
  <si>
    <t>1. 메뉴를 통한 확인 : 시작 &gt; 실행 &gt; secpol.msc 실행 &gt; 보안설정 &gt; 로컬 정책 &gt; 보안 옵션 &gt; 대화형 로그온: 마지막 사용자 이름 표시 안 함 &gt; 설정 항목 확인
2. 레지스트리를 통한 확인 : HKEY_LOCAL_MACHINE\SOFTWARE\Microsoft\Windows\CurrentVersion\Policies\system\DontDisplayLastUserName 레지스트리 값 확인 (1: 양호, 0: 취약)</t>
  </si>
  <si>
    <t>"마지막 사용자 이름 표시 안 함"을 "사용"으로 설정</t>
  </si>
  <si>
    <t>(중) [계정 관리] W-52 마지막 사용자 이름 표시 안 함</t>
  </si>
  <si>
    <t>SRV-125</t>
  </si>
  <si>
    <t>화면보호기 미설정</t>
  </si>
  <si>
    <t xml:space="preserve">o 화면 보호기 설정이 되어 있지 않으면, 관리자가 자리를 비운 사이 임의의 사용자가 서버에 접근할 수 있는 위협이 존재하므로 적절하게 화면보호기를 설정하였는지 점검 </t>
  </si>
  <si>
    <t>* 양호 - 화면보호기 사용, 자동 시작, 암호가 설정된 경우 (해당 레지스트리 값들이 올바로 설정된 경우)
* 취약 - 화면보호기가 미사용 중이거나, 자동으로 시작되지 않거나, 암호가 미설정된 경우 (해당 레지스트리 값들이 미설정 혹은 잘못 설정된 경우)</t>
  </si>
  <si>
    <t>reg query "HKEY_CURRENT_USER\Control Panel\desktop" /v ScreenSaveActive (화면보호기 설정 여부)
reg query "HKEY_CURRENT_USER\Control Panel\desktop" /v ScreenSaveTimeOut (자리 비움 시 화면보호기 시작 설정 시간)
reg query "HKEY_CURRENT_USER\Control Panel\desktop" /v ScreenSaverIsSecure (화면보호기 암호 설정 여부)
(설정 여부는 1일 경우 양호, 제한 시간은 시간이 설정된 경우 양호)</t>
  </si>
  <si>
    <t xml:space="preserve">화면 보호기 사용, 대기 시간, 암호사용으로 설정
(대기시간은 10분을 권고하나, 내부 규정 만족 시 양호) </t>
  </si>
  <si>
    <t>SRV-126</t>
  </si>
  <si>
    <t>자동 로그온 방지 설정 미흡</t>
  </si>
  <si>
    <t>o 자동 로그온은 시스템 시작 시 미리 설정되어 있는 사용자로 자동으로 로그온 하도록 하는 기능으로 관리자 권한으로 자동 로그온 설정이 되어있는 경우, 임의의 사용자가 관리자 권한 획득이 가능한 위협이 존재하므로 불필요한 자동 로그온 설정이 존재하는지 점검</t>
  </si>
  <si>
    <t>* 양호 - 자동 로그온 관련 레지스트리 값 AutoAdminLogon 값이 0일 경우
* 취약 - 자동 로그온 관련 레지스트리 값 AutoAdminLogon 값이 1일 경우</t>
  </si>
  <si>
    <t>1. HKEY_LOCAL_MACHINE\SOFTWARE\Microsoft\Windows NT\CurrentVersion\WinLogon\AutoAdminLogon 레지스트리 값이 0으로 설정 되어 있는지 확인
2. HKEY_LOCAL_MACHINE\SOFTWARE\Microsoft\Windows NT\CurrentVersion\WinLogon\DefaultPassword 레지스트리 값이 비어있는지 확인</t>
  </si>
  <si>
    <t>자동 로그온 관련 레지스트리 AutoAdminLogon 레지스트리의 값을 0으로 설정</t>
  </si>
  <si>
    <t>(상) [보안 관리] W-43 Autologin 기능 제어</t>
  </si>
  <si>
    <t>SRV-127</t>
  </si>
  <si>
    <t>계정 잠금 임계값 설정 미비</t>
  </si>
  <si>
    <t>o 계정 비밀번호에 대한 무작위 대입 공격으로 비인가자가 계정 정보를 탈취할 위협이 존재하므로 로그인 입력 횟수 제한 등의 임계값 설정 여부를 점검</t>
  </si>
  <si>
    <t>* 양호 - 계정 잠금 임계값이 설정되어 있는 경우
* 취약 - 계정 잠금 임계값이 설정되어 있지 않은 경우</t>
  </si>
  <si>
    <t>* net accounts 명령 결과 확인
* 직접 확인
[WindowsNT]
시작 &gt; 프로그램 &gt; 관리도구 &gt; 도메인사용자관리자 &gt; 정책 &gt; 계정에서 확인
[Windows 2000, 2003, 2008, 2012]
1. 시작 &gt; 실행 &gt; secpol.msc &gt; 계정 정책 &gt; 계정 잠금 정책에서 확인</t>
  </si>
  <si>
    <t xml:space="preserve">계정 잠금 임계값 설정
(임계값 5회 미만 설정을 권고하나, 내부 규정 만족 시 양호) </t>
  </si>
  <si>
    <t>(상) [계정 관리] W-04 계정 잠금 임계값 설정
(중) [계정 관리] W-47 계정 잠금 기간 설정</t>
  </si>
  <si>
    <t>SRV-128</t>
  </si>
  <si>
    <t>NTFS 파일 시스템 미사용</t>
  </si>
  <si>
    <t>o FAT 파일 시스템은 NTFS 파일 시스템에 비하여 지원되는 보안 기능이 제한되어 접근 통제의 어려움이 존재하므로 보다 강화된 보안 기능을 지원하는 NTFS 파일시스템 사용 여부를 점검</t>
  </si>
  <si>
    <t>* 양호 - NTFS 파일 시스템을 사용 중인 경우
* 취약 - FAT 파일 시스템을 사용 중인 로컬 드라이브가 존재하는 경우 (USB제외)</t>
  </si>
  <si>
    <t>* wmic logicaldisk 명령 실행 결과에서 FAT 파일 시스템 사용 여부 확인</t>
  </si>
  <si>
    <t>NTFS 파일 시스템 사용</t>
  </si>
  <si>
    <t>(중) [보안 관리] W-79 파일 및 디렉토리 보호</t>
  </si>
  <si>
    <t>SRV-129</t>
  </si>
  <si>
    <t>백신 프로그램 미설치</t>
  </si>
  <si>
    <t>o 악성코드 감염 시 정보 유출/삭제 등 뿐만 아니라 악성코드 확산 등의 위험성이 있으므로, 악성코드 감염 대비 및 치료 수행을 위한 백신 프로그램의 설치 여부를 점검</t>
  </si>
  <si>
    <t>* 양호 - 백신 프로그램이 설치되어 있는 경우
* 취약 - 백신 프로그램이 설치되어 있지 않은 경우</t>
  </si>
  <si>
    <t>* tasklist 에서 백신 프로그램의 설치 유무 확인</t>
  </si>
  <si>
    <t>바이러스 백신 프로그램 설치</t>
  </si>
  <si>
    <t>(상) [보안 관리] W-36 백신 프로그램 설치</t>
  </si>
  <si>
    <t>SRV-135</t>
  </si>
  <si>
    <t>TCP 보안 설정 미비</t>
  </si>
  <si>
    <t>o 하이재킹 공격이나 IP Spoofing, DoS 와 같은 네트워크 공격 위협을 감소시키기 위해, TCP 연결의 보안을 강화하는 설정이 활성화 되어 있는지 점검</t>
  </si>
  <si>
    <t>* 양호: DoS 방어 레지스트리 값이 아래와 같이 설정되어 있는 경우
* 취약: DoS 방어 레지스트리 값이 아래와 같이 설정되어 있지 않은 경우
[Windows 2008 미만]
                SynAttackProtect = 0x1 
                TcpMaxHalfOpen = 0x500 이하
                TcpMaxHalfOpenRetried = 0x400 이하
                DeadGWDetectDefault = 0x1
                IPEnableRouter = 0x0
[Windows 2008 이상]
                IPEnableRouter = 0x0</t>
  </si>
  <si>
    <t>(다음의 레지스트리 값 확인)
- HKLM\SYSTEM\CurrentControlSet\Services\Tcpip\Parameters\SynAttackProtect
- HKLM\SYSTEM\CurrentControlSet\Services\Tcpip\Parameters\TcpMaxHalfOpen
- HKLM\SYSTEM\CurrentControlSet\Services\Tcpip\Parameters\TcpMaxHalfOpenRetried
- HKLM\SYSTEM\CurrentControlSet\Services\Tcpip\Parameters\DeadGWDetectDefault
- HKLM\SYSTEM\CurrentControlSet\Services\Tcpip\Parameters\IPEnableRouter</t>
  </si>
  <si>
    <t xml:space="preserve">DoS 방어 관련 레지스트리를 아래와 같이 설정
- SynAttackProtect = 0x1 
- TcpMaxHalfOpen = 0x500 이하
- TcpMaxHalfOpenRetried = 0x400 이하
- DeadGWDetectDefault = 0x1
- IPEnableRouter = 0x0" </t>
  </si>
  <si>
    <t>(중) [보안 관리] W-72 DoS 공격 방어 레지스트리 설정</t>
  </si>
  <si>
    <t>SRV-136</t>
  </si>
  <si>
    <t>시스템 종료 권한 설정 미흡</t>
  </si>
  <si>
    <t>o 로그온 단계에서 "시스템 종료" 가 허용될 경우, 로그온을 하지 않더라도 시스템 종료가 가능하여 비인가 서버 종료 위협 등이 존재하므로 로그온 단계에서의 시스템 종료 기능 비활성화 여부를 점검</t>
  </si>
  <si>
    <t>* 양호 - "로그온하지 않고 시스템 종료 허용" 항목이 사용 안 함이고, "원격 시스템에서 강제로 시스템 종료" 권한의 불필요한 부여가 없는 경우 양호
* 취약 - "로그온하지 않고 시스템 종료 허용" 항목이 사용이거나, "원격 시스템에서 강제로 시스템 종료" 권한의 불필요한 부여가 있는 경우 취약</t>
  </si>
  <si>
    <t>[Windows 2000, 2003, 2008, 2012]
1. 로그온하지 않고 시스템 종료
 (1)  시작 &gt; 실행 &gt; gpedit.msc(로컬 그룹 정책 편집기) &gt; 컴퓨터 구성 &gt; Windows 설정 &gt; 보안 설정 &gt; 로컬 정책 &gt; 보안옵션 &gt; 로그온하지 않고 시스템 종료 허용여부 확인
      또는
 (2) HKEY_LOCAL_MACHINE\Software\Microsoft\Windows NT\CurrentVersio\Winlogon 의 ShutdownWithoutLogon 레지스트리 값 확인 (0: 양호, 1: 취약)
2. 원격 시스템에서 강제로 시스템 종료
 (1) 시작 &gt; 실행 &gt; secpol.msc &gt; 로컬 정책 &gt; 사용자 권한 할당 &gt; 원격 시스템에서 강제 종료 
 (2) 권한이 부여된 사용자 및 그룹 확인</t>
  </si>
  <si>
    <t>"로그온 하지 않고 시스템 종료 허용" 정책을 "사용 안 함"으로 설정</t>
  </si>
  <si>
    <t>(상) [보안 관리] W-39 로그온 하지 않고 시스템 종료 허용 해제
(상) [보안 관리] W-40 원격 시스템에서 강제로 시스템 종료</t>
  </si>
  <si>
    <t>SRV-137</t>
  </si>
  <si>
    <t>네트워크 서비스의 접근 제한 설정 미흡</t>
  </si>
  <si>
    <t>o 네트워크에서 이 컴퓨터 액세스 정책은 다수의 네트워크 프로토콜(SMB 기반 프로토콜, NetBIOS, CIFS(Common Internet File System) 및 COM+ 등) 접근에 필요한 정책으로 해당 권한 설정이 미흡할 경우, 임의의 사용자 또는 그룹이 네트워크 서비스로 접근이 가능하여 시스템 침해 위협이 증가하므로 접근 권한 설정의 적절성을 점검</t>
  </si>
  <si>
    <t>* 양호 - 필요한 그룹만 접근 허용 되어 있을 경우
* 취약 - 불필요한 그룹이 접근 허용 되어 있을 경우</t>
  </si>
  <si>
    <t xml:space="preserve">* 보안 정책을 명령어로 추출하여 확인하는 방법
secedit /EXPORT /CFG secpol.txt
* 직접 확인하는 방법
1. 다음 항목에 적절한 그룹이 설정되어 있는지 확인
        - 제어판 관리도구에서 로컬 보안 정책 실행 
        - 로컬 정책 확장, 사용자 권한 할당 선택
        - "네트워크에서 이 컴퓨터 액세스", "네트워크에서 이 컴퓨터 액세스 거부" 항목 확인
</t>
  </si>
  <si>
    <t>"네트워크에서 이 컴퓨터 액세스" 정책에 Everyone, Guest 를 삭제하고 필요한 그룹만 접근 허용 설정</t>
  </si>
  <si>
    <t>SRV-138</t>
  </si>
  <si>
    <t>백업 및 복구 권한 설정 미흡</t>
  </si>
  <si>
    <t>o 백업 및 복구 권한은 해당 권한을 활용하여 실제 객체에 대해 필요한 접근 권한을 우회하여 정보를 획득하거나 시스템 무결성을 침해할 위협이 존재하므로, 불필요한 사용자 및 그룹에게 부여된 권한이 존재하는지 점검</t>
  </si>
  <si>
    <t>* 양호 - "파일 및 디렉토리 백업" 항목과 "파일 및 디렉토리 복구" 항목에 대해 그룹별 접근제어 권한 설정에 Everyone 그룹이나 Guests 그룹, Users 그룹과 같은 불필요한 그룹이 존재하지 않는 경우
* 취약 - "파일 및 디렉토리 백업" 항목과 "파일 및 디렉토리 복구" 항목에 대해 그룹별 접근제어 권한 설정에 Everyone 그룹이나 Guests 그룹, Users 그룹과 같은 불필요한 그룹이 존재하는 경우</t>
  </si>
  <si>
    <t xml:space="preserve">* 보안 정책을 명령어로 추출하여 확인하는 방법 (SeBackupPrivilege, SeRestorePrivilege)
secedit /EXPORT /CFG secpol.txt
* 직접 확인
1. 제어판 관리도구에서 로컬 보안 정책 실행 
2. 로컬 정책 확장, 사용자 권한 할당 선택 
3. "파일 및 디렉토리 백업" 항목과 "파일 및 디렉토리 복구" 항목에 대해 그룹별 접근제어 권한 설정 확인
</t>
  </si>
  <si>
    <t>"파일 또는 다른 개체의 소유권 가져오기" 항목 권한에 Administrators 그룹만 권한 설정</t>
  </si>
  <si>
    <t>SRV-139</t>
  </si>
  <si>
    <t>시스템 자원 소유권 변경 권한 설정 미흡</t>
  </si>
  <si>
    <t>o 시스템 자원(Active Directory 개체, 프린터, 레지스트리 키, 서비스 등)은 서비스 운영에 영향을 주기 때문에 관리자 또는 관리자 그룹이 아닌, 일반 사용자가 권한을 보유하면 데이터 및 자원 보호 정책 설정 등의 인가되지 않은 변경이 발생할 위협이 존재하므로 해당 정책의 설정 적절성을 점검</t>
  </si>
  <si>
    <t>* 양호 - "파일 또는 다른 개체의 소유권 가져오기" 항목 권한에 Administrators 그룹만 존재할 경우
* 취약 - "파일 또는 다른 개체의 소유권 가져오기" 항목 권한에 Everyone, Users 그룹 등 불필요한 권한이 존재할 경우</t>
  </si>
  <si>
    <t>* 보안 정책을 명령어로 추출하여 확인하는 방법 (SeTakeOwnershipPrivilege)
secedit /EXPORT /CFG secpol.txt
* 직접 확인
1. 파일 및 개체에 대한 소유권 변경 권한 설정 확인
    - 제어판 관리도구에서 로컬 보안 정책 실행
    - 로컬 정책 확장, 사용자 권한 할당 선택
    - "파일 또는 다른 개체의 소유권 가져오기" 항목에서 권한 확인 
2. Everyone 그룹, Users 그룹 등 불필요한 권한 확인</t>
  </si>
  <si>
    <t>SRV-140</t>
  </si>
  <si>
    <t>이동식 미디어 포맷 및 꺼내기 허용 정책 설정 미흡</t>
  </si>
  <si>
    <t>o 이동식 미디어(USB 등) 포맷 및 꺼내기 허용 권한이 불필요한 사용자에게 권한이 주어질 경우 비인가 데이터 복사/삭제 등의 행위가 발생할 위협이 증가하므로 해당 보안 정책의 설정 적절성을 점검</t>
  </si>
  <si>
    <t>* 양호 - "이동식 미디어 포맷 및 꺼내기 허용" 정책이 "Administrators" 로 설정된 경우, 또는 해당 레지스트리 값이 0일 경우
* 취약 - 그 외의 경우 다른 사용자 또는 그룹에 권한이 허용되었을 수 있으므로 취약</t>
  </si>
  <si>
    <t>[Windows 2000, 2003, 2008, 2012]
1. 시작 &gt; 실행 &gt; secpol.msc &gt; 로컬 정책 &gt; 보안옵션 &gt;  "이동식미디어 포맷 및 꺼내기 허용" 항목 점검
또는
2. 레지스트리 점검 : HKEY_LOCAL_MACHINE\SOFTWARE\Microsoft\Windows NT\CurrentVersion\Winlogon\AllocateDASD</t>
  </si>
  <si>
    <t>"이동식 미디어 포맷 및 꺼내기 허용" 정책 "Administrators"만 권한 설정</t>
  </si>
  <si>
    <t>(상) [보안 관리] W-44 이동식 미디어 포맷 및 꺼내기 허용</t>
  </si>
  <si>
    <t>SRV-147</t>
  </si>
  <si>
    <t>불필요한 SNMP 서비스 실행</t>
  </si>
  <si>
    <t>(중) [서비스 관리] W-60 SNMP 서비스 구동 점검</t>
  </si>
  <si>
    <t>SRV-148</t>
  </si>
  <si>
    <t>웹 서비스 정보 노출</t>
  </si>
  <si>
    <t>o 웹 서버 종류 및 버전 등에 대한 정보가 노출될 경우 공격자가 기타 공격에 활용할 가능성이 있으므로 적절한 보안 설정이 되었는지 점검</t>
  </si>
  <si>
    <t>IIS 웹 서비스 응답에서 Server 헤더에 노출되는 정보 제한 및 별도 에러페이지 설정</t>
  </si>
  <si>
    <t>(중) [서비스 관리] W-59 IIS 웹서비스 정보 숨김
(하) [서비스 관리] W-64 HTTP/FTP/SMTP 배너 차단</t>
  </si>
  <si>
    <t>SRV-149</t>
  </si>
  <si>
    <t>디스크 볼륨 암호화 미적용</t>
  </si>
  <si>
    <t>o 디스크 볼륨이 암호화 되어 있지 않는 경우, 비인가자가 데이터에 물리적으로 직접 접근하여 데이터를 획득할 위협이 존재하므로 암호화 여부를 점검</t>
  </si>
  <si>
    <t>* 양호: "데이터 보호를 위해 내용을 암호화" 정책이 적용된 경우
* 취약: "데이터 보호를 위해 내용을 암호화" 정책이 적용되지 않은 경우
( 예외 : 해당 서버가 물리적으로 보호 된 장소(IDC 내, PC 시건장치 등)에 위치해 있을 경우
           또는 하드디스크 교체 시 기존 하드디스크의 디가우징 또는 천공 등 폐기 관련 규정 수행 시 )</t>
  </si>
  <si>
    <t>폴더 선택 &gt; 속성 &gt; [일반] 탭&gt; 고급 &gt; 고급 특성 &gt; "데이터 보호를 위해 내용을 암호화" 설정 확인</t>
  </si>
  <si>
    <t>아래의 보호대책 중 하나 이상 수행
- 해당 서버를 물리적으로 보호된 장소(IDC내, PC시건장치 등)에 위치
- 하드디스크 교체 시 기존 하드디스크 디가우징 또는 천공 등 폐기 관련 규정 수행
-"데이터 보호를 위해 내용을 암호화" 정책 설정</t>
  </si>
  <si>
    <t>(상) [보안 관리] W-45 디스크볼륨 암호화 설정</t>
  </si>
  <si>
    <t>SRV-150</t>
  </si>
  <si>
    <t>로컬 로그온 허용</t>
  </si>
  <si>
    <t>o 로컬 로그온이 불필요한 계정의 로컬 로그온이 허용된 경우 해당 계정이 탈취되었을 때 추가적인 침해 행위를 수행하는 등 피해가 커질 가능성이 존재하기 때문에, 불필요하게 로컬 로그온이 허용된 계정이 존재하는지 점검</t>
  </si>
  <si>
    <t>* 양호: 로컬 로그온 허용 정책에 Administrators, IUSR_만 존재하는 경우
* 취약: 로컬 로그온 허용 정책에 Administrators, IUSR_ 외 다른 계정 및 그룹이 불필요하게 존재하는 경우</t>
  </si>
  <si>
    <t>[Windows NT, 2000, 2003, 2008]
- 시작 -&gt; 실행 -&gt; secpol.msc -&gt; 로컬 정책 -&gt; 사용자 권한 확인</t>
  </si>
  <si>
    <t>"로컬 로그온 허용 정책"에 Administrators, IUSR_만 설정</t>
  </si>
  <si>
    <t>(중) [계정 관리] W-53 로컬 로그온 허용</t>
  </si>
  <si>
    <t>SRV-151</t>
  </si>
  <si>
    <t>익명 SID/이름 변환 허용</t>
  </si>
  <si>
    <t>o 익명 SID/이름 반환 허용 정책 설정 시 잘 알려진 Administrator SID를 요청하여 해당 게정의 실제 이름을 알아낼 수 있으며 암호 추측 공격을 통해 계정 권한을 획득할 위협이 존재하므로 해당 정책의 활성화 여부를 점검</t>
  </si>
  <si>
    <t>* 양호: "익명 SID/이름 변환 허용" 정책이 "사용 안 함" 으로 되어 있는 경우
* 취약: "익명 SID/이름 변환 허용" 정책이 "사용" 으로 되어 있는 경우</t>
  </si>
  <si>
    <t>[Windows 2003, 2008]
- 시작 &gt; 실행 &gt; secpol.msc &gt; 로컬 정책 &gt; 보안 옵션
- "네트워크 액세스: 익명 SID/이름 변환 허용" 정책 확인
  * Windows Server 2000 이하 버전 해당 사항 없음</t>
  </si>
  <si>
    <t>"익명 SID/이름 변환 허용" 정책이 "사용 안 함"으로 설정</t>
  </si>
  <si>
    <t>(중) [계정 관리] W-54 익명 SID/이름 변환 허용 해제</t>
  </si>
  <si>
    <t>SRV-152</t>
  </si>
  <si>
    <t>원격터미널 접속 가능한 사용자 그룹 제한 미비</t>
  </si>
  <si>
    <t>o 원격 서비스는 서버 관리를 위한 서비스로 접근 가능한 그룹이나 계정을 제한하지 않을 경우 임의의 사용자가 서버에 접근하여 정보 변경, 유출 등이 발생할 위협이 있으므로 해당 설정을 점검</t>
  </si>
  <si>
    <t>* 양호: (관리자 계정을 제외한) 원격 접속이 가능한 계정을 생성하여 타 사용자의 원격 접속을 제한하고, 원격 접속 사용자 그룹에 불필요한 계정이 등록되어 있지 않은 경우
* 취약: (관리자 계정을 제외한) 원격 접속이 가능한 별도의 계정이 존재하지 않는 경우</t>
  </si>
  <si>
    <t>[Windows 2003, 2008]
- 제어판&gt; 시스템&gt; [원격] 탭&gt; [원격] 탭 메뉴에서 “원격 사용자 선택”에서 원격 사용자 확인</t>
  </si>
  <si>
    <t>(관리자 계정을 제외한) 원격 접속이 가능한 계정을 생성하여 타 사용자의 원격 접속을 제한하고, 원격 접속 사용자 그룹에 불필요한 계정이 등록</t>
  </si>
  <si>
    <t>(중) [계정 관리] W-57 원격터미널 접속 가능한 사용자 그룹 제한</t>
  </si>
  <si>
    <t>SRV-158</t>
  </si>
  <si>
    <t>불필요한 Telnet 서비스 실행</t>
  </si>
  <si>
    <t xml:space="preserve">o Telnet 서비스는 Password 인증 방식 사용 시 데이터를 평문으로 송수신하기 때문에 인증 시 아이디/패스워드가 노출될 수 있는 위협이 존재하므로 가급적 사용하지 않는 것이 바람직하여, 업무와 관계없이 불필요하게 활성화되어 있는지 점검
</t>
  </si>
  <si>
    <t>* 양호: Telnet 서비스가 비활성화 되어 있는 경우
* 취약: Telnet 서비스가 불필요하게 활성화 되어 있는 경우</t>
  </si>
  <si>
    <t>23번 포트에 TELNET 서비스가 동작 중인지 확인</t>
  </si>
  <si>
    <t>불필요한 Telnet 서비스 비활성화</t>
  </si>
  <si>
    <t>SRV-163</t>
  </si>
  <si>
    <t>시스템 사용 주의사항 미출력</t>
  </si>
  <si>
    <t>o 비인가자의 부적절한 로그인 권한 획득을 사전에 방지하기 위하여 로그인 시 경고 및 시스템 사용 주의사항 등의 문구를 표시하고 있는지 점검</t>
  </si>
  <si>
    <t>* 양호 - 로그온 경고 메시지/제목이 설정되어 있을 경우 (LegalNoticeCaption: 메시지 제목, LegalNoticeText: 메시지 내용) 
* 취약 - 로그인 경고 메시지/제목이 설정되어 있지 않을 경우 (LegalNoticeCaption: 메시지 제목, LegalNoticeText: 메시지 내용)</t>
  </si>
  <si>
    <t>[Windows 2000, 2003, 2008, 2012]
1. HKEY_LOCAL_MACHINE\SOFTWARE\Microsoft\WindowsNT\CurrentVersion\Winlogon 에서 확인
또는
2. 시작 &gt; 실행 &gt; secpol.msc &gt; 로컬정책 &gt; 보안옵션에서 확인</t>
  </si>
  <si>
    <t>로그인 시 경고 및 시스템 사용 주의사항 메시지/제목을 설정</t>
  </si>
  <si>
    <t>(하) [보안 관리] W-75 경고 메시지 설정</t>
  </si>
  <si>
    <t>SRV-166</t>
  </si>
  <si>
    <t>불필요한 숨김 파일 또는 디렉터리 존재</t>
  </si>
  <si>
    <t>o 악의적인 목적으로 생성한 파일 혹은 디렉터리를 숨김파일로 저장하는 경우가 많으므로, 숨김 파일 및 디렉터리 중 침해 행위로 인해 생성된 파일이 존재하는지 점검</t>
  </si>
  <si>
    <t>악성코드</t>
  </si>
  <si>
    <t>* 숨김 디렉터리 및 숨김 파일 점검
&gt; dir /a:h</t>
  </si>
  <si>
    <t>불필요한 숨김 파일 제거</t>
    <phoneticPr fontId="1" type="noConversion"/>
  </si>
  <si>
    <t>SRV-170</t>
  </si>
  <si>
    <t>SMTP 서비스 정보 노출</t>
  </si>
  <si>
    <t>o SMTP 접속 시 노출되는 배너에서 공격자가 유용한 정보를 획득할 가능성이 존재하므로, 불필요하게 노출되는 정보 유무를 점검</t>
  </si>
  <si>
    <t>* 양호: SMTP 접속 배너에 노출되는 정보가 없는 경우
* 취약: SMTP 접속 배너에 노출되는 정보가 있는 경우
※ 정보 노출: 서비스명 + 버전 정보가 노출되는 경우 취약</t>
  </si>
  <si>
    <t>[ IIS - SMTP ]
1. SMTP 설정 정보 확인 (IIS 설정 파일에서 ConnectResponse 속성 값에 노출되는 정보가 있는지 확인)
2. SMTP 포트에 접속하여 배너 내 정보 노출 여부 확인</t>
  </si>
  <si>
    <t>SMTP 접속 배너에서 불필요하게 노출되는 서비스명, 버전정보 제거</t>
  </si>
  <si>
    <t>(하) [서비스 관리] W-64 HTTP/FTP/SMTP 배너 차단</t>
  </si>
  <si>
    <t>SRV-171</t>
  </si>
  <si>
    <t>FTP 서비스 정보 노출</t>
  </si>
  <si>
    <t>o FTP 접속 시 노출되는 배너에서 공격자가 유용한 정보 획득할 가능성이 존재하므로, 불필요하게 노출되는 정보 존재 유무를 점검</t>
  </si>
  <si>
    <t>* 양호: FTP 접속 배너에 노출되는 정보가 없는 경우
* 취약: FTP 접속 배너에 노출되는 정보가 있는 경우
※ 정보 노출: 서비스명 + 버전 정보가 노출되는 경우 취약</t>
  </si>
  <si>
    <t>[ IIS - FTP ]
1. FTP 설정 파일 확인 (applicationhost.config)
설정 파일 내에 &lt;ftpserver&gt; 섹션에 suppressDefaultBanner="TRUE" 설정이 존재하면 양호, 존재하지 않으면 취약
2. FTP 포트에 직접 접근하여 배너 내 정보 노출 여부 확인</t>
  </si>
  <si>
    <t>FTP 접속 배너에서 불필요하게 노출되는 서비스명, 버전정보 제거</t>
  </si>
  <si>
    <t>SRV-172</t>
  </si>
  <si>
    <t>불필요한 시스템 자원 공유 존재</t>
  </si>
  <si>
    <t>o Windows의 공유 기능은 폴더, 디스크 드라이브, 프린터 등을 공유하여 다른 사용자들과 함께 사용이 가능한 서비스이지만, 불필요한 공유의 활성화는 여러가지 공격의 목표가 될 가능성이 존재하므로, 불필요한 공유의 존재 여부를 점검</t>
  </si>
  <si>
    <t>* 양호 - 공유폴더가 없거나, 업무상 필요한 공유만 존재할 경우
* 취약 - 불필요한 공유가 존재할 경우</t>
  </si>
  <si>
    <t>1. net share 명령어를 통해 공유 현황 확인
2. 불필요해보이는 공유 확인</t>
  </si>
  <si>
    <t>공유폴더 공유를 중지하거나, 업무상 필요한 공유폴더만 공유 설정</t>
  </si>
  <si>
    <t>SRV-173</t>
  </si>
  <si>
    <t>DNS 서비스의 취약한 동적 업데이트 설정</t>
  </si>
  <si>
    <t>o DNS(Domain Name Service) 서비스의 동적 업데이트 기능이 불필요하게 활성화되어 있고 신뢰할 수 있는 출처 이외에도 업데이트가 가능한 경우, 악의적인 사용자에 의해 DNS 레코드가 변조될 위협이 존재하므로, 해당 기능의 설정 적절성을 점검</t>
  </si>
  <si>
    <t>* 양호: DNS 서비스의 동적 업데이트 기능이 비활성화 되었거나, 활성화 시 적절한 접근통제를 수행하고 있을 경우
* 취약: DNS 서비스의 동적 업데이트 기능이 불필요하게 활성화 되어있거나, 필요에 의해 사용 중이어도 적절한 접근통제를 수행하고 있지 않을 경우</t>
  </si>
  <si>
    <t xml:space="preserve">* 명령어로 설정 확인
1. DNS 설정 추출
&gt; dnscmd /ExportSettings
2. 설정 파일 점검
%systemroot%\system32\dns\DnsSettings.txt 경로에 추출된 파일 내용 확인
DNS Zone 영역 중 AllowUpdate=1 인 영역이 있으면 취약, AllowUpdate=1인 영역이 없으면 양호
* 직접 확인
1. 시작 &gt; 실행 &gt; DNSMGMT.MSC &gt; 각 조회 영역 &gt; 속성 &gt; 일반
2. 동적 업데이트 -&gt; 없음 또는 안전한 동적 업데이트로 설정되었는지 확인
</t>
  </si>
  <si>
    <t>DNS 서비스의 동적 업데이트 기능이 비활성화 하거나, 활성화 시 적절한 접근통제 설정</t>
  </si>
  <si>
    <t>(중) [서비스 관리] W-63 DNS 서비스 구동 점검</t>
  </si>
  <si>
    <t>SRV-174</t>
  </si>
  <si>
    <t>불필요한 DNS 서비스 실행</t>
  </si>
  <si>
    <t>o DNS(Domain Name Service)는 도메인 이름과 IP간의 변환을 위한 서비스로, 불필요하게 운영할 경우 잠재적인 보안 취약점으로 인한 공격의 경로가 될 수 있으므로 해당 서비스가 업무와 관계없이 활성화되어 있는지 여부를 점검</t>
  </si>
  <si>
    <t>* 양호: DNS 서비스가 실행 중이지 않거나, 필요에 의해 사용 중인 경우
* 취약: DNS 서비스가 불필요하게 실행 중인 경우</t>
  </si>
  <si>
    <t xml:space="preserve">DNS 서비스 실행 여부 확인
# sc query dns
</t>
  </si>
  <si>
    <t>불필요한 DNS 서비스 비활성화</t>
  </si>
  <si>
    <t>SRV-175</t>
  </si>
  <si>
    <t>NTP 및 시각 동기화 미설정</t>
  </si>
  <si>
    <t xml:space="preserve">* 양호 - NTP 서버 동기화가 설정되어 있는 경우
* 취약 - NTP 서버 동기화가 미설정되어 있는 경우 </t>
  </si>
  <si>
    <t>* 다음 명령을 실행하여 NTP 설정과 현재 시각 확인
&gt; w32tm /query /configuration
&gt; wmic OS GET LocalDateTime</t>
  </si>
  <si>
    <t>내부 NTP 서버와 시간 동기화 설정</t>
    <phoneticPr fontId="1" type="noConversion"/>
  </si>
  <si>
    <t>◈ 개정이력</t>
    <phoneticPr fontId="5" type="noConversion"/>
  </si>
  <si>
    <t>개정번호</t>
    <phoneticPr fontId="5" type="noConversion"/>
  </si>
  <si>
    <t>개정일자</t>
    <phoneticPr fontId="5" type="noConversion"/>
  </si>
  <si>
    <t>개정내용</t>
    <phoneticPr fontId="5" type="noConversion"/>
  </si>
  <si>
    <t>작성자</t>
    <phoneticPr fontId="5" type="noConversion"/>
  </si>
  <si>
    <t>비고</t>
    <phoneticPr fontId="5" type="noConversion"/>
  </si>
  <si>
    <t>v1.0</t>
    <phoneticPr fontId="5" type="noConversion"/>
  </si>
  <si>
    <t>최초 작성</t>
  </si>
  <si>
    <t>ㅇㅇㅇ</t>
    <phoneticPr fontId="5" type="noConversion"/>
  </si>
  <si>
    <t>◈ 개요</t>
    <phoneticPr fontId="5" type="noConversion"/>
  </si>
  <si>
    <t>1. 목적</t>
    <phoneticPr fontId="5" type="noConversion"/>
  </si>
  <si>
    <t>5점</t>
    <phoneticPr fontId="5" type="noConversion"/>
  </si>
  <si>
    <t>4점</t>
    <phoneticPr fontId="5" type="noConversion"/>
  </si>
  <si>
    <t>3점</t>
    <phoneticPr fontId="5" type="noConversion"/>
  </si>
  <si>
    <t>2점</t>
    <phoneticPr fontId="5" type="noConversion"/>
  </si>
  <si>
    <t>1점</t>
    <phoneticPr fontId="5" type="noConversion"/>
  </si>
  <si>
    <t>양호
(취약점 제거)</t>
    <phoneticPr fontId="5" type="noConversion"/>
  </si>
  <si>
    <t>N/A
(해당 없음)</t>
    <phoneticPr fontId="5" type="noConversion"/>
  </si>
  <si>
    <t>• "보안가이드"의 &lt;조치방안&gt;을 참고하여 시스템 환경과 서비스에 맞추어 취약점 제거</t>
    <phoneticPr fontId="5" type="noConversion"/>
  </si>
  <si>
    <r>
      <rPr>
        <b/>
        <sz val="11"/>
        <color indexed="10"/>
        <rFont val="맑은 고딕"/>
        <family val="3"/>
        <charset val="129"/>
      </rPr>
      <t>• 긴급히 조치해야할 취약점</t>
    </r>
    <r>
      <rPr>
        <sz val="11"/>
        <rFont val="맑은 고딕"/>
        <family val="3"/>
        <charset val="129"/>
      </rPr>
      <t>을 우선적으로 제거</t>
    </r>
    <phoneticPr fontId="5" type="noConversion"/>
  </si>
  <si>
    <t>구분</t>
    <phoneticPr fontId="5" type="noConversion"/>
  </si>
  <si>
    <t>상</t>
    <phoneticPr fontId="5" type="noConversion"/>
  </si>
  <si>
    <t>중</t>
    <phoneticPr fontId="5" type="noConversion"/>
  </si>
  <si>
    <t>하</t>
    <phoneticPr fontId="5" type="noConversion"/>
  </si>
  <si>
    <t>구분</t>
    <phoneticPr fontId="1" type="noConversion"/>
  </si>
  <si>
    <t>점수</t>
    <phoneticPr fontId="5" type="noConversion"/>
  </si>
  <si>
    <t>DoA</t>
    <phoneticPr fontId="5" type="noConversion"/>
  </si>
  <si>
    <t>No</t>
    <phoneticPr fontId="5" type="noConversion"/>
  </si>
  <si>
    <t>자산정보</t>
    <phoneticPr fontId="5" type="noConversion"/>
  </si>
  <si>
    <t>자산평가</t>
    <phoneticPr fontId="5" type="noConversion"/>
  </si>
  <si>
    <t>HostName (Instance)</t>
    <phoneticPr fontId="5" type="noConversion"/>
  </si>
  <si>
    <t>O/S</t>
    <phoneticPr fontId="5" type="noConversion"/>
  </si>
  <si>
    <t xml:space="preserve"> IP</t>
    <phoneticPr fontId="5" type="noConversion"/>
  </si>
  <si>
    <t>용도</t>
    <phoneticPr fontId="5" type="noConversion"/>
  </si>
  <si>
    <t>담당부서</t>
    <phoneticPr fontId="1" type="noConversion"/>
  </si>
  <si>
    <t>담당자</t>
    <phoneticPr fontId="1" type="noConversion"/>
  </si>
  <si>
    <t>C</t>
    <phoneticPr fontId="5" type="noConversion"/>
  </si>
  <si>
    <t>I</t>
    <phoneticPr fontId="5" type="noConversion"/>
  </si>
  <si>
    <t>A</t>
    <phoneticPr fontId="5" type="noConversion"/>
  </si>
  <si>
    <t>등급</t>
  </si>
  <si>
    <t>WINDOWS(샘플)</t>
    <phoneticPr fontId="5" type="noConversion"/>
  </si>
  <si>
    <t>127.0.0.1</t>
    <phoneticPr fontId="5" type="noConversion"/>
  </si>
  <si>
    <t>파일 서버 용도</t>
    <phoneticPr fontId="5" type="noConversion"/>
  </si>
  <si>
    <t>시스템운영팀</t>
    <phoneticPr fontId="1" type="noConversion"/>
  </si>
  <si>
    <t>김담당</t>
    <phoneticPr fontId="1" type="noConversion"/>
  </si>
  <si>
    <t>127.0.0.1</t>
  </si>
  <si>
    <t>파일 서버 용도</t>
  </si>
  <si>
    <t>시스템운영팀</t>
  </si>
  <si>
    <t>김담당</t>
  </si>
  <si>
    <t>상</t>
  </si>
  <si>
    <t>구분</t>
  </si>
  <si>
    <t>보안 관리</t>
    <phoneticPr fontId="5" type="noConversion"/>
  </si>
  <si>
    <t>사용자 인증</t>
    <phoneticPr fontId="5" type="noConversion"/>
  </si>
  <si>
    <t>패치 관리</t>
    <phoneticPr fontId="5" type="noConversion"/>
  </si>
  <si>
    <t>계</t>
  </si>
  <si>
    <t>◈ 점검 영역별 보안수준</t>
    <phoneticPr fontId="1" type="noConversion"/>
  </si>
  <si>
    <t>점검 결과</t>
  </si>
  <si>
    <t>점검 점수</t>
    <phoneticPr fontId="1" type="noConversion"/>
  </si>
  <si>
    <t>전체항목</t>
  </si>
  <si>
    <t>점검항목</t>
  </si>
  <si>
    <t>양호</t>
  </si>
  <si>
    <t>취약</t>
  </si>
  <si>
    <t>해당없음</t>
  </si>
  <si>
    <t>전체점수</t>
  </si>
  <si>
    <t>보안수준</t>
  </si>
  <si>
    <r>
      <t xml:space="preserve">◈ </t>
    </r>
    <r>
      <rPr>
        <b/>
        <sz val="12"/>
        <rFont val="맑은 고딕"/>
        <family val="3"/>
        <charset val="129"/>
      </rPr>
      <t>점검 영역별 보안수준 그래프</t>
    </r>
    <phoneticPr fontId="5" type="noConversion"/>
  </si>
  <si>
    <t>◈ 장비별 보안수준</t>
    <phoneticPr fontId="5" type="noConversion"/>
  </si>
  <si>
    <t>Host 명</t>
  </si>
  <si>
    <t>중요도</t>
    <phoneticPr fontId="5" type="noConversion"/>
  </si>
  <si>
    <t>점검통계</t>
  </si>
  <si>
    <t>분류</t>
    <phoneticPr fontId="5" type="noConversion"/>
  </si>
  <si>
    <t>항목코드</t>
    <phoneticPr fontId="1" type="noConversion"/>
  </si>
  <si>
    <t>점검 항목</t>
  </si>
  <si>
    <t>전체항목</t>
    <phoneticPr fontId="5" type="noConversion"/>
  </si>
  <si>
    <t>양호</t>
    <phoneticPr fontId="5" type="noConversion"/>
  </si>
  <si>
    <t>취약</t>
    <phoneticPr fontId="5" type="noConversion"/>
  </si>
  <si>
    <t>해당없음</t>
    <phoneticPr fontId="5" type="noConversion"/>
  </si>
  <si>
    <t>보안 관리</t>
  </si>
  <si>
    <t>중</t>
  </si>
  <si>
    <t>하</t>
  </si>
  <si>
    <t>사용자 인증</t>
  </si>
  <si>
    <t>패치 관리</t>
  </si>
  <si>
    <t>전체항목 합계</t>
    <phoneticPr fontId="5" type="noConversion"/>
  </si>
  <si>
    <t>N/A</t>
    <phoneticPr fontId="5" type="noConversion"/>
  </si>
  <si>
    <t>취약</t>
    <phoneticPr fontId="1" type="noConversion"/>
  </si>
  <si>
    <t>N/A</t>
    <phoneticPr fontId="1" type="noConversion"/>
  </si>
  <si>
    <t>◈ 항목별 취약 시스템 목록</t>
    <phoneticPr fontId="5" type="noConversion"/>
  </si>
  <si>
    <t>취약점이 발견된 시스템</t>
    <phoneticPr fontId="5" type="noConversion"/>
  </si>
  <si>
    <t>항목코드</t>
    <phoneticPr fontId="5" type="noConversion"/>
  </si>
  <si>
    <t>신규</t>
    <phoneticPr fontId="5" type="noConversion"/>
  </si>
  <si>
    <t>조치</t>
    <phoneticPr fontId="5" type="noConversion"/>
  </si>
  <si>
    <t>미조치</t>
    <phoneticPr fontId="5" type="noConversion"/>
  </si>
  <si>
    <t>통계</t>
    <phoneticPr fontId="5" type="noConversion"/>
  </si>
  <si>
    <t>그외</t>
    <phoneticPr fontId="5" type="noConversion"/>
  </si>
  <si>
    <t>1. 텍스트파일 인코딩이 "ANSI"인 경우에만 오류없이 가져올 수 있음, "UTF-8 X"</t>
    <phoneticPr fontId="5" type="noConversion"/>
  </si>
  <si>
    <t>2. 텍스트파일은 한 개만 선택 가능하며 입력된 host명을 따라 자동 입력됨</t>
    <phoneticPr fontId="5" type="noConversion"/>
  </si>
  <si>
    <t>3. 텍스트파일명에 host명이 포함되어 있어야 함</t>
    <phoneticPr fontId="5" type="noConversion"/>
  </si>
  <si>
    <t>4. 텍스트파일 경로에 host명을 포함한 경로가 있으면 안됨</t>
    <phoneticPr fontId="5" type="noConversion"/>
  </si>
  <si>
    <t>호스트명</t>
    <phoneticPr fontId="1" type="noConversion"/>
  </si>
  <si>
    <t>항목명</t>
    <phoneticPr fontId="1" type="noConversion"/>
  </si>
  <si>
    <t>hostname</t>
    <phoneticPr fontId="1" type="noConversion"/>
  </si>
  <si>
    <t>no</t>
    <phoneticPr fontId="1" type="noConversion"/>
  </si>
  <si>
    <t>자산 현황</t>
    <phoneticPr fontId="1" type="noConversion"/>
  </si>
  <si>
    <t>비고</t>
    <phoneticPr fontId="34" type="noConversion"/>
  </si>
  <si>
    <t>Host Name
(Instance)</t>
    <phoneticPr fontId="1" type="noConversion"/>
  </si>
  <si>
    <t>O/S</t>
    <phoneticPr fontId="1" type="noConversion"/>
  </si>
  <si>
    <t>IP 주소</t>
    <phoneticPr fontId="1" type="noConversion"/>
  </si>
  <si>
    <t>용도</t>
    <phoneticPr fontId="1" type="noConversion"/>
  </si>
  <si>
    <t>자산중요도</t>
    <phoneticPr fontId="1" type="noConversion"/>
  </si>
  <si>
    <t>항목중요도</t>
    <phoneticPr fontId="1" type="noConversion"/>
  </si>
  <si>
    <t>점검
결과</t>
    <phoneticPr fontId="1" type="noConversion"/>
  </si>
  <si>
    <t>현황</t>
    <phoneticPr fontId="34" type="noConversion"/>
  </si>
  <si>
    <t>개선대책
(대체보안수단)</t>
    <phoneticPr fontId="1" type="noConversion"/>
  </si>
  <si>
    <t>양호</t>
    <phoneticPr fontId="1" type="noConversion"/>
  </si>
  <si>
    <t>◈ 자산평가 결과</t>
    <phoneticPr fontId="34" type="noConversion"/>
  </si>
  <si>
    <t>Host Name</t>
    <phoneticPr fontId="34" type="noConversion"/>
  </si>
  <si>
    <t>IP Address</t>
    <phoneticPr fontId="34" type="noConversion"/>
  </si>
  <si>
    <t>O/S</t>
    <phoneticPr fontId="34" type="noConversion"/>
  </si>
  <si>
    <t>용도</t>
    <phoneticPr fontId="34" type="noConversion"/>
  </si>
  <si>
    <t>담당부서</t>
    <phoneticPr fontId="34" type="noConversion"/>
  </si>
  <si>
    <t>자산등급</t>
    <phoneticPr fontId="34" type="noConversion"/>
  </si>
  <si>
    <t>보안수준</t>
    <phoneticPr fontId="1" type="noConversion"/>
  </si>
  <si>
    <t>O 보안 수준 계산(숨김)</t>
    <phoneticPr fontId="34" type="noConversion"/>
  </si>
  <si>
    <t>분류</t>
    <phoneticPr fontId="34" type="noConversion"/>
  </si>
  <si>
    <t>항목 통계</t>
    <phoneticPr fontId="34" type="noConversion"/>
  </si>
  <si>
    <t>점검 점수</t>
  </si>
  <si>
    <t>전체</t>
    <phoneticPr fontId="34" type="noConversion"/>
  </si>
  <si>
    <t>점검</t>
  </si>
  <si>
    <t>양호</t>
    <phoneticPr fontId="34" type="noConversion"/>
  </si>
  <si>
    <t>취약</t>
    <phoneticPr fontId="34" type="noConversion"/>
  </si>
  <si>
    <t>해당없음</t>
    <phoneticPr fontId="34" type="noConversion"/>
  </si>
  <si>
    <t>전체점수</t>
    <phoneticPr fontId="34" type="noConversion"/>
  </si>
  <si>
    <t>보안수준</t>
    <phoneticPr fontId="34" type="noConversion"/>
  </si>
  <si>
    <t>전체 보안 수준</t>
    <phoneticPr fontId="5" type="noConversion"/>
  </si>
  <si>
    <t>◈ 상세 점검 결과</t>
    <phoneticPr fontId="34" type="noConversion"/>
  </si>
  <si>
    <t>중요도 값</t>
    <phoneticPr fontId="1" type="noConversion"/>
  </si>
  <si>
    <t>현황 및 문제점</t>
    <phoneticPr fontId="34" type="noConversion"/>
  </si>
  <si>
    <t>개선방안 및 보호대책</t>
    <phoneticPr fontId="34" type="noConversion"/>
  </si>
  <si>
    <t>시트의 가장 마지막에 위치시키세요.</t>
  </si>
  <si>
    <t>본 보고서는 취약점 점검 결과에 대한 보고서입니다. 따라서 본 보고서와 "보안 가이드"를 함께 참고하여 취약점이 도출된 항목에 대해 취약점을 제거 함으로써 해당 자산의 보안 강화를 목적으로 합니다.</t>
    <phoneticPr fontId="5" type="noConversion"/>
  </si>
  <si>
    <t>2. 보안수준 평가</t>
    <phoneticPr fontId="5" type="noConversion"/>
  </si>
  <si>
    <t>• 항목 중요도 : 진단 항목의 중요도 값
• N(가중치) : 진단결과가 양호일 경우 1로 설정, 취약일 경우 0으로 설정</t>
    <phoneticPr fontId="1" type="noConversion"/>
  </si>
  <si>
    <t>2.2 현황점수 분포</t>
    <phoneticPr fontId="1" type="noConversion"/>
  </si>
  <si>
    <t>진단 결과</t>
    <phoneticPr fontId="5" type="noConversion"/>
  </si>
  <si>
    <t>상(5)</t>
    <phoneticPr fontId="1" type="noConversion"/>
  </si>
  <si>
    <t>상(4)</t>
    <phoneticPr fontId="1" type="noConversion"/>
  </si>
  <si>
    <t>중(3)</t>
    <phoneticPr fontId="1" type="noConversion"/>
  </si>
  <si>
    <t>하(2)</t>
    <phoneticPr fontId="1" type="noConversion"/>
  </si>
  <si>
    <t>하(1)</t>
    <phoneticPr fontId="1" type="noConversion"/>
  </si>
  <si>
    <t>취약
(취약점 발견)</t>
    <phoneticPr fontId="1" type="noConversion"/>
  </si>
  <si>
    <t>0점</t>
    <phoneticPr fontId="1" type="noConversion"/>
  </si>
  <si>
    <t>2.3 보안지수 계산</t>
    <phoneticPr fontId="1" type="noConversion"/>
  </si>
  <si>
    <t>보안지수(%) =       X 100</t>
    <phoneticPr fontId="1" type="noConversion"/>
  </si>
  <si>
    <t>• A(현황점수) : 식별된 양호 항목의 점수 합
• B(전체점수) : N/A를 제외한 평가항목의 점수 합</t>
    <phoneticPr fontId="1" type="noConversion"/>
  </si>
  <si>
    <t>2.4 보안등급 분류</t>
    <phoneticPr fontId="1" type="noConversion"/>
  </si>
  <si>
    <t>보안등급</t>
    <phoneticPr fontId="5" type="noConversion"/>
  </si>
  <si>
    <t>보안 지수</t>
    <phoneticPr fontId="5" type="noConversion"/>
  </si>
  <si>
    <t>보안 수준</t>
    <phoneticPr fontId="5" type="noConversion"/>
  </si>
  <si>
    <t>우수</t>
    <phoneticPr fontId="5" type="noConversion"/>
  </si>
  <si>
    <t>90% ≤ Z ≤ 100%</t>
    <phoneticPr fontId="1" type="noConversion"/>
  </si>
  <si>
    <r>
      <rPr>
        <sz val="10"/>
        <rFont val="Calibri"/>
        <family val="3"/>
      </rPr>
      <t xml:space="preserve"> “</t>
    </r>
    <r>
      <rPr>
        <sz val="10"/>
        <rFont val="맑은 고딕"/>
        <family val="3"/>
        <charset val="129"/>
        <scheme val="major"/>
      </rPr>
      <t>금융분야</t>
    </r>
    <r>
      <rPr>
        <sz val="10"/>
        <rFont val="Calibri"/>
        <family val="3"/>
      </rPr>
      <t xml:space="preserve"> </t>
    </r>
    <r>
      <rPr>
        <sz val="10"/>
        <rFont val="맑은 고딕"/>
        <family val="3"/>
        <charset val="129"/>
        <scheme val="major"/>
      </rPr>
      <t>취약점</t>
    </r>
    <r>
      <rPr>
        <sz val="10"/>
        <rFont val="Calibri"/>
        <family val="3"/>
      </rPr>
      <t xml:space="preserve"> </t>
    </r>
    <r>
      <rPr>
        <sz val="10"/>
        <rFont val="맑은 고딕"/>
        <family val="3"/>
        <charset val="129"/>
        <scheme val="major"/>
      </rPr>
      <t>분석</t>
    </r>
    <r>
      <rPr>
        <sz val="10"/>
        <rFont val="Calibri"/>
        <family val="3"/>
      </rPr>
      <t>·</t>
    </r>
    <r>
      <rPr>
        <sz val="10"/>
        <rFont val="맑은 고딕"/>
        <family val="3"/>
        <charset val="129"/>
        <scheme val="major"/>
      </rPr>
      <t>평가</t>
    </r>
    <r>
      <rPr>
        <sz val="10"/>
        <rFont val="Calibri"/>
        <family val="3"/>
      </rPr>
      <t xml:space="preserve"> </t>
    </r>
    <r>
      <rPr>
        <sz val="10"/>
        <rFont val="맑은 고딕"/>
        <family val="3"/>
        <charset val="129"/>
        <scheme val="major"/>
      </rPr>
      <t>기준”</t>
    </r>
    <r>
      <rPr>
        <sz val="10"/>
        <rFont val="Calibri"/>
        <family val="3"/>
      </rPr>
      <t xml:space="preserve"> </t>
    </r>
    <r>
      <rPr>
        <sz val="10"/>
        <rFont val="맑은 고딕"/>
        <family val="3"/>
        <charset val="129"/>
        <scheme val="major"/>
      </rPr>
      <t>요구사항에</t>
    </r>
    <r>
      <rPr>
        <sz val="10"/>
        <rFont val="Calibri"/>
        <family val="3"/>
      </rPr>
      <t xml:space="preserve"> </t>
    </r>
    <r>
      <rPr>
        <sz val="10"/>
        <rFont val="맑은 고딕"/>
        <family val="3"/>
        <charset val="129"/>
        <scheme val="major"/>
      </rPr>
      <t>준수하는</t>
    </r>
    <r>
      <rPr>
        <sz val="10"/>
        <rFont val="Calibri"/>
        <family val="3"/>
      </rPr>
      <t xml:space="preserve"> </t>
    </r>
    <r>
      <rPr>
        <sz val="10"/>
        <rFont val="맑은 고딕"/>
        <family val="3"/>
        <charset val="129"/>
        <scheme val="major"/>
      </rPr>
      <t>정보보호</t>
    </r>
    <r>
      <rPr>
        <sz val="10"/>
        <rFont val="Calibri"/>
        <family val="3"/>
      </rPr>
      <t xml:space="preserve"> </t>
    </r>
    <r>
      <rPr>
        <sz val="10"/>
        <rFont val="맑은 고딕"/>
        <family val="3"/>
        <charset val="129"/>
        <scheme val="major"/>
      </rPr>
      <t>통제가</t>
    </r>
    <r>
      <rPr>
        <sz val="10"/>
        <rFont val="Calibri"/>
        <family val="3"/>
      </rPr>
      <t xml:space="preserve"> </t>
    </r>
    <r>
      <rPr>
        <sz val="10"/>
        <rFont val="맑은 고딕"/>
        <family val="3"/>
        <charset val="129"/>
        <scheme val="major"/>
      </rPr>
      <t>잘</t>
    </r>
    <r>
      <rPr>
        <sz val="10"/>
        <rFont val="Calibri"/>
        <family val="3"/>
      </rPr>
      <t xml:space="preserve"> </t>
    </r>
    <r>
      <rPr>
        <sz val="10"/>
        <rFont val="맑은 고딕"/>
        <family val="3"/>
        <charset val="129"/>
        <scheme val="major"/>
      </rPr>
      <t>실행되며</t>
    </r>
    <r>
      <rPr>
        <sz val="10"/>
        <rFont val="Calibri"/>
        <family val="3"/>
      </rPr>
      <t xml:space="preserve">, </t>
    </r>
    <r>
      <rPr>
        <sz val="10"/>
        <rFont val="맑은 고딕"/>
        <family val="3"/>
        <charset val="129"/>
        <scheme val="major"/>
      </rPr>
      <t>이를</t>
    </r>
    <r>
      <rPr>
        <sz val="10"/>
        <rFont val="Calibri"/>
        <family val="3"/>
      </rPr>
      <t xml:space="preserve"> </t>
    </r>
    <r>
      <rPr>
        <sz val="10"/>
        <rFont val="맑은 고딕"/>
        <family val="3"/>
        <charset val="129"/>
        <scheme val="major"/>
      </rPr>
      <t>증빙할</t>
    </r>
    <r>
      <rPr>
        <sz val="10"/>
        <rFont val="Calibri"/>
        <family val="3"/>
      </rPr>
      <t xml:space="preserve"> </t>
    </r>
    <r>
      <rPr>
        <sz val="10"/>
        <rFont val="맑은 고딕"/>
        <family val="3"/>
        <charset val="129"/>
        <scheme val="major"/>
      </rPr>
      <t>수</t>
    </r>
    <r>
      <rPr>
        <sz val="10"/>
        <rFont val="Calibri"/>
        <family val="3"/>
      </rPr>
      <t xml:space="preserve"> </t>
    </r>
    <r>
      <rPr>
        <sz val="10"/>
        <rFont val="맑은 고딕"/>
        <family val="3"/>
        <charset val="129"/>
        <scheme val="major"/>
      </rPr>
      <t>있는</t>
    </r>
    <r>
      <rPr>
        <sz val="10"/>
        <rFont val="Calibri"/>
        <family val="3"/>
      </rPr>
      <t xml:space="preserve"> </t>
    </r>
    <r>
      <rPr>
        <sz val="10"/>
        <rFont val="맑은 고딕"/>
        <family val="3"/>
        <charset val="129"/>
        <scheme val="major"/>
      </rPr>
      <t>수준</t>
    </r>
    <phoneticPr fontId="5" type="noConversion"/>
  </si>
  <si>
    <t>80% ≤ Z ≤ 90%</t>
    <phoneticPr fontId="1" type="noConversion"/>
  </si>
  <si>
    <t>“금융분야 취약점 분석·평가 기준” 요구사항에 준수하는 정보보호 통제가 대체로 실행되고 있으며, 이에 대해   증빙할 수 있는 수준</t>
    <phoneticPr fontId="5" type="noConversion"/>
  </si>
  <si>
    <t>보통</t>
    <phoneticPr fontId="1" type="noConversion"/>
  </si>
  <si>
    <t>70% ≤ Z ≤ 80%</t>
    <phoneticPr fontId="1" type="noConversion"/>
  </si>
  <si>
    <t>“금융분야 취약점 분석·평가 기준” 요구사항에 준수하는 정보보호 통제가 부분적으로 실행 중이며, 이에 대해   증빙이 어느정도 가능한 수준</t>
    <phoneticPr fontId="5" type="noConversion"/>
  </si>
  <si>
    <t>60% ≤ Z ≤ 70%</t>
    <phoneticPr fontId="1" type="noConversion"/>
  </si>
  <si>
    <t>“금융분야 취약점 분석·평가 기준” 요구사항에 준수하는 정보보호 통제가 일부분만 실행 중이며, 이에 대해     증빙이 어느정도 가능한 수준</t>
    <phoneticPr fontId="5" type="noConversion"/>
  </si>
  <si>
    <t>0% ≤ Z ≤ 60%</t>
    <phoneticPr fontId="5" type="noConversion"/>
  </si>
  <si>
    <t>“금융분야취약점 분석·평가 기준” 요구사항에 준수하는 정보보호 통제가 미약하거나 준수되지 않고 있으며, 이에 대해 증빙할 수 없는 수준</t>
    <phoneticPr fontId="5" type="noConversion"/>
  </si>
  <si>
    <t>3. 취약점 제거 방안</t>
    <phoneticPr fontId="5" type="noConversion"/>
  </si>
  <si>
    <t>◈ 통합 점검결과</t>
    <phoneticPr fontId="5" type="noConversion"/>
  </si>
  <si>
    <t>◈ 전년도 올해 결과 비교</t>
    <phoneticPr fontId="5" type="noConversion"/>
  </si>
  <si>
    <t>◈ 전년도 점검 결과</t>
    <phoneticPr fontId="5" type="noConversion"/>
  </si>
  <si>
    <t>◈ 요약 통계</t>
    <phoneticPr fontId="5" type="noConversion"/>
  </si>
  <si>
    <t>현황점수</t>
    <phoneticPr fontId="1" type="noConversion"/>
  </si>
  <si>
    <t>◈ 보안등급 평가 결과</t>
    <phoneticPr fontId="1" type="noConversion"/>
  </si>
  <si>
    <t>진단대수</t>
    <phoneticPr fontId="1" type="noConversion"/>
  </si>
  <si>
    <t>점검항목</t>
    <phoneticPr fontId="1" type="noConversion"/>
  </si>
  <si>
    <t>전체점수(B)</t>
    <phoneticPr fontId="1" type="noConversion"/>
  </si>
  <si>
    <t>현황점수(A)</t>
    <phoneticPr fontId="1" type="noConversion"/>
  </si>
  <si>
    <t>보안지수</t>
    <phoneticPr fontId="1" type="noConversion"/>
  </si>
  <si>
    <t>보안등급</t>
    <phoneticPr fontId="1" type="noConversion"/>
  </si>
  <si>
    <t>현황점수</t>
    <phoneticPr fontId="34" type="noConversion"/>
  </si>
  <si>
    <t>WINDOWS</t>
    <phoneticPr fontId="5" type="noConversion"/>
  </si>
  <si>
    <r>
      <rPr>
        <b/>
        <i/>
        <sz val="20"/>
        <color rgb="FFFF0000"/>
        <rFont val="맑은 고딕"/>
        <family val="3"/>
        <charset val="129"/>
        <scheme val="minor"/>
      </rPr>
      <t>기관명</t>
    </r>
    <r>
      <rPr>
        <b/>
        <sz val="20"/>
        <color rgb="FFFFFFFF"/>
        <rFont val="맑은 고딕"/>
        <family val="3"/>
        <charset val="129"/>
        <scheme val="minor"/>
      </rPr>
      <t xml:space="preserve">
</t>
    </r>
    <r>
      <rPr>
        <b/>
        <sz val="18"/>
        <color rgb="FFFFFFFF"/>
        <rFont val="맑은 고딕"/>
        <family val="3"/>
        <charset val="129"/>
        <scheme val="minor"/>
      </rPr>
      <t>WINDOWS 서버 취약점 점검 상세 결과보고서</t>
    </r>
    <phoneticPr fontId="1" type="noConversion"/>
  </si>
  <si>
    <t>미흡</t>
    <phoneticPr fontId="1" type="noConversion"/>
  </si>
  <si>
    <t>이 보고서의 저작권은 ㈜린시큐어에 있음. 저작권법에 의해 보호받는 저작물이므로 어떠한 형태로든 무단전재 및 복제를 금함. 본 보고서의 내용에 대해서 ㈜린시큐어의 문서상 동의 없이는, 전체 혹은 부분적으로도 인용이 불가함을 알리며 동의 없이 사용할 시는 관련법에 의해 처벌받을 수 있음.</t>
    <phoneticPr fontId="5" type="noConversion"/>
  </si>
  <si>
    <t>WINDOWS(샘플)_이행</t>
    <phoneticPr fontId="5" type="noConversion"/>
  </si>
  <si>
    <t>SRV-171</t>
    <phoneticPr fontId="1" type="noConversion"/>
  </si>
  <si>
    <t>SRV-172</t>
    <phoneticPr fontId="1" type="noConversion"/>
  </si>
  <si>
    <t>불필요한 시스템 자원 공유 존재</t>
    <phoneticPr fontId="1" type="noConversion"/>
  </si>
  <si>
    <t>SRV-173</t>
    <phoneticPr fontId="1" type="noConversion"/>
  </si>
  <si>
    <t>DNS 서비스의 취약한 동적 업데이트 설정</t>
    <phoneticPr fontId="1" type="noConversion"/>
  </si>
  <si>
    <t>SRV-174</t>
    <phoneticPr fontId="1" type="noConversion"/>
  </si>
  <si>
    <t>불필요한 DNS 서비스 실행</t>
    <phoneticPr fontId="1" type="noConversion"/>
  </si>
  <si>
    <t>SRV-175</t>
    <phoneticPr fontId="1" type="noConversion"/>
  </si>
  <si>
    <t>NTP 및 시각 동기화 미설정</t>
    <phoneticPr fontId="1" type="noConversion"/>
  </si>
  <si>
    <t>SNMP 서비스가 활성화되어 있으며, SNMP community string을 “public, private"를 사용하거나, 복잡도를 만족하지 않음</t>
    <phoneticPr fontId="1" type="noConversion"/>
  </si>
  <si>
    <t>안전한 네트워크 모니터링 서비스 사용</t>
  </si>
  <si>
    <t>네트워크 모니터링 서비스 접근 통제 설정</t>
  </si>
  <si>
    <t>불필요한 네트워크 모니터링 서비스 실행</t>
  </si>
  <si>
    <t>o  네트워크 모니터링 서비스의 보안 설정이 미비할 경우 데이터 변조, 도청 및 중간자 공격으로 시스템 정보 및 상태정보가 유출될 가능성이 존재하므로 프로토콜에 따라 알맞은 버전 및 안전한 보안설정을 적용하여 사용하고 있는지 여부를 점검</t>
  </si>
  <si>
    <t>o 네트워크 모니터링 서비스는 네트워크 관리 및 네트워크 장치의 동작을 감시/통할하는 서비스로, 네트워크 모니터링 서비스를 사용할 수 있는 호스트를 특정하여 접근통제를 수행하고 있는지 점검</t>
  </si>
  <si>
    <t>o FTP에 대한 적절한 접근통제 정책 미적용 시 비인가자에게 시스템 파일이 노출될 수 있으므로 FTP 접근 제어 설정의 적절성 여부를 점검</t>
  </si>
  <si>
    <t>o FTP는 파일을 전송하기 위한 프로토콜로 계정과 패스워드를 암호화하지 않고 평문 전송을 하여 네트워크 스니핑의 위협이 존재하므로, 해당 서비스가 추가 보안 수단 없이 취약하게 실행되고 있는지 점검 
※ 단, 업무상 필요하여 FTPS를 활용하는 등 통신 암호화를 위한 별도의 보안수단이 적용되는지 확인 후 예외 처리</t>
  </si>
  <si>
    <t>o 공개된 취약점에 의한 침해를 방지하고, 시스템에 대한 안전성 향상을 위해 최신/긴급 패치에 대한 검토, 계획 수립, 계획에 따른 이행(또는 보호방안 수립) 여부를 점검
o 취약한 버전의 웹 서비스(WEB/WAS) 사용 여부 등을 점검 
o EOS 장비 사용 여부 점검 
* EOS의 경우 별도의 계약으로 벤더사의 보안패치를 받을 수 있거나 EOS 장비 교체 계획을 수립하고 보고를 마친 경우 제외</t>
  </si>
  <si>
    <t>o 네트워크 모니터링 서비스는 시스템을 모니터링 하기 위한 서비스로서 불필요하게 운영할 경우 정보노출 위협이 존재하므로 불필요한 네트워크 모니터링 서비스는가 구동 중인지에 대한 점검</t>
  </si>
  <si>
    <t>o NTP는 컴퓨터 시스템 간에 시각 동기화를 위한 네트워킹 프로토콜로, 이벤트 발생 시 정확한 로그 분석이 필요하므로 NTP 설정 여부를 점검</t>
  </si>
  <si>
    <t>양호 - 보안설정이 적용된 네트워크 모니터링 서비스를 사용하는 경우
취약 - 보안설정이 적용되지 않은 네트워크 모니터링 서비스를 사용하는 경우</t>
  </si>
  <si>
    <t>* 양호 - 네트워크 모니터링 서비스의 접근 통제가 적절히 이루어 지고 있는 경우
* 취약 - 네트워크 모니터링 서비스의 접근 통제가 적절히 이루어 지고 있지 않은 경우</t>
  </si>
  <si>
    <t>서비스 목록에서 IIS, Webtob, Apache, Tomcat 등의 서비스를 확인 후, 해당 웹 서비스가 실제 사용 중인지 확인</t>
  </si>
  <si>
    <t>[ Tomcat ]
- Apache Tomcat 설정 파일을 확인하여 디폴트 계정과 비밀번호로 설정되어 있는지 점검
* 관리자 계정/패스워드가 tomcat/tomcat 혹은 tomcat/admin과 같이 디폴트로 설정되어있는지 확인
[ JEUS ]
 - 유추가능하지 않도록 JEUS 아이디 및 패스워드 변경</t>
  </si>
  <si>
    <t>* 양호 - 분기별 1회 이상 로그인 한 기록이 있고, 비밀번호를 변경하고 있는 경우
* 취약 - 분기별 1회 이상 로그인 한 기록이 없거나, 비밀번호를 변경하지 않은 경우
※ 업무상 사용 여부 확인 필요</t>
  </si>
  <si>
    <t>* 서비스 상태 조회 명령을 통한 확인
sc query SNMP
sc query winmgmt
* 직접 확인
시작 &gt; 실행 &gt; services.msc &gt; SNMP &gt; 속성에서 확인 
시작 &gt; 실행 &gt; services.msc &gt; Windows Management Instrumentation &gt; 속성에서 확인</t>
  </si>
  <si>
    <t>* 양호: 웹 서비스 응답에서 Server 헤더에 노출되는 정보와 상세 에러 메시지로 노출되는 정보를 제한하고 있을 경우
 * 취약: 웹 서비스 응답에서 Server 헤더에 노출되는 정보나, 상세 에러 메시지로 노출되는 정보를 제한하고 있지 않은 경우
 ※ 정보 노출: 서비스명 + 버전 정보가 노출되는 경우 취약</t>
  </si>
  <si>
    <t>[ IIS ]
 1. 서버 헤더 노출 정보 점검
  (1) IIS 6.0 이하 (UrlScan 설정 파일 점검)
  - UrlScan을 적용하여 Server 응답 헤더 노출 정보를 통제하고 있는지 점검
 * UrlScan을 설치하고 설정 파일인 URLScan.ini 파일에 RemoveServerHeader 값을 1로 설정하였으면 양호
  (2) IIS 7.0 이상 (iis 설정 파일 점검)
  - Rewrite 룰을 적용하여 Server 헤더 노출 정보를 제한하고 있는지 확인
 &lt;rewrite&gt;  
  &lt;outboundRules rewriteBeforeCache="true"&gt;
  &lt;rule name="Remove Server header"&gt;
  &lt;match serverVariable="RESPONSE_Server" pattern=".*" /&gt;
  &lt;action type="Rewrite" value="" /&gt;
  &lt;/rule&gt;
  &lt;/outboundRules&gt;
 &lt;/rewrite&gt;
 위와 같이 Rewrite Rule로 Server 헤더 문자열을 정규표현식 /.*/ 패턴으로 매칭하여 특정 값(value="")으로 변경하여 노출되는 정보를 제한하고 있으면 양호
 (3) IIS 10.0 이상 (iis 설정 파일 점검)
 - removeServerHeader 옵션이 true로 설정되었는지 확인한다.
 &lt;security&gt;
  &lt;requestFiltering removeServerHeader ="true" /&gt;
 &lt;/security&gt;
 2. 상세 에러메시지 노출 점검
 * iis 설정 파일에서 httpErrors 구문 점검
  (1) 커스텀으로 설정 (양호)
 &lt;system.webServer&gt;
  &lt;httpErrors errorMode="Custom" /&gt;
 &lt;/system.webServer&gt;
  - 에러 페이지 설정이 커스텀으로 상세 메시지가 노출되지 않는 설정이다.
  (2) 로컬만 커스텀으로 설정(양호)
 &lt;system.webServer&gt;
  &lt;httpErrors errorMode="DetailedLocalOnly" /&gt;
 &lt;/system.webServer&gt;
  - 상세 에러 페이지가 로컬에서 접근했을 때만 보이고, 원격에서는 상세 메시지 없는 커스텀이므로 양호
  - 또한 이 설정이 디폴트이므로, errorMode 구문이 없다면 양호
 (3) 상세 메시지로 설정(취약)
 &lt;system.webServer&gt;
  &lt;httpErrors errorMode="Detailed" /&gt;
 &lt;/system.webServer&gt;
  - 원격 접근 시에도 상세 에러메시지가 출력되는 설정으로 취약</t>
  </si>
  <si>
    <t>* 양호: 불필요한 숨김 파일이 존재하지 않을 경우
* 취약: 불필요한 숨김 파일이 존재하는 경우</t>
  </si>
  <si>
    <t>(상) [보안 관리] W-38 화면보호기 설정</t>
  </si>
  <si>
    <t>[SNMPv2]
* Windows SNMP 서비스 속성창에서 실행 상태 및 Community string 확인
  - 제어판 &gt; 관리도구 &gt; 서비스 &gt;  SNMP 서비스 &gt; 속성 
    - 보안 탭에서 Community string이 기본값(public, private)을 사용하지 않고 비밀번호 복잡도(영문자, 숫자가 포함 10자리 이상 또는 영문자, 숫자, 특수문자 포함 8자리 이상)를 만족하는지 확인 
[WMI]
* Windows _x0008_WMI 서비스 속성창에서 실행 상태 확인
  - 제어판 &gt; 관리도구 &gt; 서비스 &gt;  Windows Management Instrumentation &gt; 속성 
* DCOM 보안 설정 확인 
  - 실행(Windows+r) &gt; dcomcnfg &gt; 구성 요소 서비스 &gt; 컴퓨터 &gt; 속성 
    - 기본 속성 탭에서 기본 인증 수준이 는 "패킷 개인정보(Packet Privacy)" 속성으로 설정 되어 있는지 확인 
    - 기본 속성 탭에서 기본 가장 수준이 "식별(Identify)"등 클라이언트의 권한을 사용할 수 없는 속성으로 설정 되어 있는지 확인 
* 로컬 보안 설정 확인 
  - 실행(Windows+r) &gt; gpedit.msc &gt; 로컬 컴퓨터 정책 &gt; 컴퓨터 구성 &gt; Windows 설정 &gt; 보안 설정 &gt; 로컬 정책 &gt; 보안 옵션 &gt; 네트워크 보안: LAN 관리자 인증 수준 
    - 로컬 보안 설정 탭에서 "NTLMv2 응답만 보내기 및 LM 및 NTLM은 거부" 등 NTLMv2를 사용하도록 설정되어 있는지 확인</t>
    <phoneticPr fontId="1" type="noConversion"/>
  </si>
  <si>
    <t>네트워크 모니터링 서비스 접근 통제 설정</t>
    <phoneticPr fontId="1" type="noConversion"/>
  </si>
  <si>
    <t xml:space="preserve">* 패치 관리 절차 및 증적 확인
 * 패치 정보
 - HKEY_LOCAL_MACHINE\SOFTWARE\Microsoft\Windows NT\CurrentVersion\CSDVersion 확인
 - wmic os get servicepackmajorversion 명령 결과 확인
 - winver 명령 실행 후 서비스팩 버전 확인
 - wmic qfe list 명령으로 패치 목록 확인
 - 보안 패치 사이트(Microsoft Windows Server 제품별 지원)
  - https://technet.microsoft.com/ko-kr/library/bb625087.aspx
[AIX]
IBM 사이트에서 적절한 패치 정보 및 패치 획득
(https://techsupport.services.ibm.com/rs6k/fixdb.html)
https://www.ibm.com/support/fixcentral 에서 제품 찾기
진행 후 패치 파일 확인 및 수정
[HP-UX]
매뉴얼 참고
https://community.hpe.com/hpeb/attachments/hpeb/hpsc-46/8777/1/5992-4583.pdf 및 swlist 명령어(root 권한) 을 통해 설치된 패치목록 획득
[Linux]
1. 각 linux 사이트에서 적절한 패치 정보 및 패치 획득 (레드햇(http://www.redhat.com/), wowlinux, etc )
2. rpm -qa -i 명령어를 통해 설치된 패치목록 획득
[Solaris]
https://support.oracle.com/portal/ 에서 지원 및 업데이트 정보 확인
Solaris 10 및 이전 버전 : ‘showrev -p’ 명령어를 통해 설치된 패치목록 획득
Solaris 11 이상 : “pkg list” 명령을 통해 설치된 모든 패키지와 버전 나열 후 “pkg info [package-name]” 명령으로 정보확인 
// 전체 시스템의 버전과 업데이트 수준을 표시하려면 “pkg info entire”
[Apache]
https://httpd.apache.org/security/vulnerabilities_24.html등 apache 관련 혹은 취약점 정보 홈페이지에서 취약한 버전의 웹 서비스인지 확인
[WebtoB]
https://technet.tmaxsoft.com/upload/download/online/webtob/pver-20150203-000001/release-note/index.html 등과 같은 릴리즈 노트에서 취약한 버전의 웹 서비스인지 확인
[Tomcat]
https://tomcat.apache.org/security-9.html 등과 같은 tomcat 사이트에서 취약한 버전의 웹 서비스인지 확인 및 업데이트 정보 확인
[IIS]
https://www.iis.net/ 에서 정보 확인
[ JEUS ]
아래 명령어를 통해 JEUS 버전 및 상세 버전 확인
$ jeusadmin -version
$ jeusadmin -fullversion
아래 명령어를 통해 JEUS 패치 정보를 확인
$ cd $JEUS_HOME/lib
$ ls jext jnext jlext jbext
</t>
    <phoneticPr fontId="1" type="noConversion"/>
  </si>
  <si>
    <t>2025.00.00.</t>
    <phoneticPr fontId="1" type="noConversion"/>
  </si>
  <si>
    <t>2025-01-00</t>
    <phoneticPr fontId="1" type="noConversion"/>
  </si>
  <si>
    <t>2.1 현황점수 계산</t>
    <phoneticPr fontId="1" type="noConversion"/>
  </si>
  <si>
    <t>현황항목 중요도</t>
    <phoneticPr fontId="5" type="noConversion"/>
  </si>
  <si>
    <t>현황점수 = 항목 중요도 X N</t>
    <phoneticPr fontId="1" type="noConversion"/>
  </si>
  <si>
    <t>안전한 네트워크 모니터링 서비스 사용</t>
    <phoneticPr fontId="1" type="noConversion"/>
  </si>
  <si>
    <t>안전한 네트워크 모니터링 서비스 사용</t>
    <phoneticPr fontId="1" type="noConversion"/>
  </si>
  <si>
    <t>네트워크 모니터링 서비스 접근 통제 설정</t>
    <phoneticPr fontId="1" type="noConversion"/>
  </si>
  <si>
    <t>[SNMP 사용 시]
1. 시작 &gt; 실행 &gt; services.msc &gt; SNMP Service &gt; 속성 &gt; 보안 탭에서 다음 호스트로부터 SNMP 패킷 받아들이기 설정 확인
2. HKLM\SYSTEM\CurrentControlSet\Services\SNMP\Parameters\PermittedManagers 설정값 확인
 (설정된 특정 호스트 존재할 시 양호,  미존재 시 취약) 
[WMI 사용 시] 
1. Windows 방화벽에서 WMI 서비스 포트(기본 TCP 135번 포트)에 대한 인바운드 규칙을 추가하고, WMI 모니터링 서버의 IP 주소만 허용하는지 확인</t>
    <phoneticPr fontId="1" type="noConversion"/>
  </si>
  <si>
    <t>[SNMP]
특정 호스트로부터만 SNMP 패킷 받아들이기로 설정
[WMI] 
Windows 방화벽에서 WMI 서비스 포트(기본 TCP 135번 포트)에 대한 인바운드 규칙을 추가하고, WMI 모니터링 서버의 IP 주소만 허용</t>
    <phoneticPr fontId="1" type="noConversion"/>
  </si>
  <si>
    <t>[SNMP]
SNMP 서비스를 비활성화하거나, 서비스를 사용하는 경우  SNMP community string 기본값을 사용하지 않고, 영문자,숫자 포함 10자리 이상 또는 영문자, 숫자, 특수문자 포함하여 8자리 이상으로 설정
[WMI]
WMI 서비스를 사용하는 경우
1. DCOM 보안 설정에 기본 인증 수준이 는 "패킷 개인정보(Packet Privacy)" 속성 및 기본 가장 수준이 "식별(Identify)"등 클라이언트의 권한을 사용할 수 없는 속성으로 설정 
혹은
2. 로컬 보안 설정 탭에서 "NTLMv2 응답만 보내기 및 LM 및 NTLM은 거부" 등 NTLMv2를 사용하도록 설정</t>
    <phoneticPr fontId="1" type="noConversion"/>
  </si>
  <si>
    <t>* 양호: 불필요한 네트워크 모니터링 서비스를 사용하지 않는 경우
* 취약: 불필요한 네트워크 모니터링 서비스가 실행 중인 경우</t>
    <phoneticPr fontId="1" type="noConversion"/>
  </si>
  <si>
    <t>불필요한 네트워크 모니터링 서비스 비활성화</t>
    <phoneticPr fontId="1" type="noConversion"/>
  </si>
  <si>
    <t>◈ 점검대상</t>
    <phoneticPr fontId="5" type="noConversion"/>
  </si>
  <si>
    <t>▣ 위협 분석 및 평가</t>
  </si>
  <si>
    <t>분 류</t>
  </si>
  <si>
    <t>T_code
(Threat)</t>
  </si>
  <si>
    <t>위협 항목</t>
  </si>
  <si>
    <t>내 용</t>
  </si>
  <si>
    <t>심각도
(H,M,L)</t>
  </si>
  <si>
    <t>발생빈도
(H,M,L)</t>
  </si>
  <si>
    <t>심각도
(점수)</t>
    <phoneticPr fontId="73" type="noConversion"/>
  </si>
  <si>
    <t>발생빈도
(점수)</t>
    <phoneticPr fontId="73" type="noConversion"/>
  </si>
  <si>
    <t>평가
점수</t>
    <phoneticPr fontId="5" type="noConversion"/>
  </si>
  <si>
    <t>위협등급</t>
    <phoneticPr fontId="73" type="noConversion"/>
  </si>
  <si>
    <t>위협도
(T_Value)</t>
    <phoneticPr fontId="73" type="noConversion"/>
  </si>
  <si>
    <t>일반적 재해(G)</t>
    <phoneticPr fontId="5" type="noConversion"/>
  </si>
  <si>
    <t>일반적 재해(G)</t>
    <phoneticPr fontId="5" type="noConversion"/>
  </si>
  <si>
    <t>TG-01</t>
  </si>
  <si>
    <t>보안 규정 부재 또는 미흡</t>
  </si>
  <si>
    <t>- 보안 정책/지침/절차 수립의 부재 또는 미흡
- 상위기관 규정 미준수로 인한 보안사고의 발생</t>
    <phoneticPr fontId="73" type="noConversion"/>
  </si>
  <si>
    <t>TG-02</t>
  </si>
  <si>
    <t>관리 및 운영 절차의 부재 또는 미흡</t>
  </si>
  <si>
    <t>- 운영/접근통제 절차 미흡/부재,
- 사후관리 절차 미흡/부재,
- 변경관리 절차 미흡,
- 검증/모니터링, 보고 절차 부재</t>
    <phoneticPr fontId="1" type="noConversion"/>
  </si>
  <si>
    <t>일반적 재해(G)</t>
    <phoneticPr fontId="5" type="noConversion"/>
  </si>
  <si>
    <t>TG-03</t>
  </si>
  <si>
    <t>인력 가용성 위반</t>
  </si>
  <si>
    <t>- 전문 인력 부족 및 부적절한 배치</t>
    <phoneticPr fontId="73" type="noConversion"/>
  </si>
  <si>
    <t>TG-04</t>
  </si>
  <si>
    <t>유지보수 미비</t>
  </si>
  <si>
    <t>- 유지보수 미계약.
- 유지보수 활동 미흡으로 인한 장애 
- 서비스 수준 협정(SLA)의 부족 또는 불충분</t>
    <phoneticPr fontId="73" type="noConversion"/>
  </si>
  <si>
    <t>TG-05</t>
  </si>
  <si>
    <t>자산관리 미흡</t>
  </si>
  <si>
    <t>- 자산목록 문서 부재
- 내부 자산의 목록 관리 미흡, 중요도, 책임자/관리자 미설정
- 자산의 통제 미흡으로 인한 도난, 분실 등</t>
    <phoneticPr fontId="73" type="noConversion"/>
  </si>
  <si>
    <t>TG-06</t>
  </si>
  <si>
    <t>금융사기 및 부정</t>
  </si>
  <si>
    <t>- 각종 금융사기 및 부정 행위</t>
    <phoneticPr fontId="1" type="noConversion"/>
  </si>
  <si>
    <t>TG-07</t>
  </si>
  <si>
    <t>사회공학적 침해
(사회공학적 공격)</t>
  </si>
  <si>
    <t>- 관리자/직원 사칭에 의한 정보 유출
- 타기관 사칭 및 외주직원에 의한 침해</t>
    <phoneticPr fontId="1" type="noConversion"/>
  </si>
  <si>
    <t>TG-08</t>
  </si>
  <si>
    <t>법 및 계약 요구사항</t>
  </si>
  <si>
    <t>- 법적 요구사항, 계약 상 지켜야 할 사항 인지 부족
- 법적 요구사항, 계약 조건에 대한 정보 부재</t>
    <phoneticPr fontId="1" type="noConversion"/>
  </si>
  <si>
    <t>TG-09</t>
  </si>
  <si>
    <t>자산 폐기 및 반출입 관리의 보호</t>
    <phoneticPr fontId="73" type="noConversion"/>
  </si>
  <si>
    <t>- PC 또는 서버 등 정보자산의 반출입 또는 폐기하였을 경우 사용자 전환 시 허가되지 않은 데이터 노출 발생</t>
    <phoneticPr fontId="73" type="noConversion"/>
  </si>
  <si>
    <t>TG-10</t>
  </si>
  <si>
    <t xml:space="preserve">외부 단말기의 물리적 통제 미흡 </t>
    <phoneticPr fontId="73" type="noConversion"/>
  </si>
  <si>
    <r>
      <t>- 재택근무에 사용되는 외부 단말기의 분실</t>
    </r>
    <r>
      <rPr>
        <sz val="10"/>
        <rFont val="MS Gothic"/>
        <family val="3"/>
        <charset val="128"/>
      </rPr>
      <t>･</t>
    </r>
    <r>
      <rPr>
        <sz val="10"/>
        <rFont val="맑은 고딕"/>
        <family val="3"/>
        <charset val="129"/>
      </rPr>
      <t>도난이나 타인의 정보 훔쳐보기 시 단말기 內 데이터가 유</t>
    </r>
    <r>
      <rPr>
        <sz val="10"/>
        <rFont val="MS Gothic"/>
        <family val="3"/>
        <charset val="128"/>
      </rPr>
      <t>･</t>
    </r>
    <r>
      <rPr>
        <sz val="10"/>
        <rFont val="맑은 고딕"/>
        <family val="3"/>
        <charset val="129"/>
      </rPr>
      <t>노출
- 외부 단말기를 통한 허가되지 않은 내부 네트워크 접근
- 악성코드에 감염된 외부 단말기로 내부 네트워크 연결 시 시스템 침해 가능</t>
    </r>
    <phoneticPr fontId="73" type="noConversion"/>
  </si>
  <si>
    <t>일반적 재해(G)</t>
  </si>
  <si>
    <t>TG-11</t>
  </si>
  <si>
    <t>공급망 관리 미흡</t>
  </si>
  <si>
    <t>- 회사에서 사용하는 핵심 소프트웨어, 시스템 등에 대해 특정 공급업체에 과도하게 의존할 경우, 공급업체의 파산, 계약 종료, 서비스 중단 등의 비상상황 발생 시 대체 방안 부재로 인해 업무 연속성 저해, 서비스 중단, 자산 손실 등의 피해 발생 가능</t>
    <phoneticPr fontId="1" type="noConversion"/>
  </si>
  <si>
    <t>TG-12</t>
  </si>
  <si>
    <t>정보의 검증 미흡</t>
  </si>
  <si>
    <t>- 회사 등에서 사용하게 되는 정보에 대해 검증 절차의 누락 또는 다중 검증 누락으로 인해 데이터의 유,노출이 발생
- 정보의 검증을 위해 사용 중인 제3의 기관이 침해 되어 정보의 무결성이 손상
- 전자정보(데이터, 전자문서 등)에 대한 비인가자의 임의 변경으로 데이터 무결성 침해</t>
    <phoneticPr fontId="1" type="noConversion"/>
  </si>
  <si>
    <t>TG-13</t>
  </si>
  <si>
    <t>사이버 공격 서비스</t>
  </si>
  <si>
    <t>- 기술과 AI의 발달로 사이버 범죄 수단이 서비스화(CaaS)되어 사이버 공격 진입장벽 완화</t>
    <phoneticPr fontId="1" type="noConversion"/>
  </si>
  <si>
    <t>TG-14</t>
  </si>
  <si>
    <t>오픈소스 공급자 검증 미흡</t>
  </si>
  <si>
    <t>- 검증되지 않은 오픈소스 소프트웨어 사용으로 인해 악성코드 감염 등 내부 시스템 침해 가능성 존재</t>
    <phoneticPr fontId="1" type="noConversion"/>
  </si>
  <si>
    <t>TG-15</t>
  </si>
  <si>
    <t>공격의 연계(이름 변경 예정)</t>
  </si>
  <si>
    <t>- 지정학적 불안 등으로 사이버 공격자들이 노리는 목표가 다양해지며, 목표에 도달하기 위한 다양한 우회 경로를 마련하기 위해 침해의 전염 등 다양한 방법을 시도 하고 있어 의도하지 않은 공격의 대상이 되어 피해를 받을 수 있음</t>
  </si>
  <si>
    <t>TG-16</t>
  </si>
  <si>
    <t>공동 대응 미흡</t>
  </si>
  <si>
    <t>- 사이버 위협 고도화로 단독 대응이 어려워지며, 탐지·분석·차단을 위한 전문기관과의 공동 대응 필요</t>
    <phoneticPr fontId="1" type="noConversion"/>
  </si>
  <si>
    <t>TG-17</t>
  </si>
  <si>
    <t>부족한 보안 지원</t>
  </si>
  <si>
    <t>- 현안 대응 우선으로 보안 지원이 소홀해지며, 자원 부족으로 알려진 공격조차 방어하지 못해 침해 및 서비스 중단 유발 가능</t>
    <phoneticPr fontId="1" type="noConversion"/>
  </si>
  <si>
    <t>TG-18</t>
  </si>
  <si>
    <t>서비스 제공 기업 모니터링</t>
  </si>
  <si>
    <t>- 신뢰된 제3자를 통한 소프트웨어 공급망 침투로 보안 사고 발생 위험이 존재</t>
    <phoneticPr fontId="1" type="noConversion"/>
  </si>
  <si>
    <t>TG-19</t>
  </si>
  <si>
    <t>위험의 전가</t>
  </si>
  <si>
    <t>- 사이버 보험 등 위험 전가 체계 미비로 인한 재정적 리스크 증가</t>
    <phoneticPr fontId="1" type="noConversion"/>
  </si>
  <si>
    <t>TG-20</t>
  </si>
  <si>
    <t>위험 관리</t>
    <phoneticPr fontId="1" type="noConversion"/>
  </si>
  <si>
    <t>- 정보시스템 자산에 대한 주기적 위험 분석 및 평가 미비로 인해 다양한 피해 유발</t>
    <phoneticPr fontId="1" type="noConversion"/>
  </si>
  <si>
    <t>TG-21</t>
  </si>
  <si>
    <t>회사와 보안의 불합치</t>
  </si>
  <si>
    <t>- 회사의 경영 목표와 보안 목표 간 정합성 부족으로 인해 보안 우선순위 하락 및 대응 역량 저하</t>
    <phoneticPr fontId="1" type="noConversion"/>
  </si>
  <si>
    <t>TG-22</t>
    <phoneticPr fontId="1" type="noConversion"/>
  </si>
  <si>
    <t>보안조직</t>
    <phoneticPr fontId="1" type="noConversion"/>
  </si>
  <si>
    <t>- 보안조직이 존재하지 않아 보안 정책 수립 및 이행이 체계적으로 이루어지지 않아 보안사고 발생</t>
    <phoneticPr fontId="1" type="noConversion"/>
  </si>
  <si>
    <t>H</t>
    <phoneticPr fontId="1" type="noConversion"/>
  </si>
  <si>
    <t>L</t>
    <phoneticPr fontId="1" type="noConversion"/>
  </si>
  <si>
    <t>TG-23</t>
    <phoneticPr fontId="1" type="noConversion"/>
  </si>
  <si>
    <t>인적보안</t>
    <phoneticPr fontId="1" type="noConversion"/>
  </si>
  <si>
    <t>- 주요직무자 식별, 서약서 작성, 교육, 퇴직 관리 등 입사에서 퇴사까지의 임직원에 대한 보안 활동 미흡으로 인한 보안사고 발생</t>
    <phoneticPr fontId="1" type="noConversion"/>
  </si>
  <si>
    <t>TG-24</t>
    <phoneticPr fontId="1" type="noConversion"/>
  </si>
  <si>
    <t>문서 및 기록의 보호</t>
    <phoneticPr fontId="1" type="noConversion"/>
  </si>
  <si>
    <t>- 보안관련 문서 및 기록 관리 미흡으로 보안사고 발생</t>
    <phoneticPr fontId="1" type="noConversion"/>
  </si>
  <si>
    <t>TG-25</t>
    <phoneticPr fontId="1" type="noConversion"/>
  </si>
  <si>
    <t>정보보호 활동</t>
  </si>
  <si>
    <t>- 범위 누락, 자산 누락 등 보안활동 범위 미식별로 인해 보안사고 발생
- 적절치 않은 정보보안 계획(대책) 및 예산 반영으로 효과적인 보안사고 예방 및 대응 실패</t>
    <phoneticPr fontId="1" type="noConversion"/>
  </si>
  <si>
    <t>M</t>
    <phoneticPr fontId="1" type="noConversion"/>
  </si>
  <si>
    <t>인위적 재해(H)</t>
    <phoneticPr fontId="5" type="noConversion"/>
  </si>
  <si>
    <t>TH-01</t>
  </si>
  <si>
    <t>내외부 직원 통제 미흡</t>
  </si>
  <si>
    <t>- 내∙외부자에 의한 데이터 유출, 변조 및 파괴
- 내부직원의 통제 부족으로 인한 법적 피해 발생,
- 계약직 및 외부인에 의한 매체 또는 문서의 도난</t>
    <phoneticPr fontId="1" type="noConversion"/>
  </si>
  <si>
    <t>인위적 재해(H)</t>
    <phoneticPr fontId="5" type="noConversion"/>
  </si>
  <si>
    <t>TH-02</t>
    <phoneticPr fontId="1" type="noConversion"/>
  </si>
  <si>
    <t>법적 계약 미비</t>
  </si>
  <si>
    <t>- 부적절한 고용 절차, 외주 인력에 대한 신원조회, 전문성 검증 미비,
- 고객 및 제3자와의 계약서의 조항 부족 또는 불충분
- 직원과의 계약서에 (정보보호에 관한) 조항의 부족 또는 불충분
- 계약서 내 보안 요구사항 기재 미흡</t>
    <phoneticPr fontId="1" type="noConversion"/>
  </si>
  <si>
    <t>TH-03</t>
  </si>
  <si>
    <t>교육 및 훈련</t>
  </si>
  <si>
    <t>- 정기적 교육 미비 및 불충분한 보안 훈련으로 인한 보안 인식 부족
- 전문적 교육 부족으로 업무 적격성(competence) 미흡</t>
    <phoneticPr fontId="1" type="noConversion"/>
  </si>
  <si>
    <t>TH-04</t>
  </si>
  <si>
    <t>실수 또는 악의적 손상</t>
  </si>
  <si>
    <t>- 운영 실수나 악의적인 목적에 의한 소프트웨어/하드웨어의 장애 (데이터삭제, 물리적파괴 등)</t>
    <phoneticPr fontId="1" type="noConversion"/>
  </si>
  <si>
    <t>TH-05</t>
  </si>
  <si>
    <t>운영절차 미준수</t>
  </si>
  <si>
    <t>- 규정 지침 절차의 미준수로 인한 사고</t>
    <phoneticPr fontId="5" type="noConversion"/>
  </si>
  <si>
    <t>TH-06</t>
  </si>
  <si>
    <t>관리자 권한 오남용</t>
  </si>
  <si>
    <t>- 관리자 권한의 오남용으로 인한 정보유출, 위변조 등 위반행위
- 주요업무자 모니터링 관리 미흡</t>
    <phoneticPr fontId="1" type="noConversion"/>
  </si>
  <si>
    <t>TH-07</t>
  </si>
  <si>
    <t>파업</t>
  </si>
  <si>
    <t>- 파업으로 인한 업무인력/대체인력 부재로 서비스/업무 문제 발생</t>
    <phoneticPr fontId="1" type="noConversion"/>
  </si>
  <si>
    <t>인위적 재해(H)</t>
  </si>
  <si>
    <t>TH-08</t>
  </si>
  <si>
    <t>하이브리드(사이버+물리적) 전쟁 및 테러</t>
  </si>
  <si>
    <t>- 국제전에서 하이브리드 전쟁 및 테러가 최초로 도입되기 시작('22 우크라이나 전쟁), 
- 다양한 방식의 서비스 파괴, 방해 공격을 예상한 총력전
- 통신망 테러를 통한 통신 마비를 일으켜 회사의 서비스를 중지 시키는 등 다양한 방식의 재해에 의한 훼손</t>
    <phoneticPr fontId="1" type="noConversion"/>
  </si>
  <si>
    <t>물리적 재해(P)</t>
    <phoneticPr fontId="5" type="noConversion"/>
  </si>
  <si>
    <t>TP-01</t>
  </si>
  <si>
    <t>자연재해</t>
  </si>
  <si>
    <t>- 화재, 홍수, 지진 등으로 인한 장애</t>
    <phoneticPr fontId="1" type="noConversion"/>
  </si>
  <si>
    <t>TP-02</t>
  </si>
  <si>
    <t>환경재해</t>
  </si>
  <si>
    <t>- 정전, 항온항습기고장, 누수, CCTV 등</t>
    <phoneticPr fontId="1" type="noConversion"/>
  </si>
  <si>
    <t>TP-03</t>
  </si>
  <si>
    <t>전쟁 및 테러 등</t>
  </si>
  <si>
    <t>- 전쟁, 테러, 폭동, 데모, 도둑, 강도 등의 재해에 의한 자산의 훼손</t>
    <phoneticPr fontId="1" type="noConversion"/>
  </si>
  <si>
    <t>TP-04</t>
  </si>
  <si>
    <t>물리적 접근통제 미흡</t>
  </si>
  <si>
    <t>- 사무실, 전산실등 사내 통제구역의 비인가 접근</t>
    <phoneticPr fontId="1" type="noConversion"/>
  </si>
  <si>
    <t>TP-05</t>
  </si>
  <si>
    <t>장비 도난</t>
  </si>
  <si>
    <t>- 건물 출입문 및 창문의 물리적 보호의 부족 장비 도난</t>
    <phoneticPr fontId="1" type="noConversion"/>
  </si>
  <si>
    <t>TP-06</t>
    <phoneticPr fontId="1" type="noConversion"/>
  </si>
  <si>
    <t>물리적 시설의 안전성</t>
  </si>
  <si>
    <t>- 주요 정보시스템의 물리적 위치 또는 시설에 대한 계획 및 조성 단계에서의 안전성 검토 미흡 인해 재난•장애의 피해 확대</t>
    <phoneticPr fontId="1" type="noConversion"/>
  </si>
  <si>
    <t>기술적 재해(T)</t>
    <phoneticPr fontId="5" type="noConversion"/>
  </si>
  <si>
    <t>기술적 재해(T)</t>
    <phoneticPr fontId="5" type="noConversion"/>
  </si>
  <si>
    <t>TT-01</t>
  </si>
  <si>
    <t>개발/운영 환경 미분리</t>
  </si>
  <si>
    <t>- 개발/운영 환경의 서버 및 네트워크 미분리
- 테스트 시 실데이타 혼용사용</t>
    <phoneticPr fontId="73" type="noConversion"/>
  </si>
  <si>
    <t>TT-02</t>
  </si>
  <si>
    <t>계정관리 미흡</t>
    <phoneticPr fontId="5" type="noConversion"/>
  </si>
  <si>
    <t>- 사용자 또는 이용자 관리미흡으로 인한 비인가자 접속</t>
    <phoneticPr fontId="5" type="noConversion"/>
  </si>
  <si>
    <t>M</t>
    <phoneticPr fontId="73" type="noConversion"/>
  </si>
  <si>
    <t>기술적 재해(T)</t>
    <phoneticPr fontId="5" type="noConversion"/>
  </si>
  <si>
    <t>TT-03</t>
  </si>
  <si>
    <t>SW 오류 및 장애</t>
    <phoneticPr fontId="73" type="noConversion"/>
  </si>
  <si>
    <t>- 소프트웨어 버그 등에 의한 오동작
- 복잡한 사용자 인터페이스, 파라미터 설정오류, 부정확한 날짜 등으로 인한 오류</t>
    <phoneticPr fontId="1" type="noConversion"/>
  </si>
  <si>
    <t>TT-04</t>
  </si>
  <si>
    <t>HW 장애</t>
  </si>
  <si>
    <t>- 하드웨어 파괴, 고장, 노후로 인한 장애
- 전산장비 이중화 및 예비장치 미확보로 인한 복구 불가</t>
    <phoneticPr fontId="5" type="noConversion"/>
  </si>
  <si>
    <t>TT-05</t>
  </si>
  <si>
    <t>접근통제 미흡</t>
  </si>
  <si>
    <t>- 내부 접근통제 시스템의 미설정, 미적용, 오류, 장애, 버그등에 의한 접근통제 미흡으로 인한 침해, 접근권한관리 미흡
- VPC 및 운영 서비스간의 Security Group 설정 미흡</t>
    <phoneticPr fontId="73" type="noConversion"/>
  </si>
  <si>
    <t>TT-06</t>
  </si>
  <si>
    <t>로그보관 미흡</t>
    <phoneticPr fontId="73" type="noConversion"/>
  </si>
  <si>
    <t>- 내부 시스템의 로그설정/분리보관 미흡으로 인한 책임추적 불가
- 클라우드 Console 및 리소스에 대한 로그 설정 미흡으로 인한 로그 보관 미흡</t>
    <phoneticPr fontId="73" type="noConversion"/>
  </si>
  <si>
    <t>TT-07</t>
  </si>
  <si>
    <t>- 내부 주요 데이터의 암호화 적용 미흡으로 인한 정보유출
- 안전하지 않은 프로토콜 사용으로 인한 정보 유출</t>
    <phoneticPr fontId="73" type="noConversion"/>
  </si>
  <si>
    <t>TT-08</t>
  </si>
  <si>
    <t>모니터링 미흡</t>
  </si>
  <si>
    <t>- 내부 시스템의 모니터링 미흡으로 인한 오류/장애인지 지연 및 서비스/업무 문제 발생</t>
    <phoneticPr fontId="1" type="noConversion"/>
  </si>
  <si>
    <t>TT-09</t>
  </si>
  <si>
    <t>백업관리 미흡</t>
    <phoneticPr fontId="73" type="noConversion"/>
  </si>
  <si>
    <t>- 주요 시스템 데이터의 주기적 백업 및 검증 프로세스 부재 / 사고 발생시 복구 불가</t>
    <phoneticPr fontId="1" type="noConversion"/>
  </si>
  <si>
    <t>TT-10</t>
    <phoneticPr fontId="73" type="noConversion"/>
  </si>
  <si>
    <t>비인가 소프트웨어 사용</t>
    <phoneticPr fontId="73" type="noConversion"/>
  </si>
  <si>
    <t>- 불법/비인가 소프트웨어 사용에 의한 악성 바이러스 감염
- 불법/비인가 소프트웨어 사용에 의한 라이센스 위반</t>
    <phoneticPr fontId="73" type="noConversion"/>
  </si>
  <si>
    <t>TT-11</t>
  </si>
  <si>
    <t>비인가 저장매체 사용</t>
  </si>
  <si>
    <t>- USB, 외장하드, CD 등 허가되지 않은 저장매체의 사용</t>
    <phoneticPr fontId="1" type="noConversion"/>
  </si>
  <si>
    <t>TT-12</t>
  </si>
  <si>
    <t>- 최신 소프트웨어로 업데이트하지 않아 발생할 수 있는 침해사고</t>
    <phoneticPr fontId="1" type="noConversion"/>
  </si>
  <si>
    <t>TT-13</t>
  </si>
  <si>
    <t>내·외부 네트워크 서비스 장애</t>
  </si>
  <si>
    <t>- ISP, 회선등 통신서비스 장애
- 네트워크 장비/케이블(구성요소)의 고장 및 장애로 인한 서비스 중단 등</t>
    <phoneticPr fontId="1" type="noConversion"/>
  </si>
  <si>
    <t>TT-14</t>
  </si>
  <si>
    <t>- 미사용/불필요 서비스,프로그램,파일 등의 사용 및 관리 미흡에 의한 침해사고</t>
    <phoneticPr fontId="1" type="noConversion"/>
  </si>
  <si>
    <t>TT-15</t>
  </si>
  <si>
    <t>키 관리</t>
    <phoneticPr fontId="73" type="noConversion"/>
  </si>
  <si>
    <t>- 암호화 키 관리 및 사용자 액세스 키 관리 미흡으로 인한 데이터 유출</t>
    <phoneticPr fontId="73" type="noConversion"/>
  </si>
  <si>
    <t>TT-16</t>
  </si>
  <si>
    <t>클라우드 리전 마비</t>
    <phoneticPr fontId="73" type="noConversion"/>
  </si>
  <si>
    <t>- 클라우드 서비스 제공자의 시설의 마비로 인한 서비스 중단</t>
    <phoneticPr fontId="73" type="noConversion"/>
  </si>
  <si>
    <t>TT-17</t>
  </si>
  <si>
    <t>네트워크 구성 미흡</t>
    <phoneticPr fontId="73" type="noConversion"/>
  </si>
  <si>
    <t>- 클라우드 네트워크 상의 Public/Private Subnet 구성 및 설정 미흡</t>
    <phoneticPr fontId="73" type="noConversion"/>
  </si>
  <si>
    <t>TT-18</t>
  </si>
  <si>
    <t>로그분석 미흡</t>
    <phoneticPr fontId="1" type="noConversion"/>
  </si>
  <si>
    <t>- 주기적 또는 상시적으로 로그를 분석하거나 점검하지 않아 보안 위반의 발생 여부나 책임추적이 불가능</t>
    <phoneticPr fontId="73" type="noConversion"/>
  </si>
  <si>
    <t>TT-19</t>
  </si>
  <si>
    <t>리소스 관리 접근통제 미흡</t>
    <phoneticPr fontId="73" type="noConversion"/>
  </si>
  <si>
    <t>- 클라우드 리소스 관리 Console 접근에 대한 접근통제 미설정 및 2Factor 미적용, 과도한 접근권한 부여 등</t>
    <phoneticPr fontId="73" type="noConversion"/>
  </si>
  <si>
    <t>기술적 재해(T)</t>
  </si>
  <si>
    <t>TT-20</t>
  </si>
  <si>
    <t>자원 관리 미흡</t>
  </si>
  <si>
    <t>- 자원 소모량 검증 미비로 인한 자산 낭비 및 시스템 부하 증가</t>
    <phoneticPr fontId="1" type="noConversion"/>
  </si>
  <si>
    <t>TT-21</t>
  </si>
  <si>
    <t>신뢰받지 못하는 저장소</t>
  </si>
  <si>
    <t>- 통합 저장소 이용 및 보안 설정 미비로 인한 데이터 유·노출 위험 증가</t>
    <phoneticPr fontId="1" type="noConversion"/>
  </si>
  <si>
    <t>TT-22</t>
  </si>
  <si>
    <t>자동화 위협</t>
  </si>
  <si>
    <t>- 제한 없는 자동화 허용으로 인한 악성코드 자동 전파 및 침해 확산 가능성</t>
    <phoneticPr fontId="73" type="noConversion"/>
  </si>
  <si>
    <t>TT-23</t>
  </si>
  <si>
    <t>권한 관리</t>
  </si>
  <si>
    <t>- 설계 사상 대비 과도한 권한 부여로 인한 데이터 위변조 및 유출 가능성</t>
    <phoneticPr fontId="1" type="noConversion"/>
  </si>
  <si>
    <t>TT-24</t>
  </si>
  <si>
    <t>모듈화 보안 미흡</t>
  </si>
  <si>
    <t>- API 단위 시스템 도입에 따른 보안 검증 미흡으로 인한 침해 및 정보 유출 가능성</t>
    <phoneticPr fontId="1" type="noConversion"/>
  </si>
  <si>
    <t>TT-25</t>
  </si>
  <si>
    <t>보안 검증</t>
  </si>
  <si>
    <t>- 식별된 위협에 대한 선제적 대응 미흡 또는 이해당사자의 개입으로 인한 보안 검증의 공정성 저하로 인해 잠재적 공격 기술이 은폐되거나 간과되어, 데이터 유출 및 서비스 중단 등의 피해 발생 위험</t>
    <phoneticPr fontId="1" type="noConversion"/>
  </si>
  <si>
    <t>TT-26</t>
  </si>
  <si>
    <t>보안 기능 부족</t>
  </si>
  <si>
    <t>- 보안 요구사항이 미비한 정보시스템 도입으로 인한 침해위험 증가</t>
    <phoneticPr fontId="1" type="noConversion"/>
  </si>
  <si>
    <t>TT-27</t>
  </si>
  <si>
    <t>비 표준 언어 대응 미흡</t>
  </si>
  <si>
    <t>- Rust, Go 등 비표준 언어로 작성된 악성코드에 대한 대응 체계 미비 시, 초기 인터넷 시대와 유사한 형태의 급속한 악성코드 확산 및 대규모 침해 사고로 이어질 우려 존재</t>
    <phoneticPr fontId="1" type="noConversion"/>
  </si>
  <si>
    <t>TT-28</t>
  </si>
  <si>
    <t>인증 받지 않은 확장 프로그램</t>
  </si>
  <si>
    <t>- 웹 환경에서 다양한 브라우저 확장 프로그램 사용이 가능해진 가운데, 인증되지 않은 확장 기능을 통한 침해 및 사고 발생 위험 증가</t>
    <phoneticPr fontId="1" type="noConversion"/>
  </si>
  <si>
    <t>TT-29</t>
  </si>
  <si>
    <t>제로트러스트 위협</t>
  </si>
  <si>
    <t>- 제로트러스트는 '기본적으로 신뢰하지 않음'을 전제로 운영되나, 인증 체계의 집중화로 인해 인증 시스템이 우회될 경우 전사 자원에 대한 무제한 접근으로 이어질 수 있어 심각한 피해 발생 가능성 존재</t>
    <phoneticPr fontId="1" type="noConversion"/>
  </si>
  <si>
    <t>전자적 침해(E)</t>
    <phoneticPr fontId="5" type="noConversion"/>
  </si>
  <si>
    <t>TE-01</t>
  </si>
  <si>
    <t>위장 공격</t>
  </si>
  <si>
    <t>- spoofing 또는 정상 소프트웨어로 위장한 악성코드, 정상 하드웨어로 위장된 시스템 등에 의한 침해</t>
    <phoneticPr fontId="1" type="noConversion"/>
  </si>
  <si>
    <t>TE-02</t>
    <phoneticPr fontId="5" type="noConversion"/>
  </si>
  <si>
    <t>서비스거부</t>
  </si>
  <si>
    <t>- 네트워크 트래픽, 메모리 공격등 각종 서비스거부 공격에 의한 침해</t>
    <phoneticPr fontId="1" type="noConversion"/>
  </si>
  <si>
    <t>전자적 침해(E)</t>
    <phoneticPr fontId="5" type="noConversion"/>
  </si>
  <si>
    <t>TE-03</t>
  </si>
  <si>
    <t>- 웜, 바이러스, 랜섬웨어, 에드웨어 등 각종 악성코드에 의한 침해</t>
    <phoneticPr fontId="1" type="noConversion"/>
  </si>
  <si>
    <t>TE-04</t>
  </si>
  <si>
    <t>전기적 도청</t>
  </si>
  <si>
    <t>- 전화 및 팩스, 무선통신망, 기타 도청 장비에 의한 도청</t>
    <phoneticPr fontId="1" type="noConversion"/>
  </si>
  <si>
    <t>TE-05</t>
  </si>
  <si>
    <t>전자적 도청</t>
  </si>
  <si>
    <t>- 내·외부 네트워크의 스니핑을 이용한 비인가 데이터 접근</t>
    <phoneticPr fontId="1" type="noConversion"/>
  </si>
  <si>
    <t>TE-06</t>
  </si>
  <si>
    <t>피싱</t>
  </si>
  <si>
    <t>- 위·변조된 사이트, 메일, 문자 등에 의한 피싱</t>
    <phoneticPr fontId="1" type="noConversion"/>
  </si>
  <si>
    <t>전자적 침해(E)</t>
    <phoneticPr fontId="5" type="noConversion"/>
  </si>
  <si>
    <t>TE-07</t>
  </si>
  <si>
    <t>- 침해를 목적으로 각종 스캔방법을 이용한 내부정보 수집</t>
    <phoneticPr fontId="1" type="noConversion"/>
  </si>
  <si>
    <t>TE-08</t>
  </si>
  <si>
    <t>정보의 송·수신 부인</t>
  </si>
  <si>
    <t>- 수신자의 정보 송·수신 부인</t>
    <phoneticPr fontId="1" type="noConversion"/>
  </si>
  <si>
    <t>TE-09</t>
  </si>
  <si>
    <t>신규취약점 침해</t>
  </si>
  <si>
    <t>- 알려지지 않은 신규 취약점에 의한 침해</t>
    <phoneticPr fontId="1" type="noConversion"/>
  </si>
  <si>
    <t>TE-10</t>
  </si>
  <si>
    <t>- 계정의 보관, 설정 부실등으로 인해 악의적 침해 행위로 인한 아이디/패스워드 유출</t>
    <phoneticPr fontId="1" type="noConversion"/>
  </si>
  <si>
    <t>TE-11</t>
  </si>
  <si>
    <t>안전하지 않은 API
(Application Programming Interface)</t>
  </si>
  <si>
    <t>- 안전하지 않은 API를 통한 데이터 유출, 서비스 접근 등을 통한 사고 발생</t>
    <phoneticPr fontId="1" type="noConversion"/>
  </si>
  <si>
    <t>TE-12</t>
  </si>
  <si>
    <t>- 시스템 보안설정 미흡으로 인한 침해사고 발생</t>
    <phoneticPr fontId="1" type="noConversion"/>
  </si>
  <si>
    <t>TE-13</t>
  </si>
  <si>
    <t>이용자 검증 미흡</t>
  </si>
  <si>
    <t>- 서비스 이용 시 이용자 검증 미흡으로 인한 침해사고 발생</t>
    <phoneticPr fontId="1" type="noConversion"/>
  </si>
  <si>
    <t>TE-14</t>
  </si>
  <si>
    <t>입력값 검증 미흡</t>
  </si>
  <si>
    <t>- 서비스 이용 시 이용자의 입력 값 검증 미흡으로 인한 침해사고 발생</t>
    <phoneticPr fontId="1" type="noConversion"/>
  </si>
  <si>
    <t>전자적 침해(E)</t>
  </si>
  <si>
    <t>TE-15</t>
  </si>
  <si>
    <t>악의적인 인공지능</t>
  </si>
  <si>
    <t>- 대화형 인공지능(AI) 사용 과정에서 내부 기밀 또는 중요 정보가 유출될 경우, 해당 정보가 AI 학습 데이터로 활용되어 글로벌 사용자에게 노출될 가능성 존재
- 머신러닝 기반 기술을 악용하여 잠재적 취약점을 가진 시스템을 빠르게 식별하고, 공격의 시작점으로 활용하여 피해 발생 가능성 증가</t>
    <phoneticPr fontId="1" type="noConversion"/>
  </si>
  <si>
    <t>TE-16</t>
  </si>
  <si>
    <t>악의적인 시스템 접근</t>
  </si>
  <si>
    <t>- 내부 시스템에서 악성 사이트 또는 시스템에 대한 접근 시도를 차단하지 못할 경우, 침해 전파의 경유지로 악용되는 등 보안 사고로 이어질 가능성 존재</t>
    <phoneticPr fontId="1" type="noConversion"/>
  </si>
  <si>
    <t>개인정보 침해(PI)</t>
    <phoneticPr fontId="5" type="noConversion"/>
  </si>
  <si>
    <t>TPI-01</t>
    <phoneticPr fontId="5" type="noConversion"/>
  </si>
  <si>
    <t>개인정보 수집</t>
    <phoneticPr fontId="5" type="noConversion"/>
  </si>
  <si>
    <t>- 개인정보 수집∙이용 동의 절차 부재, 동의 시 고지사항 미흡,  불필요한 개인정보 수집</t>
    <phoneticPr fontId="5" type="noConversion"/>
  </si>
  <si>
    <t>개인정보 침해(PI)</t>
    <phoneticPr fontId="5" type="noConversion"/>
  </si>
  <si>
    <t>TPI-02</t>
    <phoneticPr fontId="5" type="noConversion"/>
  </si>
  <si>
    <t>개인정보 이용</t>
    <phoneticPr fontId="5" type="noConversion"/>
  </si>
  <si>
    <t>- 동의 받은 목적 및 법령에서 구체적으로 정한 범위 내에서 개인정보 이용</t>
    <phoneticPr fontId="5" type="noConversion"/>
  </si>
  <si>
    <t>TPI-03</t>
    <phoneticPr fontId="5" type="noConversion"/>
  </si>
  <si>
    <t>중요정보 수집</t>
    <phoneticPr fontId="5" type="noConversion"/>
  </si>
  <si>
    <t>- 주민등록번호, 민감정보 등 중요 개인정보의 근거에 의하지 않은 수집</t>
    <phoneticPr fontId="5" type="noConversion"/>
  </si>
  <si>
    <t>TPI-04</t>
    <phoneticPr fontId="5" type="noConversion"/>
  </si>
  <si>
    <t>개인정보 제공</t>
    <phoneticPr fontId="5" type="noConversion"/>
  </si>
  <si>
    <t>- 제3자의 무분별한 개인정보 이용 및 안전한 관리 미흡</t>
    <phoneticPr fontId="5" type="noConversion"/>
  </si>
  <si>
    <t>TPI-05</t>
    <phoneticPr fontId="5" type="noConversion"/>
  </si>
  <si>
    <t>개인정보 위탁</t>
    <phoneticPr fontId="5" type="noConversion"/>
  </si>
  <si>
    <t>- 위탁 절차 미흡, 수탁자 관리∙감독 미흡</t>
    <phoneticPr fontId="5" type="noConversion"/>
  </si>
  <si>
    <t>TPI-06</t>
    <phoneticPr fontId="5" type="noConversion"/>
  </si>
  <si>
    <t>개인정보 파기</t>
    <phoneticPr fontId="5" type="noConversion"/>
  </si>
  <si>
    <t>- 개인정보의 안전한 파기 관리 및 파기 방법이 구현되지 않음으로써 목적을 달성한 개인정보의 재사용</t>
    <phoneticPr fontId="5" type="noConversion"/>
  </si>
  <si>
    <t>TPI-07</t>
    <phoneticPr fontId="5" type="noConversion"/>
  </si>
  <si>
    <t>분리보관</t>
    <phoneticPr fontId="5" type="noConversion"/>
  </si>
  <si>
    <t>- 분리보관 미흡으로 인한 목적외 사용 발생</t>
    <phoneticPr fontId="5" type="noConversion"/>
  </si>
  <si>
    <t>개인정보 침해(PI)</t>
    <phoneticPr fontId="5" type="noConversion"/>
  </si>
  <si>
    <t>TPI-08</t>
    <phoneticPr fontId="5" type="noConversion"/>
  </si>
  <si>
    <t>정보주체의 권리 보장</t>
    <phoneticPr fontId="5" type="noConversion"/>
  </si>
  <si>
    <t>- 개인정보처리방침, 이용내역 통지, 이용내역 요청 등 개인정보주체의 권리 미보장</t>
    <phoneticPr fontId="5" type="noConversion"/>
  </si>
  <si>
    <t>TPI-09</t>
    <phoneticPr fontId="5" type="noConversion"/>
  </si>
  <si>
    <t>개인정보 출력</t>
    <phoneticPr fontId="5" type="noConversion"/>
  </si>
  <si>
    <t>- 개인정보처리시스템 상의 조회, 출력되는 개인정보의 유출</t>
    <phoneticPr fontId="5" type="noConversion"/>
  </si>
  <si>
    <t>TPI-10</t>
    <phoneticPr fontId="5" type="noConversion"/>
  </si>
  <si>
    <t>영상정보처리기기 관리</t>
    <phoneticPr fontId="5" type="noConversion"/>
  </si>
  <si>
    <t>- 정보주체의 영상정보 수집 및 안내에 관한 권리 침해</t>
    <phoneticPr fontId="5" type="noConversion"/>
  </si>
  <si>
    <t>위협평가</t>
    <phoneticPr fontId="1" type="noConversion"/>
  </si>
  <si>
    <t>TE-02</t>
  </si>
  <si>
    <t>- 내부 시스템의 모니터링 미흡으로 인한 오류/장애인지 지연 및 서비스/업무 문제 발생</t>
  </si>
  <si>
    <t>- 내부 접근통제 시스템의 미설정, 미적용, 오류, 장애, 버그등에 의한 접근통제 미흡으로 인한 침해, 접근권한관리 미흡
- VPC 및 운영 서비스간의 Security Group 설정 미흡</t>
  </si>
  <si>
    <t>- 미사용/불필요 서비스,프로그램,파일 등의 사용 및 관리 미흡에 의한 침해사고</t>
  </si>
  <si>
    <t>- 계정의 보관, 설정 부실등으로 인해 악의적 침해 행위로 인한 아이디/패스워드 유출</t>
  </si>
  <si>
    <t>- 내부 주요 데이터의 암호화 적용 미흡으로 인한 정보유출
- 안전하지 않은 프로토콜 사용으로 인한 정보 유출</t>
  </si>
  <si>
    <t>- 침해를 목적으로 각종 스캔방법을 이용한 내부정보 수집</t>
  </si>
  <si>
    <t>- 식별된 위협에 대한 선제적 대응 미흡 또는 이해당사자의 개입으로 인한 보안 검증의 공정성 저하로 인해 잠재적 공격 기술이 은폐되거나 간과되어, 데이터 유출 및 서비스 중단 등의 피해 발생 위험</t>
  </si>
  <si>
    <t>- 네트워크 트래픽, 메모리 공격등 각종 서비스거부 공격에 의한 침해</t>
  </si>
  <si>
    <t>- 설계 사상 대비 과도한 권한 부여로 인한 데이터 위변조 및 유출 가능성</t>
  </si>
  <si>
    <t>- 내부 시스템에서 악성 사이트 또는 시스템에 대한 접근 시도를 차단하지 못할 경우, 침해 전파의 경유지로 악용되는 등 보안 사고로 이어질 가능성 존재</t>
  </si>
  <si>
    <t>- 서비스 이용 시 이용자 검증 미흡으로 인한 침해사고 발생</t>
  </si>
  <si>
    <t>로그보관 미흡</t>
  </si>
  <si>
    <t>- 내부 시스템의 로그설정/분리보관 미흡으로 인한 책임추적 불가
- 클라우드 Console 및 리소스에 대한 로그 설정 미흡으로 인한 로그 보관 미흡</t>
  </si>
  <si>
    <t>로그분석 미흡</t>
  </si>
  <si>
    <t>- 주기적 또는 상시적으로 로그를 분석하거나 점검하지 않아 보안 위반의 발생 여부나 책임추적이 불가능</t>
  </si>
  <si>
    <t>- 최신 소프트웨어로 업데이트하지 않아 발생할 수 있는 침해사고</t>
  </si>
  <si>
    <t>- 웜, 바이러스, 랜섬웨어, 에드웨어 등 각종 악성코드에 의한 침해</t>
  </si>
  <si>
    <t>- 내∙외부자에 의한 데이터 유출, 변조 및 파괴
- 내부직원의 통제 부족으로 인한 법적 피해 발생,
- 계약직 및 외부인에 의한 매체 또는 문서의 도난</t>
  </si>
  <si>
    <t>백업관리 미흡</t>
  </si>
  <si>
    <t>- 주요 시스템 데이터의 주기적 백업 및 검증 프로세스 부재 / 사고 발생시 복구 불가</t>
  </si>
  <si>
    <t>- USB, 외장하드, CD 등 허가되지 않은 저장매체의 사용</t>
  </si>
  <si>
    <t>- 정기적 교육 미비 및 불충분한 보안 훈련으로 인한 보안 인식 부족
- 전문적 교육 부족으로 업무 적격성(competence) 미흡</t>
  </si>
  <si>
    <t>WINDOWS 2012</t>
    <phoneticPr fontId="5" type="noConversion"/>
  </si>
  <si>
    <t>WINDOWS 2019</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</si>
</sst>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4">
    <font>
      <sz val="11"/>
      <color theme="1"/>
      <name val="맑은 고딕"/>
      <family val="2"/>
      <charset val="129"/>
      <scheme val="minor"/>
    </font>
    <font>
      <sz val="8"/>
      <name val="맑은 고딕"/>
      <family val="2"/>
      <charset val="129"/>
      <scheme val="minor"/>
    </font>
    <font>
      <sz val="11"/>
      <color theme="1"/>
      <name val="맑은 고딕"/>
      <family val="3"/>
      <charset val="129"/>
      <scheme val="minor"/>
    </font>
    <font>
      <sz val="11"/>
      <name val="돋움"/>
      <family val="3"/>
      <charset val="129"/>
    </font>
    <font>
      <sz val="10"/>
      <color theme="1"/>
      <name val="맑은 고딕"/>
      <family val="3"/>
      <charset val="129"/>
      <scheme val="minor"/>
    </font>
    <font>
      <sz val="8"/>
      <name val="돋움"/>
      <family val="3"/>
      <charset val="129"/>
    </font>
    <font>
      <sz val="10"/>
      <color theme="1"/>
      <name val="맑은 고딕"/>
      <family val="3"/>
      <charset val="129"/>
      <scheme val="major"/>
    </font>
    <font>
      <sz val="10"/>
      <name val="맑은 고딕"/>
      <family val="3"/>
      <charset val="129"/>
      <scheme val="major"/>
    </font>
    <font>
      <b/>
      <sz val="12"/>
      <name val="맑은 고딕"/>
      <family val="3"/>
      <charset val="129"/>
      <scheme val="major"/>
    </font>
    <font>
      <sz val="11"/>
      <name val="맑은 고딕"/>
      <family val="3"/>
      <charset val="129"/>
      <scheme val="major"/>
    </font>
    <font>
      <b/>
      <sz val="10"/>
      <name val="맑은 고딕"/>
      <family val="3"/>
      <charset val="129"/>
      <scheme val="major"/>
    </font>
    <font>
      <b/>
      <sz val="10"/>
      <color theme="0"/>
      <name val="맑은 고딕"/>
      <family val="3"/>
      <charset val="129"/>
      <scheme val="major"/>
    </font>
    <font>
      <b/>
      <sz val="12"/>
      <name val="맑은 고딕"/>
      <family val="3"/>
      <charset val="129"/>
      <scheme val="minor"/>
    </font>
    <font>
      <b/>
      <sz val="10"/>
      <name val="맑은 고딕"/>
      <family val="3"/>
      <charset val="129"/>
      <scheme val="minor"/>
    </font>
    <font>
      <sz val="10"/>
      <name val="맑은 고딕"/>
      <family val="3"/>
      <charset val="129"/>
      <scheme val="minor"/>
    </font>
    <font>
      <b/>
      <i/>
      <u/>
      <sz val="12"/>
      <name val="맑은 고딕"/>
      <family val="3"/>
      <charset val="129"/>
    </font>
    <font>
      <b/>
      <sz val="10"/>
      <color theme="0"/>
      <name val="맑은 고딕"/>
      <family val="3"/>
      <charset val="129"/>
      <scheme val="minor"/>
    </font>
    <font>
      <b/>
      <i/>
      <u/>
      <sz val="12"/>
      <color theme="1"/>
      <name val="맑은 고딕"/>
      <family val="3"/>
      <charset val="129"/>
    </font>
    <font>
      <b/>
      <i/>
      <u/>
      <sz val="12"/>
      <color theme="1"/>
      <name val="맑은 고딕"/>
      <family val="3"/>
      <charset val="129"/>
      <scheme val="minor"/>
    </font>
    <font>
      <u/>
      <sz val="11"/>
      <color theme="10"/>
      <name val="돋움"/>
      <family val="3"/>
      <charset val="129"/>
    </font>
    <font>
      <sz val="10"/>
      <color rgb="FF000000"/>
      <name val="맑은 고딕"/>
      <family val="3"/>
      <charset val="129"/>
      <scheme val="minor"/>
    </font>
    <font>
      <b/>
      <sz val="10"/>
      <color rgb="FFFF0000"/>
      <name val="맑은 고딕"/>
      <family val="3"/>
      <charset val="129"/>
      <scheme val="major"/>
    </font>
    <font>
      <b/>
      <sz val="10"/>
      <color theme="3" tint="0.39994506668294322"/>
      <name val="맑은 고딕"/>
      <family val="3"/>
      <charset val="129"/>
      <scheme val="major"/>
    </font>
    <font>
      <b/>
      <sz val="12"/>
      <color theme="1"/>
      <name val="맑은 고딕"/>
      <family val="3"/>
      <charset val="129"/>
      <scheme val="major"/>
    </font>
    <font>
      <sz val="12"/>
      <color theme="1"/>
      <name val="맑은 고딕"/>
      <family val="3"/>
      <charset val="129"/>
      <scheme val="major"/>
    </font>
    <font>
      <b/>
      <sz val="10"/>
      <color rgb="FF000000"/>
      <name val="맑은 고딕"/>
      <family val="3"/>
      <charset val="129"/>
      <scheme val="major"/>
    </font>
    <font>
      <sz val="10"/>
      <color rgb="FF000000"/>
      <name val="맑은 고딕"/>
      <family val="3"/>
      <charset val="129"/>
      <scheme val="major"/>
    </font>
    <font>
      <b/>
      <sz val="10"/>
      <color theme="1"/>
      <name val="맑은 고딕"/>
      <family val="3"/>
      <charset val="129"/>
      <scheme val="major"/>
    </font>
    <font>
      <b/>
      <u/>
      <sz val="10"/>
      <color rgb="FFFF0000"/>
      <name val="맑은 고딕"/>
      <family val="3"/>
      <charset val="129"/>
    </font>
    <font>
      <b/>
      <sz val="10"/>
      <color rgb="FFFFC000"/>
      <name val="맑은 고딕"/>
      <family val="3"/>
      <charset val="129"/>
      <scheme val="major"/>
    </font>
    <font>
      <b/>
      <i/>
      <sz val="12"/>
      <color theme="1"/>
      <name val="맑은 고딕"/>
      <family val="3"/>
      <charset val="129"/>
      <scheme val="minor"/>
    </font>
    <font>
      <b/>
      <i/>
      <sz val="18"/>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8"/>
      <name val="맑은 고딕"/>
      <family val="3"/>
      <charset val="129"/>
    </font>
    <font>
      <b/>
      <sz val="15"/>
      <color theme="1"/>
      <name val="맑은 고딕"/>
      <family val="3"/>
      <charset val="129"/>
      <scheme val="minor"/>
    </font>
    <font>
      <b/>
      <sz val="10"/>
      <color indexed="81"/>
      <name val="맑은 고딕"/>
      <family val="3"/>
      <charset val="129"/>
    </font>
    <font>
      <b/>
      <sz val="20"/>
      <color theme="1"/>
      <name val="맑은 고딕"/>
      <family val="3"/>
      <charset val="129"/>
      <scheme val="minor"/>
    </font>
    <font>
      <b/>
      <u/>
      <sz val="10"/>
      <color theme="1"/>
      <name val="맑은 고딕"/>
      <family val="3"/>
      <charset val="129"/>
      <scheme val="major"/>
    </font>
    <font>
      <b/>
      <i/>
      <u/>
      <sz val="10"/>
      <color theme="1"/>
      <name val="맑은 고딕"/>
      <family val="3"/>
      <charset val="129"/>
      <scheme val="minor"/>
    </font>
    <font>
      <b/>
      <sz val="12"/>
      <color theme="1"/>
      <name val="맑은 고딕"/>
      <family val="3"/>
      <charset val="129"/>
    </font>
    <font>
      <b/>
      <u/>
      <sz val="12"/>
      <color theme="1"/>
      <name val="맑은 고딕"/>
      <family val="3"/>
      <charset val="129"/>
    </font>
    <font>
      <b/>
      <sz val="10"/>
      <color rgb="FF000000"/>
      <name val="맑은 고딕"/>
      <family val="3"/>
      <charset val="129"/>
    </font>
    <font>
      <b/>
      <sz val="16"/>
      <name val="맑은 고딕"/>
      <family val="3"/>
      <charset val="129"/>
      <scheme val="major"/>
    </font>
    <font>
      <b/>
      <sz val="11"/>
      <color theme="1"/>
      <name val="맑은 고딕"/>
      <family val="3"/>
      <charset val="129"/>
      <scheme val="minor"/>
    </font>
    <font>
      <b/>
      <sz val="12"/>
      <name val="맑은 고딕"/>
      <family val="3"/>
      <charset val="129"/>
    </font>
    <font>
      <b/>
      <sz val="11"/>
      <name val="맑은 고딕"/>
      <family val="3"/>
      <charset val="129"/>
      <scheme val="minor"/>
    </font>
    <font>
      <b/>
      <sz val="11"/>
      <color indexed="10"/>
      <name val="맑은 고딕"/>
      <family val="3"/>
      <charset val="129"/>
    </font>
    <font>
      <sz val="11"/>
      <name val="맑은 고딕"/>
      <family val="3"/>
      <charset val="129"/>
    </font>
    <font>
      <sz val="11"/>
      <name val="맑은 고딕"/>
      <family val="3"/>
      <charset val="129"/>
      <scheme val="minor"/>
    </font>
    <font>
      <b/>
      <sz val="11"/>
      <name val="맑은 고딕"/>
      <family val="3"/>
      <charset val="129"/>
      <scheme val="major"/>
    </font>
    <font>
      <b/>
      <sz val="11"/>
      <color rgb="FFFF000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b/>
      <sz val="9"/>
      <color theme="0" tint="-0.499984740745262"/>
      <name val="맑은 고딕"/>
      <family val="3"/>
      <charset val="129"/>
      <scheme val="minor"/>
    </font>
    <font>
      <sz val="11"/>
      <color theme="1"/>
      <name val="맑은 고딕"/>
      <family val="2"/>
      <scheme val="minor"/>
    </font>
    <font>
      <b/>
      <sz val="11"/>
      <name val="맑은 고딕"/>
      <family val="3"/>
      <charset val="129"/>
    </font>
    <font>
      <b/>
      <sz val="11"/>
      <color theme="10"/>
      <name val="돋움"/>
      <family val="3"/>
      <charset val="129"/>
    </font>
    <font>
      <b/>
      <sz val="11"/>
      <color rgb="FF000000"/>
      <name val="돋움"/>
      <family val="3"/>
      <charset val="129"/>
    </font>
    <font>
      <sz val="10"/>
      <name val="Calibri"/>
      <family val="3"/>
    </font>
    <font>
      <b/>
      <sz val="20"/>
      <color rgb="FFFFFFFF"/>
      <name val="맑은 고딕"/>
      <family val="3"/>
      <charset val="129"/>
      <scheme val="minor"/>
    </font>
    <font>
      <b/>
      <i/>
      <sz val="20"/>
      <color rgb="FFFF0000"/>
      <name val="맑은 고딕"/>
      <family val="3"/>
      <charset val="129"/>
      <scheme val="minor"/>
    </font>
    <font>
      <b/>
      <i/>
      <sz val="12"/>
      <color rgb="FFFF0000"/>
      <name val="맑은 고딕"/>
      <family val="3"/>
      <charset val="129"/>
      <scheme val="minor"/>
    </font>
    <font>
      <b/>
      <sz val="12"/>
      <color rgb="FFFF0000"/>
      <name val="맑은 고딕"/>
      <family val="3"/>
      <charset val="129"/>
      <scheme val="minor"/>
    </font>
    <font>
      <b/>
      <sz val="18"/>
      <color rgb="FFFFFFFF"/>
      <name val="맑은 고딕"/>
      <family val="3"/>
      <charset val="129"/>
      <scheme val="minor"/>
    </font>
    <font>
      <b/>
      <sz val="12"/>
      <color theme="1"/>
      <name val="맑은 고딕"/>
      <family val="3"/>
      <charset val="129"/>
      <scheme val="minor"/>
    </font>
    <font>
      <b/>
      <sz val="9"/>
      <name val="맑은 고딕"/>
      <family val="3"/>
      <charset val="129"/>
      <scheme val="minor"/>
    </font>
    <font>
      <sz val="9"/>
      <name val="맑은 고딕"/>
      <family val="3"/>
      <charset val="129"/>
      <scheme val="minor"/>
    </font>
    <font>
      <b/>
      <sz val="10"/>
      <color theme="1"/>
      <name val="맑은 고딕"/>
      <family val="3"/>
      <charset val="129"/>
      <scheme val="minor"/>
    </font>
    <font>
      <sz val="12"/>
      <name val="맑은 고딕"/>
      <family val="3"/>
      <charset val="129"/>
      <scheme val="minor"/>
    </font>
    <font>
      <sz val="11"/>
      <color rgb="FF000000"/>
      <name val="맑은 고딕"/>
      <family val="3"/>
      <charset val="129"/>
    </font>
    <font>
      <b/>
      <sz val="14"/>
      <name val="맑은 고딕"/>
      <family val="3"/>
      <charset val="129"/>
    </font>
    <font>
      <sz val="10"/>
      <name val="맑은 고딕"/>
      <family val="3"/>
      <charset val="129"/>
    </font>
    <font>
      <sz val="8"/>
      <name val="맑은 고딕"/>
      <family val="3"/>
      <charset val="129"/>
      <scheme val="minor"/>
    </font>
    <font>
      <b/>
      <sz val="10"/>
      <name val="맑은 고딕"/>
      <family val="3"/>
      <charset val="129"/>
    </font>
    <font>
      <sz val="10"/>
      <name val="Malgun Gothic"/>
      <family val="3"/>
      <charset val="129"/>
    </font>
    <font>
      <sz val="10"/>
      <name val="MS Gothic"/>
      <family val="3"/>
      <charset val="128"/>
    </font>
    <font>
      <sz val="10"/>
      <color theme="1"/>
      <name val="Malgun Gothic"/>
      <family val="3"/>
      <charset val="129"/>
    </font>
    <font>
      <sz val="10"/>
      <color rgb="FF0070C0"/>
      <name val="Malgun Gothic"/>
      <family val="3"/>
      <charset val="129"/>
    </font>
    <font>
      <sz val="10"/>
      <color rgb="FF0070C0"/>
      <name val="맑은 고딕"/>
      <family val="3"/>
      <charset val="129"/>
      <scheme val="minor"/>
    </font>
    <font>
      <sz val="11"/>
      <color rgb="FF0070C0"/>
      <name val="맑은 고딕"/>
      <family val="2"/>
      <charset val="129"/>
      <scheme val="minor"/>
    </font>
    <font>
      <b/>
      <sz val="10"/>
      <color rgb="FF0070C0"/>
      <name val="맑은 고딕"/>
      <family val="3"/>
      <charset val="129"/>
      <scheme val="minor"/>
    </font>
    <font>
      <sz val="10"/>
      <color indexed="8"/>
      <name val="맑은 고딕"/>
      <family val="3"/>
      <charset val="129"/>
    </font>
    <font>
      <sz val="10"/>
      <color theme="1"/>
      <name val="맑은 고딕"/>
      <family val="3"/>
      <charset val="129"/>
    </font>
  </fonts>
  <fills count="24">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7FD5DD"/>
        <bgColor indexed="64"/>
      </patternFill>
    </fill>
    <fill>
      <patternFill patternType="solid">
        <fgColor theme="1" tint="0.34998626667073579"/>
        <bgColor indexed="64"/>
      </patternFill>
    </fill>
    <fill>
      <patternFill patternType="solid">
        <fgColor rgb="FFFFFFFF"/>
        <bgColor rgb="FFFFFFFF"/>
      </patternFill>
    </fill>
    <fill>
      <patternFill patternType="solid">
        <fgColor rgb="FFF2F2F2"/>
        <bgColor rgb="FF8DB3E2"/>
      </patternFill>
    </fill>
    <fill>
      <patternFill patternType="solid">
        <fgColor theme="4" tint="0.59999389629810485"/>
        <bgColor rgb="FFFFF2CC"/>
      </patternFill>
    </fill>
    <fill>
      <patternFill patternType="solid">
        <fgColor theme="4" tint="0.59999389629810485"/>
        <bgColor indexed="64"/>
      </patternFill>
    </fill>
    <fill>
      <patternFill patternType="solid">
        <fgColor theme="9" tint="0.59999389629810485"/>
        <bgColor rgb="FFFFD966"/>
      </patternFill>
    </fill>
    <fill>
      <patternFill patternType="solid">
        <fgColor theme="9" tint="0.59999389629810485"/>
        <bgColor indexed="64"/>
      </patternFill>
    </fill>
    <fill>
      <patternFill patternType="solid">
        <fgColor theme="5" tint="0.79998168889431442"/>
        <bgColor rgb="FFD9EAD3"/>
      </patternFill>
    </fill>
    <fill>
      <patternFill patternType="solid">
        <fgColor theme="5" tint="0.79998168889431442"/>
        <bgColor indexed="64"/>
      </patternFill>
    </fill>
    <fill>
      <patternFill patternType="solid">
        <fgColor theme="3" tint="0.59999389629810485"/>
        <bgColor rgb="FFEAD1DC"/>
      </patternFill>
    </fill>
    <fill>
      <patternFill patternType="solid">
        <fgColor theme="3" tint="0.59999389629810485"/>
        <bgColor indexed="64"/>
      </patternFill>
    </fill>
    <fill>
      <patternFill patternType="solid">
        <fgColor theme="7" tint="0.39997558519241921"/>
        <bgColor rgb="FFCFE2F3"/>
      </patternFill>
    </fill>
    <fill>
      <patternFill patternType="solid">
        <fgColor theme="7" tint="0.39997558519241921"/>
        <bgColor indexed="64"/>
      </patternFill>
    </fill>
    <fill>
      <patternFill patternType="solid">
        <fgColor rgb="FFFFC000"/>
        <bgColor indexed="64"/>
      </patternFill>
    </fill>
  </fills>
  <borders count="143">
    <border>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bottom style="thin">
        <color rgb="FF54BCC5"/>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rgb="FF54BCC5"/>
      </top>
      <bottom style="medium">
        <color rgb="FF54BCC5"/>
      </bottom>
      <diagonal/>
    </border>
    <border>
      <left/>
      <right/>
      <top style="medium">
        <color rgb="FF54BCC5"/>
      </top>
      <bottom/>
      <diagonal/>
    </border>
    <border>
      <left/>
      <right/>
      <top/>
      <bottom style="medium">
        <color rgb="FF54BCC5"/>
      </bottom>
      <diagonal/>
    </border>
    <border>
      <left/>
      <right style="thin">
        <color rgb="FF54BCC5"/>
      </right>
      <top style="medium">
        <color rgb="FF54BCC5"/>
      </top>
      <bottom style="thin">
        <color rgb="FF54BCC5"/>
      </bottom>
      <diagonal/>
    </border>
    <border>
      <left style="thin">
        <color rgb="FF54BCC5"/>
      </left>
      <right style="thin">
        <color rgb="FF54BCC5"/>
      </right>
      <top style="medium">
        <color rgb="FF54BCC5"/>
      </top>
      <bottom style="thin">
        <color rgb="FF54BCC5"/>
      </bottom>
      <diagonal/>
    </border>
    <border>
      <left style="thin">
        <color rgb="FF54BCC5"/>
      </left>
      <right/>
      <top style="medium">
        <color rgb="FF54BCC5"/>
      </top>
      <bottom style="thin">
        <color rgb="FF54BCC5"/>
      </bottom>
      <diagonal/>
    </border>
    <border>
      <left/>
      <right style="thin">
        <color rgb="FF54BCC5"/>
      </right>
      <top style="thin">
        <color rgb="FF54BCC5"/>
      </top>
      <bottom style="medium">
        <color rgb="FF54BCC5"/>
      </bottom>
      <diagonal/>
    </border>
    <border>
      <left style="thin">
        <color rgb="FF54BCC5"/>
      </left>
      <right style="thin">
        <color rgb="FF54BCC5"/>
      </right>
      <top style="thin">
        <color rgb="FF54BCC5"/>
      </top>
      <bottom style="medium">
        <color rgb="FF54BCC5"/>
      </bottom>
      <diagonal/>
    </border>
    <border>
      <left style="thin">
        <color rgb="FF54BCC5"/>
      </left>
      <right/>
      <top style="thin">
        <color rgb="FF54BCC5"/>
      </top>
      <bottom style="medium">
        <color rgb="FF54BCC5"/>
      </bottom>
      <diagonal/>
    </border>
    <border>
      <left/>
      <right/>
      <top style="medium">
        <color rgb="FF54BCC5"/>
      </top>
      <bottom style="thin">
        <color rgb="FF54BCC5"/>
      </bottom>
      <diagonal/>
    </border>
    <border>
      <left/>
      <right style="thin">
        <color rgb="FF54BCC5"/>
      </right>
      <top style="medium">
        <color rgb="FF54BCC5"/>
      </top>
      <bottom/>
      <diagonal/>
    </border>
    <border>
      <left/>
      <right style="thin">
        <color rgb="FF54BCC5"/>
      </right>
      <top/>
      <bottom style="medium">
        <color rgb="FF54BCC5"/>
      </bottom>
      <diagonal/>
    </border>
    <border>
      <left style="thin">
        <color rgb="FF54BCC5"/>
      </left>
      <right style="thin">
        <color rgb="FF54BCC5"/>
      </right>
      <top/>
      <bottom style="thin">
        <color rgb="FF54BCC5"/>
      </bottom>
      <diagonal/>
    </border>
    <border>
      <left style="thin">
        <color rgb="FF54BCC5"/>
      </left>
      <right/>
      <top/>
      <bottom style="thin">
        <color rgb="FF54BCC5"/>
      </bottom>
      <diagonal/>
    </border>
    <border>
      <left/>
      <right style="thin">
        <color rgb="FF54BCC5"/>
      </right>
      <top style="medium">
        <color rgb="FF54BCC5"/>
      </top>
      <bottom style="medium">
        <color rgb="FF54BCC5"/>
      </bottom>
      <diagonal/>
    </border>
    <border>
      <left style="thin">
        <color rgb="FF54BCC5"/>
      </left>
      <right style="thin">
        <color rgb="FF54BCC5"/>
      </right>
      <top style="medium">
        <color rgb="FF54BCC5"/>
      </top>
      <bottom style="medium">
        <color rgb="FF54BCC5"/>
      </bottom>
      <diagonal/>
    </border>
    <border>
      <left style="thin">
        <color rgb="FF54BCC5"/>
      </left>
      <right/>
      <top style="medium">
        <color rgb="FF54BCC5"/>
      </top>
      <bottom style="medium">
        <color rgb="FF54BCC5"/>
      </bottom>
      <diagonal/>
    </border>
    <border>
      <left style="thin">
        <color rgb="FF54BCC5"/>
      </left>
      <right/>
      <top style="medium">
        <color rgb="FF54BCC5"/>
      </top>
      <bottom/>
      <diagonal/>
    </border>
    <border>
      <left/>
      <right style="thin">
        <color theme="0" tint="-0.24994659260841701"/>
      </right>
      <top style="medium">
        <color rgb="FF54BCC5"/>
      </top>
      <bottom style="thin">
        <color theme="0" tint="-0.24994659260841701"/>
      </bottom>
      <diagonal/>
    </border>
    <border>
      <left style="thin">
        <color theme="0" tint="-0.24994659260841701"/>
      </left>
      <right style="thin">
        <color theme="0" tint="-0.24994659260841701"/>
      </right>
      <top style="medium">
        <color rgb="FF54BCC5"/>
      </top>
      <bottom style="thin">
        <color theme="0" tint="-0.24994659260841701"/>
      </bottom>
      <diagonal/>
    </border>
    <border>
      <left style="thin">
        <color theme="0" tint="-0.24994659260841701"/>
      </left>
      <right/>
      <top style="medium">
        <color rgb="FF54BCC5"/>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rgb="FF54BCC5"/>
      </bottom>
      <diagonal/>
    </border>
    <border>
      <left style="thin">
        <color theme="0" tint="-0.24994659260841701"/>
      </left>
      <right style="thin">
        <color theme="0" tint="-0.24994659260841701"/>
      </right>
      <top style="thin">
        <color theme="0" tint="-0.24994659260841701"/>
      </top>
      <bottom style="medium">
        <color rgb="FF54BCC5"/>
      </bottom>
      <diagonal/>
    </border>
    <border>
      <left style="thin">
        <color theme="0" tint="-0.24994659260841701"/>
      </left>
      <right/>
      <top style="thin">
        <color theme="0" tint="-0.24994659260841701"/>
      </top>
      <bottom style="medium">
        <color rgb="FF54BCC5"/>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34998626667073579"/>
      </right>
      <top style="medium">
        <color rgb="FF54BCC5"/>
      </top>
      <bottom style="thin">
        <color theme="0" tint="-0.34998626667073579"/>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medium">
        <color rgb="FF54BCC5"/>
      </top>
      <bottom style="thin">
        <color theme="0" tint="-0.249977111117893"/>
      </bottom>
      <diagonal/>
    </border>
    <border>
      <left style="thin">
        <color theme="0" tint="-0.249977111117893"/>
      </left>
      <right style="thin">
        <color theme="0" tint="-0.249977111117893"/>
      </right>
      <top style="medium">
        <color rgb="FF54BCC5"/>
      </top>
      <bottom style="thin">
        <color theme="0" tint="-0.34998626667073579"/>
      </bottom>
      <diagonal/>
    </border>
    <border>
      <left style="thin">
        <color theme="0" tint="-0.249977111117893"/>
      </left>
      <right style="thin">
        <color theme="0" tint="-0.249977111117893"/>
      </right>
      <top style="thin">
        <color theme="0" tint="-0.34998626667073579"/>
      </top>
      <bottom style="thin">
        <color theme="0" tint="-0.34998626667073579"/>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medium">
        <color rgb="FF54BCC5"/>
      </top>
      <bottom style="thin">
        <color theme="0" tint="-0.249977111117893"/>
      </bottom>
      <diagonal/>
    </border>
    <border>
      <left style="thin">
        <color theme="0" tint="-0.249977111117893"/>
      </left>
      <right/>
      <top style="medium">
        <color rgb="FF54BCC5"/>
      </top>
      <bottom style="thin">
        <color theme="0" tint="-0.249977111117893"/>
      </bottom>
      <diagonal/>
    </border>
    <border>
      <left/>
      <right style="thin">
        <color theme="0" tint="-0.249977111117893"/>
      </right>
      <top/>
      <bottom style="thin">
        <color theme="0" tint="-0.249977111117893"/>
      </bottom>
      <diagonal/>
    </border>
    <border>
      <left style="thin">
        <color rgb="FF54BCC5"/>
      </left>
      <right/>
      <top/>
      <bottom style="medium">
        <color rgb="FF54BCC5"/>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medium">
        <color theme="0" tint="-0.24994659260841701"/>
      </top>
      <bottom style="medium">
        <color rgb="FF54BCC5"/>
      </bottom>
      <diagonal/>
    </border>
    <border>
      <left style="thin">
        <color theme="0" tint="-0.24994659260841701"/>
      </left>
      <right style="thin">
        <color theme="0" tint="-0.24994659260841701"/>
      </right>
      <top style="medium">
        <color theme="0" tint="-0.24994659260841701"/>
      </top>
      <bottom style="medium">
        <color rgb="FF54BCC5"/>
      </bottom>
      <diagonal/>
    </border>
    <border>
      <left style="thin">
        <color theme="0" tint="-0.24994659260841701"/>
      </left>
      <right/>
      <top style="medium">
        <color theme="0" tint="-0.24994659260841701"/>
      </top>
      <bottom style="medium">
        <color rgb="FF54BCC5"/>
      </bottom>
      <diagonal/>
    </border>
    <border>
      <left/>
      <right style="thin">
        <color theme="0" tint="-0.34998626667073579"/>
      </right>
      <top style="medium">
        <color theme="0" tint="-0.34998626667073579"/>
      </top>
      <bottom style="medium">
        <color rgb="FF54BCC5"/>
      </bottom>
      <diagonal/>
    </border>
    <border>
      <left style="thin">
        <color theme="0" tint="-0.34998626667073579"/>
      </left>
      <right style="thin">
        <color theme="0" tint="-0.34998626667073579"/>
      </right>
      <top style="medium">
        <color theme="0" tint="-0.34998626667073579"/>
      </top>
      <bottom style="medium">
        <color rgb="FF54BCC5"/>
      </bottom>
      <diagonal/>
    </border>
    <border>
      <left style="thin">
        <color theme="0" tint="-0.34998626667073579"/>
      </left>
      <right/>
      <top style="medium">
        <color theme="0" tint="-0.34998626667073579"/>
      </top>
      <bottom style="medium">
        <color rgb="FF54BCC5"/>
      </bottom>
      <diagonal/>
    </border>
    <border>
      <left style="medium">
        <color theme="0" tint="-0.34998626667073579"/>
      </left>
      <right/>
      <top style="medium">
        <color rgb="FF54BCC5"/>
      </top>
      <bottom style="thin">
        <color theme="0" tint="-0.34998626667073579"/>
      </bottom>
      <diagonal/>
    </border>
    <border>
      <left style="thin">
        <color theme="0" tint="-0.34998626667073579"/>
      </left>
      <right/>
      <top/>
      <bottom style="medium">
        <color rgb="FF54BCC5"/>
      </bottom>
      <diagonal/>
    </border>
    <border>
      <left style="medium">
        <color theme="0" tint="-0.34998626667073579"/>
      </left>
      <right/>
      <top style="thin">
        <color theme="0" tint="-0.34998626667073579"/>
      </top>
      <bottom style="thin">
        <color theme="0" tint="-0.34998626667073579"/>
      </bottom>
      <diagonal/>
    </border>
    <border>
      <left/>
      <right style="thin">
        <color theme="0" tint="-0.34998626667073579"/>
      </right>
      <top style="medium">
        <color rgb="FF54BCC5"/>
      </top>
      <bottom style="medium">
        <color theme="0" tint="-0.34998626667073579"/>
      </bottom>
      <diagonal/>
    </border>
    <border>
      <left style="thin">
        <color theme="0" tint="-0.34998626667073579"/>
      </left>
      <right style="thin">
        <color theme="0" tint="-0.34998626667073579"/>
      </right>
      <top style="medium">
        <color rgb="FF54BCC5"/>
      </top>
      <bottom style="medium">
        <color theme="0" tint="-0.34998626667073579"/>
      </bottom>
      <diagonal/>
    </border>
    <border>
      <left style="thin">
        <color theme="0" tint="-0.34998626667073579"/>
      </left>
      <right/>
      <top style="medium">
        <color rgb="FF54BCC5"/>
      </top>
      <bottom style="medium">
        <color theme="0" tint="-0.34998626667073579"/>
      </bottom>
      <diagonal/>
    </border>
    <border>
      <left/>
      <right/>
      <top style="medium">
        <color rgb="FF54BCC5"/>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rgb="FF54BCC5"/>
      </bottom>
      <diagonal/>
    </border>
    <border>
      <left/>
      <right/>
      <top style="thin">
        <color rgb="FF54BCC5"/>
      </top>
      <bottom/>
      <diagonal/>
    </border>
    <border>
      <left/>
      <right style="thin">
        <color theme="0" tint="-0.24994659260841701"/>
      </right>
      <top style="medium">
        <color rgb="FF54BCC5"/>
      </top>
      <bottom style="medium">
        <color rgb="FF54BCC5"/>
      </bottom>
      <diagonal/>
    </border>
    <border>
      <left style="thin">
        <color theme="0" tint="-0.24994659260841701"/>
      </left>
      <right/>
      <top style="medium">
        <color rgb="FF54BCC5"/>
      </top>
      <bottom style="medium">
        <color rgb="FF54BCC5"/>
      </bottom>
      <diagonal/>
    </border>
    <border>
      <left style="thin">
        <color theme="0" tint="-0.24994659260841701"/>
      </left>
      <right/>
      <top/>
      <bottom/>
      <diagonal/>
    </border>
    <border>
      <left/>
      <right style="thin">
        <color theme="0" tint="-0.24994659260841701"/>
      </right>
      <top/>
      <bottom/>
      <diagonal/>
    </border>
    <border>
      <left/>
      <right/>
      <top style="thin">
        <color theme="0" tint="-0.24994659260841701"/>
      </top>
      <bottom/>
      <diagonal/>
    </border>
    <border>
      <left style="thin">
        <color theme="0" tint="-0.24994659260841701"/>
      </left>
      <right/>
      <top/>
      <bottom style="medium">
        <color rgb="FF54BCC5"/>
      </bottom>
      <diagonal/>
    </border>
    <border>
      <left/>
      <right style="thin">
        <color theme="0" tint="-0.24994659260841701"/>
      </right>
      <top/>
      <bottom style="medium">
        <color rgb="FF54BCC5"/>
      </bottom>
      <diagonal/>
    </border>
    <border>
      <left style="thin">
        <color theme="0" tint="-0.24994659260841701"/>
      </left>
      <right style="thin">
        <color theme="0" tint="-0.24994659260841701"/>
      </right>
      <top style="medium">
        <color rgb="FF54BCC5"/>
      </top>
      <bottom style="medium">
        <color rgb="FF54BCC5"/>
      </bottom>
      <diagonal/>
    </border>
    <border>
      <left/>
      <right style="thin">
        <color theme="0" tint="-0.24994659260841701"/>
      </right>
      <top style="medium">
        <color rgb="FF54BCC5"/>
      </top>
      <bottom/>
      <diagonal/>
    </border>
    <border>
      <left/>
      <right/>
      <top/>
      <bottom style="thin">
        <color theme="0" tint="-0.2499465926084170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style="thin">
        <color theme="0" tint="-0.249977111117893"/>
      </right>
      <top style="medium">
        <color rgb="FF54BCC5"/>
      </top>
      <bottom style="thin">
        <color theme="0" tint="-0.24994659260841701"/>
      </bottom>
      <diagonal/>
    </border>
    <border>
      <left/>
      <right style="thin">
        <color theme="0" tint="-0.249977111117893"/>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style="thin">
        <color theme="0" tint="-0.24994659260841701"/>
      </top>
      <bottom style="medium">
        <color theme="0" tint="-0.34998626667073579"/>
      </bottom>
      <diagonal/>
    </border>
    <border>
      <left/>
      <right style="thin">
        <color theme="0" tint="-0.24994659260841701"/>
      </right>
      <top style="thin">
        <color theme="0" tint="-0.24994659260841701"/>
      </top>
      <bottom style="medium">
        <color theme="0" tint="-0.34998626667073579"/>
      </bottom>
      <diagonal/>
    </border>
    <border>
      <left/>
      <right/>
      <top style="medium">
        <color rgb="FF54BCC5"/>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medium">
        <color rgb="FF54BCC5"/>
      </top>
      <bottom/>
      <diagonal/>
    </border>
    <border>
      <left style="thin">
        <color theme="0" tint="-0.24994659260841701"/>
      </left>
      <right/>
      <top style="medium">
        <color rgb="FF54BCC5"/>
      </top>
      <bottom/>
      <diagonal/>
    </border>
    <border>
      <left/>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4659260841701"/>
      </top>
      <bottom/>
      <diagonal/>
    </border>
    <border diagonalUp="1" diagonalDown="1">
      <left/>
      <right/>
      <top style="medium">
        <color rgb="FF54BCC5"/>
      </top>
      <bottom/>
      <diagonal/>
    </border>
    <border diagonalUp="1" diagonalDown="1">
      <left/>
      <right/>
      <top/>
      <bottom/>
      <diagonal/>
    </border>
    <border diagonalUp="1" diagonalDown="1">
      <left/>
      <right/>
      <top/>
      <bottom style="medium">
        <color rgb="FF54BCC5"/>
      </bottom>
      <diagonal/>
    </border>
    <border>
      <left/>
      <right style="thin">
        <color rgb="FF54BCC5"/>
      </right>
      <top/>
      <bottom/>
      <diagonal/>
    </border>
    <border>
      <left style="thin">
        <color rgb="FF54BCC5"/>
      </left>
      <right style="thin">
        <color rgb="FF54BCC5"/>
      </right>
      <top style="thin">
        <color rgb="FF54BCC5"/>
      </top>
      <bottom/>
      <diagonal/>
    </border>
    <border>
      <left style="thin">
        <color rgb="FF54BCC5"/>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top style="thin">
        <color theme="0" tint="-0.34998626667073579"/>
      </top>
      <bottom style="thin">
        <color theme="0" tint="-0.34998626667073579"/>
      </bottom>
      <diagonal/>
    </border>
    <border>
      <left/>
      <right style="thin">
        <color theme="0" tint="-0.249977111117893"/>
      </right>
      <top style="thin">
        <color theme="0" tint="-0.34998626667073579"/>
      </top>
      <bottom style="thin">
        <color theme="0" tint="-0.34998626667073579"/>
      </bottom>
      <diagonal/>
    </border>
    <border>
      <left style="medium">
        <color rgb="FF54BCC5"/>
      </left>
      <right style="thin">
        <color indexed="64"/>
      </right>
      <top style="medium">
        <color rgb="FF54BCC5"/>
      </top>
      <bottom style="medium">
        <color rgb="FF54BCC5"/>
      </bottom>
      <diagonal/>
    </border>
    <border>
      <left style="thin">
        <color indexed="64"/>
      </left>
      <right style="thin">
        <color indexed="64"/>
      </right>
      <top style="medium">
        <color rgb="FF54BCC5"/>
      </top>
      <bottom style="medium">
        <color rgb="FF54BCC5"/>
      </bottom>
      <diagonal/>
    </border>
    <border>
      <left style="thin">
        <color indexed="64"/>
      </left>
      <right style="medium">
        <color rgb="FF54BCC5"/>
      </right>
      <top style="medium">
        <color rgb="FF54BCC5"/>
      </top>
      <bottom style="medium">
        <color rgb="FF54BCC5"/>
      </bottom>
      <diagonal/>
    </border>
    <border>
      <left style="thin">
        <color indexed="64"/>
      </left>
      <right style="thin">
        <color indexed="64"/>
      </right>
      <top/>
      <bottom style="thin">
        <color indexed="64"/>
      </bottom>
      <diagonal/>
    </border>
  </borders>
  <cellStyleXfs count="16">
    <xf numFmtId="0" fontId="0" fillId="0" borderId="0">
      <alignment vertical="center"/>
    </xf>
    <xf numFmtId="0" fontId="2" fillId="0" borderId="0">
      <alignment vertical="center"/>
    </xf>
    <xf numFmtId="0" fontId="3" fillId="0" borderId="0">
      <alignment vertical="center"/>
    </xf>
    <xf numFmtId="0" fontId="3" fillId="0" borderId="0"/>
    <xf numFmtId="0" fontId="3" fillId="0" borderId="0">
      <alignment vertical="center"/>
    </xf>
    <xf numFmtId="0" fontId="19" fillId="0" borderId="0" applyNumberFormat="0" applyFill="0" applyBorder="0" applyAlignment="0" applyProtection="0">
      <alignment vertical="top"/>
      <protection locked="0"/>
    </xf>
    <xf numFmtId="0" fontId="3" fillId="0" borderId="0">
      <alignment vertical="center"/>
    </xf>
    <xf numFmtId="0" fontId="3" fillId="0" borderId="0"/>
    <xf numFmtId="0" fontId="2" fillId="0" borderId="0"/>
    <xf numFmtId="0" fontId="2" fillId="0" borderId="0">
      <alignment vertical="center"/>
    </xf>
    <xf numFmtId="0" fontId="11" fillId="3" borderId="13" applyBorder="0">
      <alignment horizontal="center" vertical="center" wrapText="1"/>
    </xf>
    <xf numFmtId="0" fontId="2" fillId="0" borderId="0">
      <alignment vertical="center"/>
    </xf>
    <xf numFmtId="0" fontId="55" fillId="0" borderId="0"/>
    <xf numFmtId="0" fontId="70" fillId="0" borderId="0"/>
    <xf numFmtId="0" fontId="3" fillId="0" borderId="0">
      <alignment vertical="center"/>
    </xf>
    <xf numFmtId="0" fontId="3" fillId="0" borderId="0"/>
  </cellStyleXfs>
  <cellXfs count="542">
    <xf numFmtId="0" fontId="0" fillId="0" borderId="0" xfId="0">
      <alignment vertical="center"/>
    </xf>
    <xf numFmtId="0" fontId="2" fillId="2" borderId="0" xfId="1" applyFill="1">
      <alignment vertical="center"/>
    </xf>
    <xf numFmtId="0" fontId="3" fillId="0" borderId="0" xfId="2">
      <alignment vertical="center"/>
    </xf>
    <xf numFmtId="0" fontId="4" fillId="2" borderId="0" xfId="1" applyFont="1" applyFill="1">
      <alignment vertical="center"/>
    </xf>
    <xf numFmtId="0" fontId="6" fillId="2" borderId="0" xfId="1" applyFont="1" applyFill="1">
      <alignment vertical="center"/>
    </xf>
    <xf numFmtId="0" fontId="7" fillId="2" borderId="0" xfId="2" applyFont="1" applyFill="1">
      <alignment vertical="center"/>
    </xf>
    <xf numFmtId="0" fontId="15" fillId="2" borderId="0" xfId="1" applyFont="1" applyFill="1" applyAlignment="1">
      <alignment horizontal="left" vertical="center"/>
    </xf>
    <xf numFmtId="0" fontId="3" fillId="2" borderId="0" xfId="2" applyFill="1">
      <alignment vertical="center"/>
    </xf>
    <xf numFmtId="0" fontId="9" fillId="2" borderId="0" xfId="2" applyFont="1" applyFill="1">
      <alignment vertical="center"/>
    </xf>
    <xf numFmtId="0" fontId="17" fillId="2" borderId="0" xfId="1" applyFont="1" applyFill="1">
      <alignment vertical="center"/>
    </xf>
    <xf numFmtId="0" fontId="18" fillId="2" borderId="0" xfId="1" applyFont="1" applyFill="1">
      <alignment vertical="center"/>
    </xf>
    <xf numFmtId="0" fontId="10" fillId="4" borderId="21" xfId="2" applyFont="1" applyFill="1" applyBorder="1" applyAlignment="1">
      <alignment horizontal="center" vertical="center"/>
    </xf>
    <xf numFmtId="0" fontId="10" fillId="4" borderId="6" xfId="2" applyFont="1" applyFill="1" applyBorder="1" applyAlignment="1">
      <alignment horizontal="center" vertical="center"/>
    </xf>
    <xf numFmtId="0" fontId="10" fillId="4" borderId="23" xfId="2" applyFont="1" applyFill="1" applyBorder="1" applyAlignment="1">
      <alignment horizontal="center" vertical="center"/>
    </xf>
    <xf numFmtId="0" fontId="10" fillId="4" borderId="4" xfId="2" applyFont="1" applyFill="1" applyBorder="1" applyAlignment="1">
      <alignment horizontal="center" vertical="center"/>
    </xf>
    <xf numFmtId="0" fontId="10" fillId="4" borderId="27" xfId="2" applyFont="1" applyFill="1" applyBorder="1" applyAlignment="1">
      <alignment horizontal="center" vertical="center"/>
    </xf>
    <xf numFmtId="0" fontId="10" fillId="4" borderId="11" xfId="2" applyFont="1" applyFill="1" applyBorder="1" applyAlignment="1">
      <alignment horizontal="center" vertical="center"/>
    </xf>
    <xf numFmtId="0" fontId="10" fillId="4" borderId="7" xfId="2" applyFont="1" applyFill="1" applyBorder="1" applyAlignment="1">
      <alignment horizontal="center" vertical="center"/>
    </xf>
    <xf numFmtId="0" fontId="10" fillId="4" borderId="3" xfId="2" applyFont="1" applyFill="1" applyBorder="1" applyAlignment="1">
      <alignment horizontal="center" vertical="center"/>
    </xf>
    <xf numFmtId="0" fontId="10" fillId="4" borderId="9" xfId="2" applyFont="1" applyFill="1" applyBorder="1" applyAlignment="1">
      <alignment horizontal="center" vertical="center"/>
    </xf>
    <xf numFmtId="0" fontId="10" fillId="4" borderId="12" xfId="2" applyFont="1" applyFill="1" applyBorder="1" applyAlignment="1">
      <alignment horizontal="center" vertical="center"/>
    </xf>
    <xf numFmtId="0" fontId="28" fillId="2" borderId="0" xfId="1" applyFont="1" applyFill="1" applyAlignment="1">
      <alignment horizontal="right" vertical="center"/>
    </xf>
    <xf numFmtId="0" fontId="10" fillId="4" borderId="5" xfId="2" applyFont="1" applyFill="1" applyBorder="1" applyAlignment="1">
      <alignment horizontal="center" vertical="center"/>
    </xf>
    <xf numFmtId="0" fontId="10" fillId="4" borderId="8" xfId="2" applyFont="1" applyFill="1" applyBorder="1" applyAlignment="1">
      <alignment horizontal="center" vertical="center"/>
    </xf>
    <xf numFmtId="0" fontId="10" fillId="4" borderId="10" xfId="2" applyFont="1" applyFill="1" applyBorder="1" applyAlignment="1">
      <alignment horizontal="center" vertical="center"/>
    </xf>
    <xf numFmtId="0" fontId="29" fillId="4" borderId="9" xfId="2" applyFont="1" applyFill="1" applyBorder="1" applyAlignment="1">
      <alignment horizontal="center" vertical="center"/>
    </xf>
    <xf numFmtId="0" fontId="22" fillId="4" borderId="9" xfId="2" applyFont="1" applyFill="1" applyBorder="1" applyAlignment="1">
      <alignment horizontal="center" vertical="center"/>
    </xf>
    <xf numFmtId="0" fontId="21" fillId="4" borderId="29" xfId="2" applyFont="1" applyFill="1" applyBorder="1" applyAlignment="1">
      <alignment horizontal="center" vertical="center"/>
    </xf>
    <xf numFmtId="0" fontId="10" fillId="4" borderId="30"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9" xfId="2" applyFont="1" applyFill="1" applyBorder="1" applyAlignment="1">
      <alignment horizontal="center" vertical="center"/>
    </xf>
    <xf numFmtId="0" fontId="10" fillId="4" borderId="20" xfId="2" applyFont="1" applyFill="1" applyBorder="1" applyAlignment="1">
      <alignment horizontal="center" vertical="center"/>
    </xf>
    <xf numFmtId="0" fontId="10" fillId="4" borderId="26" xfId="2" applyFont="1" applyFill="1" applyBorder="1" applyAlignment="1">
      <alignment horizontal="center" vertical="center"/>
    </xf>
    <xf numFmtId="0" fontId="6" fillId="2" borderId="0" xfId="1" applyFont="1" applyFill="1" applyAlignment="1">
      <alignment horizontal="center" vertical="center"/>
    </xf>
    <xf numFmtId="0" fontId="31" fillId="2" borderId="0" xfId="1" applyFont="1" applyFill="1" applyAlignment="1">
      <alignment horizontal="left" vertical="center"/>
    </xf>
    <xf numFmtId="0" fontId="28" fillId="2" borderId="0" xfId="1" applyFont="1" applyFill="1">
      <alignment vertical="center"/>
    </xf>
    <xf numFmtId="0" fontId="14" fillId="2" borderId="0" xfId="2" applyFont="1" applyFill="1">
      <alignment vertical="center"/>
    </xf>
    <xf numFmtId="0" fontId="37" fillId="2" borderId="0" xfId="1" applyFont="1" applyFill="1">
      <alignment vertical="center"/>
    </xf>
    <xf numFmtId="0" fontId="12" fillId="2" borderId="0" xfId="2" applyFont="1" applyFill="1">
      <alignment vertical="center"/>
    </xf>
    <xf numFmtId="0" fontId="14" fillId="2" borderId="0" xfId="2" applyFont="1" applyFill="1" applyAlignment="1">
      <alignment vertical="center" wrapText="1"/>
    </xf>
    <xf numFmtId="0" fontId="6" fillId="2" borderId="0" xfId="2" applyFont="1" applyFill="1">
      <alignment vertical="center"/>
    </xf>
    <xf numFmtId="0" fontId="38" fillId="2" borderId="0" xfId="2" applyFont="1" applyFill="1" applyAlignment="1">
      <alignment horizontal="left" vertical="center"/>
    </xf>
    <xf numFmtId="0" fontId="39" fillId="2" borderId="0" xfId="2" applyFont="1" applyFill="1">
      <alignment vertical="center"/>
    </xf>
    <xf numFmtId="0" fontId="40" fillId="2" borderId="0" xfId="2" applyFont="1" applyFill="1" applyAlignment="1">
      <alignment horizontal="left" vertical="center"/>
    </xf>
    <xf numFmtId="0" fontId="40" fillId="2" borderId="0" xfId="2" applyFont="1" applyFill="1">
      <alignment vertical="center"/>
    </xf>
    <xf numFmtId="0" fontId="41" fillId="2" borderId="0" xfId="1" applyFont="1" applyFill="1" applyAlignment="1">
      <alignment horizontal="left" vertical="center"/>
    </xf>
    <xf numFmtId="0" fontId="7" fillId="2" borderId="32" xfId="2" applyFont="1" applyFill="1" applyBorder="1" applyAlignment="1">
      <alignment horizontal="center" vertical="center"/>
    </xf>
    <xf numFmtId="0" fontId="27" fillId="2" borderId="0" xfId="1" applyFont="1" applyFill="1">
      <alignment vertical="center"/>
    </xf>
    <xf numFmtId="0" fontId="7" fillId="2" borderId="32" xfId="6" applyFont="1" applyFill="1" applyBorder="1" applyAlignment="1">
      <alignment horizontal="center" vertical="center" wrapText="1"/>
    </xf>
    <xf numFmtId="0" fontId="7" fillId="2" borderId="33" xfId="2" applyFont="1" applyFill="1" applyBorder="1" applyAlignment="1">
      <alignment horizontal="center" vertical="center"/>
    </xf>
    <xf numFmtId="0" fontId="7" fillId="2" borderId="33" xfId="6" applyFont="1" applyFill="1" applyBorder="1" applyAlignment="1">
      <alignment horizontal="center" vertical="center" wrapText="1"/>
    </xf>
    <xf numFmtId="0" fontId="7" fillId="2" borderId="0" xfId="6" applyFont="1" applyFill="1" applyAlignment="1">
      <alignment horizontal="center" vertical="center" wrapText="1"/>
    </xf>
    <xf numFmtId="0" fontId="33" fillId="2" borderId="32" xfId="1" applyFont="1" applyFill="1" applyBorder="1" applyAlignment="1">
      <alignment vertical="center" wrapText="1"/>
    </xf>
    <xf numFmtId="0" fontId="33" fillId="2" borderId="32" xfId="1" applyFont="1" applyFill="1" applyBorder="1" applyAlignment="1">
      <alignment horizontal="center" vertical="center" wrapText="1"/>
    </xf>
    <xf numFmtId="0" fontId="33" fillId="2" borderId="32" xfId="2" quotePrefix="1" applyFont="1" applyFill="1" applyBorder="1" applyAlignment="1">
      <alignment vertical="center" wrapText="1"/>
    </xf>
    <xf numFmtId="0" fontId="33" fillId="2" borderId="32" xfId="1" applyFont="1" applyFill="1" applyBorder="1" applyAlignment="1">
      <alignment horizontal="justify" vertical="center" wrapText="1"/>
    </xf>
    <xf numFmtId="0" fontId="14" fillId="2" borderId="32" xfId="8" applyFont="1" applyFill="1" applyBorder="1" applyAlignment="1">
      <alignment horizontal="center" vertical="center"/>
    </xf>
    <xf numFmtId="0" fontId="14" fillId="2" borderId="32" xfId="7" applyFont="1" applyFill="1" applyBorder="1" applyAlignment="1">
      <alignment horizontal="center" vertical="center" wrapText="1"/>
    </xf>
    <xf numFmtId="0" fontId="14" fillId="2" borderId="32" xfId="7" applyFont="1" applyFill="1" applyBorder="1" applyAlignment="1" applyProtection="1">
      <alignment horizontal="center" vertical="center" wrapText="1"/>
      <protection locked="0"/>
    </xf>
    <xf numFmtId="0" fontId="2" fillId="0" borderId="0" xfId="11">
      <alignment vertical="center"/>
    </xf>
    <xf numFmtId="0" fontId="43" fillId="2" borderId="0" xfId="0" applyFont="1" applyFill="1" applyAlignment="1">
      <alignment vertical="center" shrinkToFit="1"/>
    </xf>
    <xf numFmtId="0" fontId="10" fillId="6" borderId="46" xfId="3" applyFont="1" applyFill="1" applyBorder="1" applyAlignment="1">
      <alignment horizontal="center" vertical="center" wrapText="1"/>
    </xf>
    <xf numFmtId="0" fontId="10" fillId="6" borderId="47" xfId="3" applyFont="1" applyFill="1" applyBorder="1" applyAlignment="1">
      <alignment horizontal="center" vertical="center" wrapText="1"/>
    </xf>
    <xf numFmtId="0" fontId="8" fillId="2" borderId="0" xfId="2" applyFont="1" applyFill="1">
      <alignment vertical="center"/>
    </xf>
    <xf numFmtId="0" fontId="10" fillId="2" borderId="0" xfId="2" applyFont="1" applyFill="1">
      <alignment vertical="center"/>
    </xf>
    <xf numFmtId="0" fontId="7" fillId="2" borderId="0" xfId="4" applyFont="1" applyFill="1">
      <alignment vertical="center"/>
    </xf>
    <xf numFmtId="0" fontId="7" fillId="2" borderId="0" xfId="2" applyFont="1" applyFill="1" applyAlignment="1">
      <alignment horizontal="center" vertical="center"/>
    </xf>
    <xf numFmtId="0" fontId="8" fillId="2" borderId="31" xfId="2" applyFont="1" applyFill="1" applyBorder="1">
      <alignment vertical="center"/>
    </xf>
    <xf numFmtId="0" fontId="12" fillId="0" borderId="31" xfId="4" applyFont="1" applyBorder="1">
      <alignment vertical="center"/>
    </xf>
    <xf numFmtId="0" fontId="7" fillId="2" borderId="31" xfId="2" applyFont="1" applyFill="1" applyBorder="1">
      <alignment vertical="center"/>
    </xf>
    <xf numFmtId="0" fontId="40" fillId="2" borderId="0" xfId="1" applyFont="1" applyFill="1" applyAlignment="1">
      <alignment horizontal="left" vertical="center"/>
    </xf>
    <xf numFmtId="0" fontId="13" fillId="6" borderId="53" xfId="1" applyFont="1" applyFill="1" applyBorder="1" applyAlignment="1">
      <alignment horizontal="center" vertical="center"/>
    </xf>
    <xf numFmtId="0" fontId="13" fillId="6" borderId="45" xfId="1" applyFont="1" applyFill="1" applyBorder="1" applyAlignment="1">
      <alignment horizontal="center" vertical="center"/>
    </xf>
    <xf numFmtId="0" fontId="13" fillId="6" borderId="46" xfId="1" applyFont="1" applyFill="1" applyBorder="1" applyAlignment="1">
      <alignment horizontal="center" vertical="center"/>
    </xf>
    <xf numFmtId="0" fontId="4" fillId="2" borderId="55" xfId="1" applyFont="1" applyFill="1" applyBorder="1" applyAlignment="1">
      <alignment horizontal="center" vertical="center"/>
    </xf>
    <xf numFmtId="0" fontId="7" fillId="2" borderId="58" xfId="2" applyFont="1" applyFill="1" applyBorder="1" applyAlignment="1">
      <alignment horizontal="center" vertical="center"/>
    </xf>
    <xf numFmtId="0" fontId="7" fillId="2" borderId="61" xfId="2" applyFont="1" applyFill="1" applyBorder="1" applyAlignment="1">
      <alignment horizontal="center" vertical="center"/>
    </xf>
    <xf numFmtId="0" fontId="20" fillId="0" borderId="58" xfId="1" applyFont="1" applyBorder="1" applyAlignment="1">
      <alignment horizontal="center" vertical="center" wrapText="1"/>
    </xf>
    <xf numFmtId="0" fontId="4" fillId="0" borderId="58" xfId="1" applyFont="1" applyBorder="1" applyAlignment="1">
      <alignment horizontal="center" vertical="center"/>
    </xf>
    <xf numFmtId="0" fontId="20" fillId="2" borderId="59" xfId="1" applyFont="1" applyFill="1" applyBorder="1" applyAlignment="1">
      <alignment horizontal="center" vertical="center" wrapText="1"/>
    </xf>
    <xf numFmtId="0" fontId="20" fillId="0" borderId="61" xfId="1" applyFont="1" applyBorder="1" applyAlignment="1">
      <alignment horizontal="center" vertical="center" wrapText="1"/>
    </xf>
    <xf numFmtId="0" fontId="4" fillId="0" borderId="61" xfId="1" applyFont="1" applyBorder="1" applyAlignment="1">
      <alignment horizontal="center" vertical="center"/>
    </xf>
    <xf numFmtId="0" fontId="20" fillId="2" borderId="62" xfId="1" applyFont="1" applyFill="1" applyBorder="1" applyAlignment="1">
      <alignment horizontal="center" vertical="center" wrapText="1"/>
    </xf>
    <xf numFmtId="0" fontId="26" fillId="2" borderId="58" xfId="3" applyFont="1" applyFill="1" applyBorder="1" applyAlignment="1">
      <alignment horizontal="center" vertical="center" wrapText="1"/>
    </xf>
    <xf numFmtId="0" fontId="26" fillId="2" borderId="61" xfId="3" applyFont="1" applyFill="1" applyBorder="1" applyAlignment="1">
      <alignment horizontal="center" vertical="center" wrapText="1"/>
    </xf>
    <xf numFmtId="0" fontId="26" fillId="2" borderId="62" xfId="3" applyFont="1" applyFill="1" applyBorder="1" applyAlignment="1">
      <alignment horizontal="center" vertical="center" wrapText="1"/>
    </xf>
    <xf numFmtId="0" fontId="7" fillId="2" borderId="58" xfId="2" applyFont="1" applyFill="1" applyBorder="1">
      <alignment vertical="center"/>
    </xf>
    <xf numFmtId="0" fontId="7" fillId="2" borderId="58" xfId="6" applyFont="1" applyFill="1" applyBorder="1" applyAlignment="1">
      <alignment horizontal="center" vertical="center" wrapText="1"/>
    </xf>
    <xf numFmtId="0" fontId="7" fillId="2" borderId="59" xfId="6" applyFont="1" applyFill="1" applyBorder="1" applyAlignment="1">
      <alignment horizontal="center" vertical="center" wrapText="1"/>
    </xf>
    <xf numFmtId="0" fontId="7" fillId="2" borderId="61" xfId="2" applyFont="1" applyFill="1" applyBorder="1">
      <alignment vertical="center"/>
    </xf>
    <xf numFmtId="0" fontId="7" fillId="2" borderId="61" xfId="6" applyFont="1" applyFill="1" applyBorder="1" applyAlignment="1">
      <alignment horizontal="center" vertical="center" wrapText="1"/>
    </xf>
    <xf numFmtId="0" fontId="7" fillId="2" borderId="62" xfId="6" applyFont="1" applyFill="1" applyBorder="1" applyAlignment="1">
      <alignment horizontal="center" vertical="center" wrapText="1"/>
    </xf>
    <xf numFmtId="0" fontId="7" fillId="7" borderId="68" xfId="2" applyFont="1" applyFill="1" applyBorder="1" applyAlignment="1">
      <alignment horizontal="center" vertical="center"/>
    </xf>
    <xf numFmtId="0" fontId="7" fillId="7" borderId="69" xfId="2" applyFont="1" applyFill="1" applyBorder="1" applyAlignment="1">
      <alignment horizontal="center" vertical="center"/>
    </xf>
    <xf numFmtId="0" fontId="7" fillId="2" borderId="59" xfId="6" applyFont="1" applyFill="1" applyBorder="1" applyAlignment="1">
      <alignment horizontal="left" vertical="center" wrapText="1"/>
    </xf>
    <xf numFmtId="0" fontId="7" fillId="2" borderId="62" xfId="6" applyFont="1" applyFill="1" applyBorder="1" applyAlignment="1">
      <alignment horizontal="left" vertical="center" wrapText="1"/>
    </xf>
    <xf numFmtId="0" fontId="7" fillId="2" borderId="73" xfId="6" applyFont="1" applyFill="1" applyBorder="1" applyAlignment="1">
      <alignment horizontal="center" vertical="center" wrapText="1"/>
    </xf>
    <xf numFmtId="0" fontId="7" fillId="2" borderId="74" xfId="6" applyFont="1" applyFill="1" applyBorder="1" applyAlignment="1">
      <alignment horizontal="center" vertical="center" wrapText="1"/>
    </xf>
    <xf numFmtId="0" fontId="7" fillId="2" borderId="33" xfId="2" applyFont="1" applyFill="1" applyBorder="1" applyAlignment="1">
      <alignment vertical="center" wrapText="1"/>
    </xf>
    <xf numFmtId="0" fontId="13" fillId="6" borderId="54" xfId="3" applyFont="1" applyFill="1" applyBorder="1" applyAlignment="1" applyProtection="1">
      <alignment horizontal="center" vertical="center" wrapText="1"/>
      <protection locked="0"/>
    </xf>
    <xf numFmtId="0" fontId="13" fillId="6" borderId="55" xfId="3" applyFont="1" applyFill="1" applyBorder="1" applyAlignment="1" applyProtection="1">
      <alignment horizontal="center" vertical="center" wrapText="1"/>
      <protection locked="0"/>
    </xf>
    <xf numFmtId="0" fontId="33" fillId="2" borderId="33" xfId="1" applyFont="1" applyFill="1" applyBorder="1" applyAlignment="1">
      <alignment vertical="center" wrapText="1"/>
    </xf>
    <xf numFmtId="0" fontId="33" fillId="2" borderId="33" xfId="1" applyFont="1" applyFill="1" applyBorder="1" applyAlignment="1">
      <alignment horizontal="center" vertical="center" wrapText="1"/>
    </xf>
    <xf numFmtId="0" fontId="33" fillId="2" borderId="33" xfId="2" quotePrefix="1" applyFont="1" applyFill="1" applyBorder="1" applyAlignment="1">
      <alignment vertical="center" wrapText="1"/>
    </xf>
    <xf numFmtId="0" fontId="33" fillId="7" borderId="71" xfId="1" applyFont="1" applyFill="1" applyBorder="1" applyAlignment="1">
      <alignment horizontal="left" vertical="center" wrapText="1"/>
    </xf>
    <xf numFmtId="0" fontId="33" fillId="7" borderId="72" xfId="1" applyFont="1" applyFill="1" applyBorder="1" applyAlignment="1">
      <alignment horizontal="left" vertical="center" wrapText="1"/>
    </xf>
    <xf numFmtId="0" fontId="40" fillId="2" borderId="0" xfId="1" applyFont="1" applyFill="1">
      <alignment vertical="center"/>
    </xf>
    <xf numFmtId="0" fontId="26" fillId="2" borderId="81" xfId="3" applyFont="1" applyFill="1" applyBorder="1" applyAlignment="1">
      <alignment horizontal="center" vertical="center" wrapText="1"/>
    </xf>
    <xf numFmtId="0" fontId="26" fillId="2" borderId="82" xfId="3" applyFont="1" applyFill="1" applyBorder="1" applyAlignment="1">
      <alignment horizontal="center" vertical="center" wrapText="1"/>
    </xf>
    <xf numFmtId="0" fontId="10" fillId="7" borderId="87" xfId="3" applyFont="1" applyFill="1" applyBorder="1" applyAlignment="1">
      <alignment horizontal="center" vertical="center" wrapText="1"/>
    </xf>
    <xf numFmtId="0" fontId="7" fillId="2" borderId="87" xfId="2" applyFont="1" applyFill="1" applyBorder="1" applyAlignment="1">
      <alignment horizontal="center" vertical="center"/>
    </xf>
    <xf numFmtId="0" fontId="7" fillId="2" borderId="87" xfId="6" applyFont="1" applyFill="1" applyBorder="1" applyAlignment="1">
      <alignment horizontal="center" vertical="center" wrapText="1"/>
    </xf>
    <xf numFmtId="0" fontId="7" fillId="2" borderId="88" xfId="6" applyFont="1" applyFill="1" applyBorder="1" applyAlignment="1">
      <alignment horizontal="center" vertical="center" wrapText="1"/>
    </xf>
    <xf numFmtId="0" fontId="7" fillId="2" borderId="92" xfId="6" applyFont="1" applyFill="1" applyBorder="1" applyAlignment="1">
      <alignment horizontal="center" vertical="center" wrapText="1"/>
    </xf>
    <xf numFmtId="0" fontId="7" fillId="2" borderId="93" xfId="6" applyFont="1" applyFill="1" applyBorder="1" applyAlignment="1">
      <alignment horizontal="center" vertical="center" wrapText="1"/>
    </xf>
    <xf numFmtId="0" fontId="7" fillId="2" borderId="94" xfId="6" applyFont="1" applyFill="1" applyBorder="1" applyAlignment="1">
      <alignment horizontal="center" vertical="center" wrapText="1"/>
    </xf>
    <xf numFmtId="0" fontId="14" fillId="2" borderId="33" xfId="8" applyFont="1" applyFill="1" applyBorder="1" applyAlignment="1">
      <alignment horizontal="center" vertical="center"/>
    </xf>
    <xf numFmtId="0" fontId="13" fillId="6" borderId="46" xfId="2" applyFont="1" applyFill="1" applyBorder="1" applyAlignment="1">
      <alignment horizontal="center" vertical="center"/>
    </xf>
    <xf numFmtId="0" fontId="13" fillId="6" borderId="47" xfId="2" applyFont="1" applyFill="1" applyBorder="1" applyAlignment="1">
      <alignment horizontal="center" vertical="center"/>
    </xf>
    <xf numFmtId="0" fontId="13" fillId="4" borderId="84" xfId="8" applyFont="1" applyFill="1" applyBorder="1" applyAlignment="1">
      <alignment horizontal="center" vertical="center"/>
    </xf>
    <xf numFmtId="0" fontId="13" fillId="6" borderId="46" xfId="3" applyFont="1" applyFill="1" applyBorder="1" applyAlignment="1" applyProtection="1">
      <alignment horizontal="center" vertical="center" wrapText="1"/>
      <protection locked="0"/>
    </xf>
    <xf numFmtId="0" fontId="13" fillId="6" borderId="47" xfId="3" applyFont="1" applyFill="1" applyBorder="1" applyAlignment="1" applyProtection="1">
      <alignment horizontal="center" vertical="center" wrapText="1"/>
      <protection locked="0"/>
    </xf>
    <xf numFmtId="0" fontId="13" fillId="4" borderId="75" xfId="7" applyFont="1" applyFill="1" applyBorder="1" applyAlignment="1">
      <alignment horizontal="center" vertical="center"/>
    </xf>
    <xf numFmtId="0" fontId="14" fillId="2" borderId="74" xfId="7" applyFont="1" applyFill="1" applyBorder="1" applyAlignment="1" applyProtection="1">
      <alignment horizontal="center" vertical="center" wrapText="1"/>
      <protection locked="0"/>
    </xf>
    <xf numFmtId="0" fontId="13" fillId="4" borderId="78" xfId="7" applyFont="1" applyFill="1" applyBorder="1" applyAlignment="1">
      <alignment horizontal="center" vertical="center"/>
    </xf>
    <xf numFmtId="0" fontId="50" fillId="2" borderId="0" xfId="2" applyFont="1" applyFill="1">
      <alignment vertical="center"/>
    </xf>
    <xf numFmtId="0" fontId="13" fillId="6" borderId="46" xfId="1" applyFont="1" applyFill="1" applyBorder="1" applyAlignment="1">
      <alignment horizontal="center" vertical="center" wrapText="1"/>
    </xf>
    <xf numFmtId="0" fontId="13" fillId="2" borderId="0" xfId="2" applyFont="1" applyFill="1">
      <alignment vertical="center"/>
    </xf>
    <xf numFmtId="0" fontId="14" fillId="2" borderId="31" xfId="2" applyFont="1" applyFill="1" applyBorder="1">
      <alignment vertical="center"/>
    </xf>
    <xf numFmtId="0" fontId="30" fillId="2" borderId="0" xfId="1" applyFont="1" applyFill="1">
      <alignment vertical="center"/>
    </xf>
    <xf numFmtId="0" fontId="0" fillId="0" borderId="60" xfId="0" applyBorder="1" applyAlignment="1">
      <alignment horizontal="center" vertical="center"/>
    </xf>
    <xf numFmtId="0" fontId="44" fillId="6" borderId="63" xfId="0" applyFont="1" applyFill="1" applyBorder="1" applyAlignment="1">
      <alignment horizontal="center" vertical="center"/>
    </xf>
    <xf numFmtId="0" fontId="44" fillId="0" borderId="0" xfId="0" applyFont="1">
      <alignment vertical="center"/>
    </xf>
    <xf numFmtId="0" fontId="44" fillId="6" borderId="64" xfId="0" applyFont="1" applyFill="1" applyBorder="1" applyAlignment="1">
      <alignment horizontal="center" vertical="center"/>
    </xf>
    <xf numFmtId="0" fontId="44" fillId="6" borderId="65" xfId="0" applyFont="1" applyFill="1" applyBorder="1" applyAlignment="1">
      <alignment horizontal="center" vertical="center"/>
    </xf>
    <xf numFmtId="0" fontId="52" fillId="10" borderId="80" xfId="0" applyFont="1" applyFill="1" applyBorder="1" applyAlignment="1">
      <alignment horizontal="center" vertical="center"/>
    </xf>
    <xf numFmtId="0" fontId="0" fillId="0" borderId="81" xfId="0" applyBorder="1" applyAlignment="1">
      <alignment horizontal="center" vertical="center"/>
    </xf>
    <xf numFmtId="0" fontId="52" fillId="10" borderId="60" xfId="0"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52" fillId="10" borderId="64" xfId="0" applyFont="1" applyFill="1" applyBorder="1" applyAlignment="1">
      <alignment horizontal="center" vertical="center"/>
    </xf>
    <xf numFmtId="0" fontId="44" fillId="0" borderId="40" xfId="0" applyFont="1" applyBorder="1">
      <alignment vertical="center"/>
    </xf>
    <xf numFmtId="0" fontId="0" fillId="0" borderId="40" xfId="0" applyBorder="1">
      <alignment vertical="center"/>
    </xf>
    <xf numFmtId="0" fontId="44" fillId="0" borderId="109" xfId="0" applyFont="1" applyBorder="1">
      <alignment vertical="center"/>
    </xf>
    <xf numFmtId="0" fontId="0" fillId="0" borderId="110" xfId="0" applyBorder="1">
      <alignment vertical="center"/>
    </xf>
    <xf numFmtId="0" fontId="0" fillId="0" borderId="111" xfId="0" applyBorder="1">
      <alignment vertical="center"/>
    </xf>
    <xf numFmtId="0" fontId="44" fillId="0" borderId="112" xfId="0" applyFont="1" applyBorder="1">
      <alignment vertical="center"/>
    </xf>
    <xf numFmtId="0" fontId="0" fillId="0" borderId="113" xfId="0" applyBorder="1">
      <alignment vertical="center"/>
    </xf>
    <xf numFmtId="0" fontId="44" fillId="0" borderId="114" xfId="0" applyFont="1" applyBorder="1">
      <alignment vertical="center"/>
    </xf>
    <xf numFmtId="0" fontId="0" fillId="0" borderId="115" xfId="0" applyBorder="1">
      <alignment vertical="center"/>
    </xf>
    <xf numFmtId="0" fontId="0" fillId="0" borderId="116" xfId="0" applyBorder="1">
      <alignment vertical="center"/>
    </xf>
    <xf numFmtId="0" fontId="44" fillId="0" borderId="110" xfId="0" applyFont="1" applyBorder="1">
      <alignment vertical="center"/>
    </xf>
    <xf numFmtId="0" fontId="44" fillId="0" borderId="115" xfId="0" applyFont="1" applyBorder="1">
      <alignment vertical="center"/>
    </xf>
    <xf numFmtId="0" fontId="54" fillId="0" borderId="114" xfId="0" applyFont="1" applyBorder="1">
      <alignment vertical="center"/>
    </xf>
    <xf numFmtId="0" fontId="54" fillId="0" borderId="0" xfId="0" applyFont="1">
      <alignment vertical="center"/>
    </xf>
    <xf numFmtId="0" fontId="32" fillId="0" borderId="0" xfId="0" applyFont="1">
      <alignment vertical="center"/>
    </xf>
    <xf numFmtId="0" fontId="54" fillId="0" borderId="112" xfId="0" applyFont="1" applyBorder="1">
      <alignment vertical="center"/>
    </xf>
    <xf numFmtId="0" fontId="0" fillId="0" borderId="112" xfId="0" applyBorder="1">
      <alignment vertical="center"/>
    </xf>
    <xf numFmtId="0" fontId="51" fillId="0" borderId="109" xfId="0" applyFont="1" applyBorder="1">
      <alignment vertical="center"/>
    </xf>
    <xf numFmtId="0" fontId="52" fillId="10" borderId="61" xfId="0" applyFont="1" applyFill="1" applyBorder="1" applyAlignment="1">
      <alignment horizontal="center" vertical="center"/>
    </xf>
    <xf numFmtId="0" fontId="52" fillId="10" borderId="62" xfId="0" applyFont="1" applyFill="1" applyBorder="1" applyAlignment="1">
      <alignment horizontal="center" vertical="center"/>
    </xf>
    <xf numFmtId="0" fontId="49" fillId="0" borderId="64" xfId="0" applyFont="1" applyBorder="1" applyAlignment="1">
      <alignment horizontal="center" vertical="center"/>
    </xf>
    <xf numFmtId="0" fontId="7" fillId="4" borderId="57" xfId="2" applyFont="1" applyFill="1" applyBorder="1" applyAlignment="1">
      <alignment vertical="center" wrapText="1"/>
    </xf>
    <xf numFmtId="0" fontId="7" fillId="4" borderId="60" xfId="2" applyFont="1" applyFill="1" applyBorder="1" applyAlignment="1">
      <alignment vertical="center" wrapText="1"/>
    </xf>
    <xf numFmtId="0" fontId="0" fillId="0" borderId="119" xfId="0" applyBorder="1" applyAlignment="1">
      <alignment horizontal="center" vertical="center"/>
    </xf>
    <xf numFmtId="0" fontId="10" fillId="4" borderId="21" xfId="2" applyFont="1" applyFill="1" applyBorder="1">
      <alignment vertical="center"/>
    </xf>
    <xf numFmtId="0" fontId="10" fillId="4" borderId="23" xfId="2" applyFont="1" applyFill="1" applyBorder="1">
      <alignment vertical="center"/>
    </xf>
    <xf numFmtId="0" fontId="10" fillId="4" borderId="27" xfId="2" applyFont="1" applyFill="1" applyBorder="1">
      <alignment vertical="center"/>
    </xf>
    <xf numFmtId="0" fontId="4" fillId="0" borderId="126" xfId="1" applyFont="1" applyBorder="1" applyAlignment="1">
      <alignment horizontal="center" vertical="center"/>
    </xf>
    <xf numFmtId="0" fontId="49" fillId="2" borderId="0" xfId="4" applyFont="1" applyFill="1" applyAlignment="1">
      <alignment vertical="center" wrapText="1"/>
    </xf>
    <xf numFmtId="0" fontId="46" fillId="2" borderId="0" xfId="4" applyFont="1" applyFill="1">
      <alignment vertical="center"/>
    </xf>
    <xf numFmtId="0" fontId="49" fillId="2" borderId="0" xfId="4" applyFont="1" applyFill="1">
      <alignment vertical="center"/>
    </xf>
    <xf numFmtId="0" fontId="56" fillId="2" borderId="0" xfId="4" applyFont="1" applyFill="1">
      <alignment vertical="center"/>
    </xf>
    <xf numFmtId="0" fontId="0" fillId="0" borderId="59" xfId="0" applyBorder="1" applyAlignment="1">
      <alignment horizontal="center" vertical="center"/>
    </xf>
    <xf numFmtId="0" fontId="52" fillId="10" borderId="65" xfId="0" applyFont="1" applyFill="1" applyBorder="1" applyAlignment="1">
      <alignment horizontal="center" vertical="center"/>
    </xf>
    <xf numFmtId="0" fontId="57" fillId="2" borderId="0" xfId="5" applyFont="1" applyFill="1" applyAlignment="1" applyProtection="1">
      <alignment horizontal="right" vertical="center"/>
    </xf>
    <xf numFmtId="0" fontId="10" fillId="2" borderId="0" xfId="2" applyFont="1" applyFill="1" applyAlignment="1">
      <alignment horizontal="right" vertical="center"/>
    </xf>
    <xf numFmtId="0" fontId="33" fillId="0" borderId="33" xfId="1" applyFont="1" applyBorder="1" applyAlignment="1">
      <alignment horizontal="center" vertical="center" wrapText="1"/>
    </xf>
    <xf numFmtId="0" fontId="35" fillId="0" borderId="0" xfId="9" applyFont="1">
      <alignment vertical="center"/>
    </xf>
    <xf numFmtId="0" fontId="14" fillId="4" borderId="32" xfId="7"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6" borderId="54" xfId="3" applyFont="1" applyFill="1" applyBorder="1" applyAlignment="1">
      <alignment horizontal="center" vertical="center" shrinkToFit="1"/>
    </xf>
    <xf numFmtId="0" fontId="10" fillId="6" borderId="55" xfId="3" applyFont="1" applyFill="1" applyBorder="1" applyAlignment="1">
      <alignment horizontal="center" vertical="center" wrapText="1"/>
    </xf>
    <xf numFmtId="0" fontId="26" fillId="2" borderId="106" xfId="3" applyFont="1" applyFill="1" applyBorder="1" applyAlignment="1">
      <alignment horizontal="center" vertical="center" wrapText="1"/>
    </xf>
    <xf numFmtId="176" fontId="26" fillId="2" borderId="106" xfId="3" applyNumberFormat="1" applyFont="1" applyFill="1" applyBorder="1" applyAlignment="1">
      <alignment horizontal="center" vertical="center" wrapText="1"/>
    </xf>
    <xf numFmtId="0" fontId="25" fillId="2" borderId="100" xfId="3" applyFont="1" applyFill="1" applyBorder="1" applyAlignment="1">
      <alignment horizontal="center" vertical="center" wrapText="1"/>
    </xf>
    <xf numFmtId="176" fontId="25" fillId="7" borderId="89" xfId="3" applyNumberFormat="1" applyFont="1" applyFill="1" applyBorder="1" applyAlignment="1">
      <alignment horizontal="center" vertical="center" wrapText="1"/>
    </xf>
    <xf numFmtId="176" fontId="25" fillId="7" borderId="91" xfId="3" applyNumberFormat="1" applyFont="1" applyFill="1" applyBorder="1" applyAlignment="1">
      <alignment horizontal="center" vertical="center" wrapText="1"/>
    </xf>
    <xf numFmtId="176" fontId="25" fillId="7" borderId="90" xfId="3" applyNumberFormat="1" applyFont="1" applyFill="1" applyBorder="1" applyAlignment="1">
      <alignment horizontal="center" vertical="center" wrapText="1"/>
    </xf>
    <xf numFmtId="176" fontId="14" fillId="2" borderId="73" xfId="8" applyNumberFormat="1" applyFont="1" applyFill="1" applyBorder="1" applyAlignment="1">
      <alignment horizontal="center" vertical="center"/>
    </xf>
    <xf numFmtId="176" fontId="14" fillId="2" borderId="74" xfId="8" applyNumberFormat="1" applyFont="1" applyFill="1" applyBorder="1" applyAlignment="1">
      <alignment horizontal="center" vertical="center"/>
    </xf>
    <xf numFmtId="176" fontId="13" fillId="4" borderId="85" xfId="8" applyNumberFormat="1" applyFont="1" applyFill="1" applyBorder="1" applyAlignment="1">
      <alignment horizontal="center" vertical="center"/>
    </xf>
    <xf numFmtId="0" fontId="60" fillId="9" borderId="0" xfId="1" applyFont="1" applyFill="1" applyAlignment="1">
      <alignment vertical="center" wrapText="1"/>
    </xf>
    <xf numFmtId="0" fontId="37" fillId="9" borderId="0" xfId="1" applyFont="1" applyFill="1" applyAlignment="1">
      <alignment vertical="center" wrapText="1"/>
    </xf>
    <xf numFmtId="0" fontId="13" fillId="6" borderId="134" xfId="3" applyFont="1" applyFill="1" applyBorder="1" applyAlignment="1" applyProtection="1">
      <alignment horizontal="center" vertical="center" wrapText="1"/>
      <protection locked="0"/>
    </xf>
    <xf numFmtId="0" fontId="13" fillId="6" borderId="135" xfId="3" applyFont="1" applyFill="1" applyBorder="1" applyAlignment="1" applyProtection="1">
      <alignment horizontal="center" vertical="center" wrapText="1"/>
      <protection locked="0"/>
    </xf>
    <xf numFmtId="0" fontId="13" fillId="6" borderId="42" xfId="3" applyFont="1" applyFill="1" applyBorder="1" applyAlignment="1" applyProtection="1">
      <alignment horizontal="center" vertical="center" wrapText="1"/>
      <protection locked="0"/>
    </xf>
    <xf numFmtId="0" fontId="49" fillId="2" borderId="0" xfId="2" applyFont="1" applyFill="1">
      <alignment vertical="center"/>
    </xf>
    <xf numFmtId="0" fontId="65" fillId="2" borderId="0" xfId="1" applyFont="1" applyFill="1">
      <alignment vertical="center"/>
    </xf>
    <xf numFmtId="0" fontId="66" fillId="4" borderId="32" xfId="2" applyFont="1" applyFill="1" applyBorder="1" applyAlignment="1">
      <alignment horizontal="center" vertical="center"/>
    </xf>
    <xf numFmtId="0" fontId="67" fillId="2" borderId="0" xfId="2" applyFont="1" applyFill="1">
      <alignment vertical="center"/>
    </xf>
    <xf numFmtId="0" fontId="68" fillId="2" borderId="0" xfId="1" applyFont="1" applyFill="1">
      <alignment vertical="center"/>
    </xf>
    <xf numFmtId="0" fontId="46" fillId="2" borderId="0" xfId="2" applyFont="1" applyFill="1">
      <alignment vertical="center"/>
    </xf>
    <xf numFmtId="0" fontId="69" fillId="2" borderId="0" xfId="2" applyFont="1" applyFill="1">
      <alignment vertical="center"/>
    </xf>
    <xf numFmtId="0" fontId="13" fillId="4" borderId="76" xfId="7" applyFont="1" applyFill="1" applyBorder="1" applyAlignment="1">
      <alignment horizontal="center" vertical="center"/>
    </xf>
    <xf numFmtId="0" fontId="14" fillId="4" borderId="70" xfId="7" applyFont="1" applyFill="1" applyBorder="1" applyAlignment="1">
      <alignment horizontal="center" vertical="center" wrapText="1"/>
    </xf>
    <xf numFmtId="0" fontId="14" fillId="2" borderId="70" xfId="7" applyFont="1" applyFill="1" applyBorder="1" applyAlignment="1">
      <alignment horizontal="center" vertical="center" wrapText="1"/>
    </xf>
    <xf numFmtId="0" fontId="14" fillId="2" borderId="70" xfId="7" applyFont="1" applyFill="1" applyBorder="1" applyAlignment="1" applyProtection="1">
      <alignment horizontal="center" vertical="center" wrapText="1"/>
      <protection locked="0"/>
    </xf>
    <xf numFmtId="0" fontId="14" fillId="2" borderId="77" xfId="7" applyFont="1" applyFill="1" applyBorder="1" applyAlignment="1" applyProtection="1">
      <alignment horizontal="center" vertical="center" wrapText="1"/>
      <protection locked="0"/>
    </xf>
    <xf numFmtId="0" fontId="14" fillId="2" borderId="136" xfId="7" applyFont="1" applyFill="1" applyBorder="1" applyAlignment="1">
      <alignment horizontal="center" vertical="center" wrapText="1"/>
    </xf>
    <xf numFmtId="0" fontId="13" fillId="8" borderId="136" xfId="7" applyFont="1" applyFill="1" applyBorder="1" applyAlignment="1">
      <alignment horizontal="center" vertical="center" wrapText="1"/>
    </xf>
    <xf numFmtId="0" fontId="10" fillId="4" borderId="136" xfId="2" applyFont="1" applyFill="1" applyBorder="1" applyAlignment="1">
      <alignment horizontal="center" vertical="center"/>
    </xf>
    <xf numFmtId="0" fontId="10" fillId="4" borderId="136" xfId="2" applyFont="1" applyFill="1" applyBorder="1">
      <alignment vertical="center"/>
    </xf>
    <xf numFmtId="0" fontId="10" fillId="8" borderId="136" xfId="2" applyFont="1" applyFill="1" applyBorder="1" applyAlignment="1">
      <alignment horizontal="center" vertical="center"/>
    </xf>
    <xf numFmtId="0" fontId="14" fillId="2" borderId="136" xfId="7" applyFont="1" applyFill="1" applyBorder="1" applyAlignment="1" applyProtection="1">
      <alignment horizontal="center" vertical="center" wrapText="1"/>
      <protection locked="0"/>
    </xf>
    <xf numFmtId="0" fontId="7" fillId="2" borderId="136" xfId="2" applyFont="1" applyFill="1" applyBorder="1" applyAlignment="1">
      <alignment vertical="center" wrapText="1"/>
    </xf>
    <xf numFmtId="0" fontId="7" fillId="2" borderId="136" xfId="2" applyFont="1" applyFill="1" applyBorder="1" applyAlignment="1">
      <alignment horizontal="center" vertical="center" wrapText="1"/>
    </xf>
    <xf numFmtId="0" fontId="7" fillId="2" borderId="70" xfId="2" applyFont="1" applyFill="1" applyBorder="1" applyAlignment="1">
      <alignment horizontal="center" vertical="center"/>
    </xf>
    <xf numFmtId="0" fontId="7" fillId="2" borderId="70" xfId="2" applyFont="1" applyFill="1" applyBorder="1" applyAlignment="1">
      <alignment vertical="center" wrapText="1"/>
    </xf>
    <xf numFmtId="0" fontId="4" fillId="0" borderId="64" xfId="1" applyFont="1" applyBorder="1" applyAlignment="1">
      <alignment horizontal="center" vertical="center"/>
    </xf>
    <xf numFmtId="0" fontId="20" fillId="0" borderId="64" xfId="1" applyFont="1" applyBorder="1" applyAlignment="1">
      <alignment horizontal="center" vertical="center" wrapText="1"/>
    </xf>
    <xf numFmtId="0" fontId="20" fillId="2" borderId="65" xfId="1" applyFont="1" applyFill="1" applyBorder="1" applyAlignment="1">
      <alignment horizontal="center" vertical="center" wrapText="1"/>
    </xf>
    <xf numFmtId="0" fontId="14" fillId="4" borderId="70" xfId="2" applyFont="1" applyFill="1" applyBorder="1" applyAlignment="1">
      <alignment vertical="center" wrapText="1"/>
    </xf>
    <xf numFmtId="0" fontId="13" fillId="4" borderId="70" xfId="2" applyFont="1" applyFill="1" applyBorder="1" applyAlignment="1">
      <alignment horizontal="center" vertical="center"/>
    </xf>
    <xf numFmtId="0" fontId="14" fillId="4" borderId="32" xfId="2" applyFont="1" applyFill="1" applyBorder="1" applyAlignment="1">
      <alignment vertical="center" wrapText="1"/>
    </xf>
    <xf numFmtId="0" fontId="13" fillId="4" borderId="32" xfId="2" applyFont="1" applyFill="1" applyBorder="1" applyAlignment="1">
      <alignment horizontal="center" vertical="center"/>
    </xf>
    <xf numFmtId="0" fontId="10" fillId="2" borderId="70" xfId="7" applyFont="1" applyFill="1" applyBorder="1" applyAlignment="1">
      <alignment horizontal="center" vertical="center"/>
    </xf>
    <xf numFmtId="0" fontId="7" fillId="2" borderId="70" xfId="7" applyFont="1" applyFill="1" applyBorder="1" applyAlignment="1" applyProtection="1">
      <alignment horizontal="center" vertical="center" wrapText="1"/>
      <protection locked="0"/>
    </xf>
    <xf numFmtId="0" fontId="10" fillId="2" borderId="32" xfId="7" applyFont="1" applyFill="1" applyBorder="1" applyAlignment="1">
      <alignment horizontal="center" vertical="center"/>
    </xf>
    <xf numFmtId="0" fontId="7" fillId="2" borderId="33" xfId="7" applyFont="1" applyFill="1" applyBorder="1" applyAlignment="1" applyProtection="1">
      <alignment horizontal="center" vertical="center" wrapText="1"/>
      <protection locked="0"/>
    </xf>
    <xf numFmtId="0" fontId="7" fillId="4" borderId="57" xfId="5" applyFont="1" applyFill="1" applyBorder="1" applyAlignment="1" applyProtection="1">
      <alignment horizontal="center" vertical="center"/>
    </xf>
    <xf numFmtId="0" fontId="7" fillId="4" borderId="60" xfId="5" applyFont="1" applyFill="1" applyBorder="1" applyAlignment="1" applyProtection="1">
      <alignment horizontal="center" vertical="center"/>
    </xf>
    <xf numFmtId="0" fontId="7" fillId="4" borderId="63" xfId="5" applyFont="1" applyFill="1" applyBorder="1" applyAlignment="1" applyProtection="1">
      <alignment horizontal="center" vertical="center"/>
    </xf>
    <xf numFmtId="0" fontId="20" fillId="0" borderId="126" xfId="1" applyFont="1" applyBorder="1" applyAlignment="1">
      <alignment horizontal="center" vertical="center" wrapText="1"/>
    </xf>
    <xf numFmtId="0" fontId="70" fillId="0" borderId="0" xfId="13" applyAlignment="1">
      <alignment vertical="center"/>
    </xf>
    <xf numFmtId="0" fontId="71" fillId="11" borderId="0" xfId="13" applyFont="1" applyFill="1" applyAlignment="1">
      <alignment vertical="center" wrapText="1"/>
    </xf>
    <xf numFmtId="0" fontId="72" fillId="0" borderId="0" xfId="13" applyFont="1" applyAlignment="1">
      <alignment vertical="center"/>
    </xf>
    <xf numFmtId="0" fontId="56" fillId="12" borderId="139" xfId="13" applyFont="1" applyFill="1" applyBorder="1" applyAlignment="1">
      <alignment horizontal="center" vertical="center"/>
    </xf>
    <xf numFmtId="0" fontId="56" fillId="12" borderId="140" xfId="13" applyFont="1" applyFill="1" applyBorder="1" applyAlignment="1">
      <alignment horizontal="center" vertical="center" wrapText="1"/>
    </xf>
    <xf numFmtId="0" fontId="56" fillId="12" borderId="140" xfId="13" applyFont="1" applyFill="1" applyBorder="1" applyAlignment="1">
      <alignment horizontal="center" vertical="center"/>
    </xf>
    <xf numFmtId="0" fontId="56" fillId="12" borderId="141" xfId="13" applyFont="1" applyFill="1" applyBorder="1" applyAlignment="1">
      <alignment horizontal="center" vertical="center" wrapText="1"/>
    </xf>
    <xf numFmtId="0" fontId="74" fillId="0" borderId="0" xfId="13" applyFont="1" applyAlignment="1">
      <alignment vertical="center"/>
    </xf>
    <xf numFmtId="0" fontId="75" fillId="13" borderId="142" xfId="14" applyFont="1" applyFill="1" applyBorder="1" applyAlignment="1">
      <alignment vertical="center" wrapText="1"/>
    </xf>
    <xf numFmtId="0" fontId="4" fillId="13" borderId="142" xfId="14" applyFont="1" applyFill="1" applyBorder="1" applyAlignment="1">
      <alignment horizontal="center" vertical="center" wrapText="1"/>
    </xf>
    <xf numFmtId="0" fontId="4" fillId="13" borderId="142" xfId="14" applyFont="1" applyFill="1" applyBorder="1" applyAlignment="1">
      <alignment vertical="center" wrapText="1"/>
    </xf>
    <xf numFmtId="0" fontId="14" fillId="13" borderId="142" xfId="14" quotePrefix="1" applyFont="1" applyFill="1" applyBorder="1" applyAlignment="1">
      <alignment horizontal="left" vertical="center" wrapText="1"/>
    </xf>
    <xf numFmtId="0" fontId="0" fillId="14" borderId="142" xfId="0" applyFill="1" applyBorder="1" applyAlignment="1">
      <alignment horizontal="center" vertical="center"/>
    </xf>
    <xf numFmtId="0" fontId="13" fillId="14" borderId="142" xfId="13" applyFont="1" applyFill="1" applyBorder="1" applyAlignment="1">
      <alignment horizontal="center" vertical="center" wrapText="1"/>
    </xf>
    <xf numFmtId="0" fontId="74" fillId="14" borderId="142" xfId="13" applyFont="1" applyFill="1" applyBorder="1" applyAlignment="1">
      <alignment horizontal="center" vertical="center" wrapText="1"/>
    </xf>
    <xf numFmtId="0" fontId="75" fillId="13" borderId="4" xfId="14" applyFont="1" applyFill="1" applyBorder="1" applyAlignment="1">
      <alignment vertical="center" wrapText="1"/>
    </xf>
    <xf numFmtId="0" fontId="4" fillId="13" borderId="4" xfId="14" applyFont="1" applyFill="1" applyBorder="1" applyAlignment="1">
      <alignment horizontal="center" vertical="center" wrapText="1"/>
    </xf>
    <xf numFmtId="0" fontId="4" fillId="13" borderId="4" xfId="14" applyFont="1" applyFill="1" applyBorder="1" applyAlignment="1">
      <alignment vertical="center" wrapText="1"/>
    </xf>
    <xf numFmtId="0" fontId="14" fillId="13" borderId="4" xfId="14" quotePrefix="1" applyFont="1" applyFill="1" applyBorder="1" applyAlignment="1">
      <alignment horizontal="left" vertical="center" wrapText="1"/>
    </xf>
    <xf numFmtId="0" fontId="0" fillId="14" borderId="4" xfId="0" applyFill="1" applyBorder="1" applyAlignment="1">
      <alignment horizontal="center" vertical="center"/>
    </xf>
    <xf numFmtId="0" fontId="13" fillId="14" borderId="4" xfId="13" applyFont="1" applyFill="1" applyBorder="1" applyAlignment="1">
      <alignment horizontal="center" vertical="center" wrapText="1"/>
    </xf>
    <xf numFmtId="0" fontId="75" fillId="13" borderId="4" xfId="14" quotePrefix="1" applyFont="1" applyFill="1" applyBorder="1" applyAlignment="1">
      <alignment horizontal="left" vertical="center" wrapText="1"/>
    </xf>
    <xf numFmtId="0" fontId="77" fillId="13" borderId="4" xfId="14" applyFont="1" applyFill="1" applyBorder="1" applyAlignment="1">
      <alignment vertical="center" wrapText="1"/>
    </xf>
    <xf numFmtId="0" fontId="78" fillId="13" borderId="4" xfId="14" applyFont="1" applyFill="1" applyBorder="1" applyAlignment="1">
      <alignment vertical="center" wrapText="1"/>
    </xf>
    <xf numFmtId="0" fontId="79" fillId="13" borderId="4" xfId="14" applyFont="1" applyFill="1" applyBorder="1" applyAlignment="1">
      <alignment horizontal="center" vertical="center" wrapText="1"/>
    </xf>
    <xf numFmtId="0" fontId="79" fillId="13" borderId="4" xfId="14" applyFont="1" applyFill="1" applyBorder="1" applyAlignment="1">
      <alignment vertical="center" wrapText="1"/>
    </xf>
    <xf numFmtId="0" fontId="80" fillId="14" borderId="4" xfId="0" applyFont="1" applyFill="1" applyBorder="1" applyAlignment="1">
      <alignment horizontal="center" vertical="center"/>
    </xf>
    <xf numFmtId="0" fontId="81" fillId="14" borderId="4" xfId="13" applyFont="1" applyFill="1" applyBorder="1" applyAlignment="1">
      <alignment horizontal="center" vertical="center" wrapText="1"/>
    </xf>
    <xf numFmtId="0" fontId="75" fillId="15" borderId="4" xfId="14" applyFont="1" applyFill="1" applyBorder="1" applyAlignment="1">
      <alignment vertical="center" wrapText="1"/>
    </xf>
    <xf numFmtId="0" fontId="4" fillId="15" borderId="4" xfId="14" applyFont="1" applyFill="1" applyBorder="1" applyAlignment="1">
      <alignment horizontal="center" vertical="center" wrapText="1"/>
    </xf>
    <xf numFmtId="0" fontId="4" fillId="15" borderId="4" xfId="14" applyFont="1" applyFill="1" applyBorder="1" applyAlignment="1">
      <alignment vertical="center" wrapText="1"/>
    </xf>
    <xf numFmtId="0" fontId="14" fillId="15" borderId="4" xfId="14" quotePrefix="1" applyFont="1" applyFill="1" applyBorder="1" applyAlignment="1">
      <alignment horizontal="left" vertical="center" wrapText="1"/>
    </xf>
    <xf numFmtId="0" fontId="0" fillId="16" borderId="4" xfId="0" applyFill="1" applyBorder="1" applyAlignment="1">
      <alignment horizontal="center" vertical="center"/>
    </xf>
    <xf numFmtId="0" fontId="13" fillId="16" borderId="4" xfId="13" applyFont="1" applyFill="1" applyBorder="1" applyAlignment="1">
      <alignment horizontal="center" vertical="center" wrapText="1"/>
    </xf>
    <xf numFmtId="0" fontId="74" fillId="16" borderId="4" xfId="13" applyFont="1" applyFill="1" applyBorder="1" applyAlignment="1">
      <alignment horizontal="center" vertical="center" wrapText="1"/>
    </xf>
    <xf numFmtId="0" fontId="75" fillId="17" borderId="4" xfId="14" applyFont="1" applyFill="1" applyBorder="1" applyAlignment="1">
      <alignment vertical="center" wrapText="1"/>
    </xf>
    <xf numFmtId="0" fontId="4" fillId="17" borderId="4" xfId="14" applyFont="1" applyFill="1" applyBorder="1" applyAlignment="1">
      <alignment horizontal="center" vertical="center" wrapText="1"/>
    </xf>
    <xf numFmtId="0" fontId="4" fillId="17" borderId="4" xfId="14" applyFont="1" applyFill="1" applyBorder="1" applyAlignment="1">
      <alignment vertical="center" wrapText="1"/>
    </xf>
    <xf numFmtId="0" fontId="14" fillId="17" borderId="4" xfId="14" quotePrefix="1" applyFont="1" applyFill="1" applyBorder="1" applyAlignment="1">
      <alignment horizontal="left" vertical="center" wrapText="1"/>
    </xf>
    <xf numFmtId="0" fontId="0" fillId="18" borderId="4" xfId="0" applyFill="1" applyBorder="1" applyAlignment="1">
      <alignment horizontal="center" vertical="center"/>
    </xf>
    <xf numFmtId="0" fontId="13" fillId="18" borderId="4" xfId="13" applyFont="1" applyFill="1" applyBorder="1" applyAlignment="1">
      <alignment horizontal="center" vertical="center" wrapText="1"/>
    </xf>
    <xf numFmtId="0" fontId="74" fillId="18" borderId="4" xfId="13" applyFont="1" applyFill="1" applyBorder="1" applyAlignment="1">
      <alignment horizontal="center" vertical="center" wrapText="1"/>
    </xf>
    <xf numFmtId="0" fontId="75" fillId="19" borderId="4" xfId="14" applyFont="1" applyFill="1" applyBorder="1" applyAlignment="1">
      <alignment vertical="center" wrapText="1"/>
    </xf>
    <xf numFmtId="0" fontId="4" fillId="19" borderId="4" xfId="14" applyFont="1" applyFill="1" applyBorder="1" applyAlignment="1">
      <alignment horizontal="center" vertical="center" wrapText="1"/>
    </xf>
    <xf numFmtId="0" fontId="4" fillId="19" borderId="4" xfId="14" applyFont="1" applyFill="1" applyBorder="1" applyAlignment="1">
      <alignment vertical="center" wrapText="1"/>
    </xf>
    <xf numFmtId="0" fontId="14" fillId="19" borderId="4" xfId="14" quotePrefix="1" applyFont="1" applyFill="1" applyBorder="1" applyAlignment="1">
      <alignment horizontal="left" vertical="center" wrapText="1"/>
    </xf>
    <xf numFmtId="0" fontId="0" fillId="20" borderId="4" xfId="0" applyFill="1" applyBorder="1" applyAlignment="1">
      <alignment horizontal="center" vertical="center"/>
    </xf>
    <xf numFmtId="0" fontId="13" fillId="20" borderId="4" xfId="13" applyFont="1" applyFill="1" applyBorder="1" applyAlignment="1">
      <alignment horizontal="center" vertical="center" wrapText="1"/>
    </xf>
    <xf numFmtId="0" fontId="74" fillId="20" borderId="4" xfId="13" applyFont="1" applyFill="1" applyBorder="1" applyAlignment="1">
      <alignment horizontal="center" vertical="center" wrapText="1"/>
    </xf>
    <xf numFmtId="0" fontId="4" fillId="19" borderId="4" xfId="0" applyFont="1" applyFill="1" applyBorder="1" applyAlignment="1">
      <alignment horizontal="center" vertical="center" wrapText="1"/>
    </xf>
    <xf numFmtId="0" fontId="4" fillId="19" borderId="4" xfId="0" applyFont="1" applyFill="1" applyBorder="1" applyAlignment="1">
      <alignment vertical="center" wrapText="1"/>
    </xf>
    <xf numFmtId="0" fontId="14" fillId="19" borderId="4" xfId="0" quotePrefix="1" applyFont="1" applyFill="1" applyBorder="1" applyAlignment="1">
      <alignment horizontal="left" vertical="center" wrapText="1"/>
    </xf>
    <xf numFmtId="0" fontId="4" fillId="19" borderId="4" xfId="14" applyFont="1" applyFill="1" applyBorder="1" applyAlignment="1">
      <alignment horizontal="left" vertical="center" wrapText="1"/>
    </xf>
    <xf numFmtId="0" fontId="75" fillId="21" borderId="4" xfId="14" applyFont="1" applyFill="1" applyBorder="1" applyAlignment="1">
      <alignment vertical="center" wrapText="1"/>
    </xf>
    <xf numFmtId="0" fontId="4" fillId="21" borderId="4" xfId="14" applyFont="1" applyFill="1" applyBorder="1" applyAlignment="1">
      <alignment horizontal="center" vertical="center" wrapText="1"/>
    </xf>
    <xf numFmtId="0" fontId="4" fillId="21" borderId="4" xfId="14" applyFont="1" applyFill="1" applyBorder="1" applyAlignment="1">
      <alignment vertical="center" wrapText="1"/>
    </xf>
    <xf numFmtId="0" fontId="14" fillId="21" borderId="4" xfId="14" quotePrefix="1" applyFont="1" applyFill="1" applyBorder="1" applyAlignment="1">
      <alignment horizontal="left" vertical="center" wrapText="1"/>
    </xf>
    <xf numFmtId="0" fontId="0" fillId="22" borderId="4" xfId="0" applyFill="1" applyBorder="1" applyAlignment="1">
      <alignment horizontal="center" vertical="center"/>
    </xf>
    <xf numFmtId="0" fontId="13" fillId="22" borderId="4" xfId="13" applyFont="1" applyFill="1" applyBorder="1" applyAlignment="1">
      <alignment horizontal="center" vertical="center" wrapText="1"/>
    </xf>
    <xf numFmtId="0" fontId="74" fillId="22" borderId="4" xfId="13" applyFont="1" applyFill="1" applyBorder="1" applyAlignment="1">
      <alignment horizontal="center" vertical="center" wrapText="1"/>
    </xf>
    <xf numFmtId="0" fontId="82" fillId="23" borderId="4" xfId="15" applyFont="1" applyFill="1" applyBorder="1" applyAlignment="1">
      <alignment vertical="center" wrapText="1"/>
    </xf>
    <xf numFmtId="0" fontId="83" fillId="23" borderId="4" xfId="15" applyFont="1" applyFill="1" applyBorder="1" applyAlignment="1">
      <alignment horizontal="center" vertical="center" wrapText="1"/>
    </xf>
    <xf numFmtId="0" fontId="83" fillId="23" borderId="4" xfId="15" applyFont="1" applyFill="1" applyBorder="1" applyAlignment="1">
      <alignment horizontal="left" vertical="center" wrapText="1"/>
    </xf>
    <xf numFmtId="0" fontId="72" fillId="23" borderId="4" xfId="15" quotePrefix="1" applyFont="1" applyFill="1" applyBorder="1" applyAlignment="1">
      <alignment horizontal="left" vertical="center" wrapText="1"/>
    </xf>
    <xf numFmtId="0" fontId="0" fillId="23" borderId="4" xfId="0" applyFill="1" applyBorder="1" applyAlignment="1">
      <alignment horizontal="center" vertical="center"/>
    </xf>
    <xf numFmtId="0" fontId="13" fillId="23" borderId="4" xfId="13" applyFont="1" applyFill="1" applyBorder="1" applyAlignment="1">
      <alignment horizontal="center" vertical="center" wrapText="1"/>
    </xf>
    <xf numFmtId="0" fontId="74" fillId="23" borderId="4" xfId="13" applyFont="1" applyFill="1" applyBorder="1" applyAlignment="1">
      <alignment horizontal="center" vertical="center" wrapText="1"/>
    </xf>
    <xf numFmtId="0" fontId="72" fillId="0" borderId="0" xfId="13" applyFont="1" applyAlignment="1">
      <alignment horizontal="center" vertical="center"/>
    </xf>
    <xf numFmtId="0" fontId="0" fillId="0" borderId="96" xfId="0" applyBorder="1" applyAlignment="1">
      <alignment horizontal="center" vertical="center"/>
    </xf>
    <xf numFmtId="0" fontId="0" fillId="0" borderId="60" xfId="0" applyBorder="1" applyAlignment="1">
      <alignment horizontal="center" vertical="center"/>
    </xf>
    <xf numFmtId="0" fontId="44" fillId="6" borderId="61" xfId="0" applyFont="1" applyFill="1" applyBorder="1" applyAlignment="1">
      <alignment horizontal="center" vertical="center"/>
    </xf>
    <xf numFmtId="0" fontId="44" fillId="6" borderId="62" xfId="0" applyFont="1" applyFill="1" applyBorder="1" applyAlignment="1">
      <alignment horizontal="center" vertical="center"/>
    </xf>
    <xf numFmtId="0" fontId="44" fillId="6" borderId="58" xfId="0" applyFont="1" applyFill="1" applyBorder="1" applyAlignment="1">
      <alignment horizontal="center" vertical="center"/>
    </xf>
    <xf numFmtId="0" fontId="44" fillId="6" borderId="59" xfId="0" applyFont="1" applyFill="1" applyBorder="1" applyAlignment="1">
      <alignment horizontal="center" vertical="center"/>
    </xf>
    <xf numFmtId="0" fontId="44" fillId="6" borderId="40" xfId="0" applyFont="1" applyFill="1" applyBorder="1" applyAlignment="1">
      <alignment horizontal="center" vertical="center"/>
    </xf>
    <xf numFmtId="0" fontId="44" fillId="6" borderId="107" xfId="0" applyFont="1" applyFill="1" applyBorder="1" applyAlignment="1">
      <alignment horizontal="center" vertical="center"/>
    </xf>
    <xf numFmtId="0" fontId="44" fillId="6" borderId="108" xfId="0" applyFont="1" applyFill="1" applyBorder="1" applyAlignment="1">
      <alignment horizontal="center" vertical="center"/>
    </xf>
    <xf numFmtId="0" fontId="44" fillId="6" borderId="80" xfId="0" applyFont="1" applyFill="1" applyBorder="1" applyAlignment="1">
      <alignment horizontal="center" vertical="center"/>
    </xf>
    <xf numFmtId="0" fontId="44" fillId="6" borderId="97" xfId="0" applyFont="1" applyFill="1" applyBorder="1" applyAlignment="1">
      <alignment horizontal="center" vertical="center"/>
    </xf>
    <xf numFmtId="0" fontId="44" fillId="6" borderId="63" xfId="0" applyFont="1" applyFill="1" applyBorder="1" applyAlignment="1">
      <alignment horizontal="center" vertical="center"/>
    </xf>
    <xf numFmtId="0" fontId="0" fillId="0" borderId="95" xfId="0" applyBorder="1" applyAlignment="1">
      <alignment horizontal="center" vertical="center"/>
    </xf>
    <xf numFmtId="0" fontId="0" fillId="0" borderId="57" xfId="0" applyBorder="1" applyAlignment="1">
      <alignment horizontal="center" vertical="center"/>
    </xf>
    <xf numFmtId="0" fontId="0" fillId="0" borderId="97" xfId="0" applyBorder="1" applyAlignment="1">
      <alignment horizontal="center" vertical="center"/>
    </xf>
    <xf numFmtId="0" fontId="0" fillId="0" borderId="63" xfId="0" applyBorder="1" applyAlignment="1">
      <alignment horizontal="center" vertical="center"/>
    </xf>
    <xf numFmtId="0" fontId="13" fillId="6" borderId="44" xfId="1" applyFont="1" applyFill="1" applyBorder="1" applyAlignment="1">
      <alignment horizontal="center" vertical="center"/>
    </xf>
    <xf numFmtId="0" fontId="13" fillId="6" borderId="48" xfId="1" applyFont="1" applyFill="1" applyBorder="1" applyAlignment="1">
      <alignment horizontal="center" vertical="center"/>
    </xf>
    <xf numFmtId="0" fontId="13" fillId="6" borderId="49" xfId="1" applyFont="1" applyFill="1" applyBorder="1" applyAlignment="1">
      <alignment horizontal="center" vertical="center"/>
    </xf>
    <xf numFmtId="0" fontId="13" fillId="6" borderId="50" xfId="1" applyFont="1" applyFill="1" applyBorder="1" applyAlignment="1">
      <alignment horizontal="center" vertical="center"/>
    </xf>
    <xf numFmtId="0" fontId="13" fillId="6" borderId="42" xfId="1" applyFont="1" applyFill="1" applyBorder="1" applyAlignment="1">
      <alignment horizontal="center" vertical="center"/>
    </xf>
    <xf numFmtId="0" fontId="71" fillId="11" borderId="0" xfId="13" applyFont="1" applyFill="1" applyAlignment="1">
      <alignment horizontal="left" vertical="center" wrapText="1"/>
    </xf>
    <xf numFmtId="0" fontId="48" fillId="0" borderId="0" xfId="13" applyFont="1" applyAlignment="1">
      <alignment vertical="center"/>
    </xf>
    <xf numFmtId="0" fontId="62" fillId="2" borderId="0" xfId="2" applyFont="1" applyFill="1" applyAlignment="1">
      <alignment horizontal="center" vertical="center"/>
    </xf>
    <xf numFmtId="0" fontId="63" fillId="2" borderId="0" xfId="2" applyFont="1" applyFill="1" applyAlignment="1">
      <alignment horizontal="center" vertical="center"/>
    </xf>
    <xf numFmtId="0" fontId="42" fillId="5" borderId="130" xfId="2" applyFont="1" applyFill="1" applyBorder="1" applyAlignment="1">
      <alignment horizontal="left" vertical="center" wrapText="1"/>
    </xf>
    <xf numFmtId="0" fontId="42" fillId="5" borderId="130" xfId="2" applyFont="1" applyFill="1" applyBorder="1" applyAlignment="1">
      <alignment horizontal="left" vertical="center"/>
    </xf>
    <xf numFmtId="0" fontId="42" fillId="5" borderId="131" xfId="2" applyFont="1" applyFill="1" applyBorder="1" applyAlignment="1">
      <alignment horizontal="left" vertical="center"/>
    </xf>
    <xf numFmtId="0" fontId="42" fillId="5" borderId="0" xfId="2" applyFont="1" applyFill="1" applyAlignment="1">
      <alignment horizontal="left" vertical="center"/>
    </xf>
    <xf numFmtId="0" fontId="42" fillId="5" borderId="132" xfId="2" applyFont="1" applyFill="1" applyBorder="1" applyAlignment="1">
      <alignment horizontal="left" vertical="center"/>
    </xf>
    <xf numFmtId="0" fontId="60" fillId="9" borderId="0" xfId="1" applyFont="1" applyFill="1" applyAlignment="1">
      <alignment horizontal="center" vertical="center" wrapText="1"/>
    </xf>
    <xf numFmtId="0" fontId="6" fillId="2" borderId="57" xfId="1" applyFont="1" applyFill="1" applyBorder="1" applyAlignment="1">
      <alignment horizontal="center" vertical="center" wrapText="1"/>
    </xf>
    <xf numFmtId="0" fontId="6" fillId="2" borderId="58" xfId="1" applyFont="1" applyFill="1" applyBorder="1" applyAlignment="1">
      <alignment horizontal="center" vertical="center" wrapText="1"/>
    </xf>
    <xf numFmtId="14" fontId="7" fillId="2" borderId="58" xfId="2" applyNumberFormat="1" applyFont="1" applyFill="1" applyBorder="1" applyAlignment="1">
      <alignment horizontal="center" vertical="center"/>
    </xf>
    <xf numFmtId="0" fontId="7" fillId="2" borderId="58" xfId="2" applyFont="1" applyFill="1" applyBorder="1" applyAlignment="1">
      <alignment horizontal="center" vertical="center"/>
    </xf>
    <xf numFmtId="0" fontId="13" fillId="6" borderId="55" xfId="1" applyFont="1" applyFill="1" applyBorder="1" applyAlignment="1">
      <alignment horizontal="center" vertical="center"/>
    </xf>
    <xf numFmtId="0" fontId="13" fillId="6" borderId="39" xfId="1" applyFont="1" applyFill="1" applyBorder="1" applyAlignment="1">
      <alignment horizontal="center" vertical="center"/>
    </xf>
    <xf numFmtId="0" fontId="7" fillId="2" borderId="58" xfId="2" applyFont="1" applyFill="1" applyBorder="1" applyAlignment="1">
      <alignment horizontal="center" vertical="center" wrapText="1"/>
    </xf>
    <xf numFmtId="0" fontId="7" fillId="2" borderId="59" xfId="2" applyFont="1" applyFill="1" applyBorder="1" applyAlignment="1">
      <alignment horizontal="center" vertical="center" wrapText="1"/>
    </xf>
    <xf numFmtId="0" fontId="13" fillId="6" borderId="53" xfId="1" applyFont="1" applyFill="1" applyBorder="1" applyAlignment="1">
      <alignment horizontal="center" vertical="center"/>
    </xf>
    <xf numFmtId="0" fontId="6" fillId="2" borderId="60" xfId="1" applyFont="1" applyFill="1" applyBorder="1" applyAlignment="1">
      <alignment horizontal="center" vertical="center" wrapText="1"/>
    </xf>
    <xf numFmtId="0" fontId="6" fillId="2" borderId="61" xfId="1" applyFont="1" applyFill="1" applyBorder="1" applyAlignment="1">
      <alignment horizontal="center" vertical="center" wrapText="1"/>
    </xf>
    <xf numFmtId="14" fontId="7" fillId="2" borderId="61" xfId="2" applyNumberFormat="1" applyFont="1" applyFill="1" applyBorder="1" applyAlignment="1">
      <alignment horizontal="center" vertical="center"/>
    </xf>
    <xf numFmtId="0" fontId="7" fillId="2" borderId="61" xfId="2" applyFont="1" applyFill="1" applyBorder="1" applyAlignment="1">
      <alignment horizontal="center" vertical="center"/>
    </xf>
    <xf numFmtId="0" fontId="7" fillId="2" borderId="61" xfId="2" applyFont="1" applyFill="1" applyBorder="1" applyAlignment="1">
      <alignment horizontal="center" vertical="center" wrapText="1"/>
    </xf>
    <xf numFmtId="0" fontId="7" fillId="2" borderId="62" xfId="2" applyFont="1" applyFill="1" applyBorder="1" applyAlignment="1">
      <alignment horizontal="center" vertical="center" wrapText="1"/>
    </xf>
    <xf numFmtId="0" fontId="6" fillId="2" borderId="63" xfId="1" applyFont="1" applyFill="1" applyBorder="1" applyAlignment="1">
      <alignment horizontal="center" vertical="center" wrapText="1"/>
    </xf>
    <xf numFmtId="0" fontId="6" fillId="2" borderId="64" xfId="1" applyFont="1" applyFill="1" applyBorder="1" applyAlignment="1">
      <alignment horizontal="center" vertical="center" wrapText="1"/>
    </xf>
    <xf numFmtId="14" fontId="7" fillId="2" borderId="64" xfId="2" applyNumberFormat="1" applyFont="1" applyFill="1" applyBorder="1" applyAlignment="1">
      <alignment horizontal="center" vertical="center"/>
    </xf>
    <xf numFmtId="0" fontId="7" fillId="2" borderId="64" xfId="2" applyFont="1" applyFill="1" applyBorder="1" applyAlignment="1">
      <alignment horizontal="center" vertical="center"/>
    </xf>
    <xf numFmtId="0" fontId="7" fillId="2" borderId="64" xfId="2" applyFont="1" applyFill="1" applyBorder="1" applyAlignment="1">
      <alignment horizontal="center" vertical="center" wrapText="1"/>
    </xf>
    <xf numFmtId="0" fontId="7" fillId="2" borderId="65" xfId="2" applyFont="1" applyFill="1" applyBorder="1" applyAlignment="1">
      <alignment horizontal="center" vertical="center" wrapText="1"/>
    </xf>
    <xf numFmtId="0" fontId="9" fillId="2" borderId="98" xfId="2" applyFont="1" applyFill="1" applyBorder="1" applyAlignment="1">
      <alignment vertical="center" wrapText="1"/>
    </xf>
    <xf numFmtId="0" fontId="9" fillId="2" borderId="0" xfId="2" applyFont="1" applyFill="1" applyAlignment="1">
      <alignment vertical="center" wrapText="1"/>
    </xf>
    <xf numFmtId="0" fontId="50" fillId="6" borderId="40" xfId="4" applyFont="1" applyFill="1" applyBorder="1" applyAlignment="1">
      <alignment horizontal="center" vertical="center"/>
    </xf>
    <xf numFmtId="0" fontId="50" fillId="6" borderId="0" xfId="4" applyFont="1" applyFill="1" applyAlignment="1">
      <alignment horizontal="center" vertical="center"/>
    </xf>
    <xf numFmtId="0" fontId="50" fillId="6" borderId="41" xfId="4" applyFont="1" applyFill="1" applyBorder="1" applyAlignment="1">
      <alignment horizontal="center" vertical="center"/>
    </xf>
    <xf numFmtId="0" fontId="9" fillId="2" borderId="40" xfId="4" applyFont="1" applyFill="1" applyBorder="1" applyAlignment="1">
      <alignment vertical="center" wrapText="1"/>
    </xf>
    <xf numFmtId="0" fontId="9" fillId="2" borderId="0" xfId="4" applyFont="1" applyFill="1" applyAlignment="1">
      <alignment vertical="center" wrapText="1"/>
    </xf>
    <xf numFmtId="0" fontId="9" fillId="2" borderId="41" xfId="4" applyFont="1" applyFill="1" applyBorder="1" applyAlignment="1">
      <alignment vertical="center" wrapText="1"/>
    </xf>
    <xf numFmtId="0" fontId="10" fillId="6" borderId="40" xfId="3" applyFont="1" applyFill="1" applyBorder="1" applyAlignment="1">
      <alignment horizontal="center" vertical="center"/>
    </xf>
    <xf numFmtId="0" fontId="10" fillId="6" borderId="49" xfId="3" applyFont="1" applyFill="1" applyBorder="1" applyAlignment="1">
      <alignment horizontal="center" vertical="center"/>
    </xf>
    <xf numFmtId="0" fontId="10" fillId="6" borderId="41" xfId="3" applyFont="1" applyFill="1" applyBorder="1" applyAlignment="1">
      <alignment horizontal="center" vertical="center"/>
    </xf>
    <xf numFmtId="0" fontId="10" fillId="6" borderId="50" xfId="3" applyFont="1" applyFill="1" applyBorder="1" applyAlignment="1">
      <alignment horizontal="center" vertical="center"/>
    </xf>
    <xf numFmtId="0" fontId="10" fillId="6" borderId="44" xfId="3" applyFont="1" applyFill="1" applyBorder="1" applyAlignment="1">
      <alignment horizontal="center" vertical="center"/>
    </xf>
    <xf numFmtId="0" fontId="10" fillId="6" borderId="48" xfId="3" applyFont="1" applyFill="1" applyBorder="1" applyAlignment="1">
      <alignment horizontal="center" vertical="center"/>
    </xf>
    <xf numFmtId="0" fontId="10" fillId="6" borderId="46" xfId="3" applyFont="1" applyFill="1" applyBorder="1" applyAlignment="1">
      <alignment horizontal="center" vertical="center"/>
    </xf>
    <xf numFmtId="0" fontId="10" fillId="6" borderId="47" xfId="3" applyFont="1" applyFill="1" applyBorder="1" applyAlignment="1">
      <alignment horizontal="center" vertical="center"/>
    </xf>
    <xf numFmtId="0" fontId="10" fillId="6" borderId="45" xfId="3" applyFont="1" applyFill="1" applyBorder="1" applyAlignment="1">
      <alignment horizontal="center" vertical="center"/>
    </xf>
    <xf numFmtId="0" fontId="7" fillId="0" borderId="66" xfId="4" applyFont="1" applyBorder="1" applyAlignment="1">
      <alignment horizontal="center" vertical="center"/>
    </xf>
    <xf numFmtId="0" fontId="7" fillId="0" borderId="103" xfId="4" applyFont="1" applyBorder="1" applyAlignment="1">
      <alignment horizontal="center" vertical="center"/>
    </xf>
    <xf numFmtId="0" fontId="7" fillId="0" borderId="82" xfId="4" applyFont="1" applyBorder="1" applyAlignment="1">
      <alignment horizontal="center" vertical="center"/>
    </xf>
    <xf numFmtId="0" fontId="7" fillId="0" borderId="108" xfId="4" applyFont="1" applyBorder="1" applyAlignment="1">
      <alignment horizontal="center" vertical="center"/>
    </xf>
    <xf numFmtId="0" fontId="7" fillId="0" borderId="40" xfId="4" applyFont="1" applyBorder="1" applyAlignment="1">
      <alignment horizontal="center" vertical="center" wrapText="1"/>
    </xf>
    <xf numFmtId="0" fontId="7" fillId="0" borderId="107" xfId="4" applyFont="1" applyBorder="1" applyAlignment="1">
      <alignment horizontal="center" vertical="center" wrapText="1"/>
    </xf>
    <xf numFmtId="0" fontId="7" fillId="0" borderId="108" xfId="4" applyFont="1" applyBorder="1" applyAlignment="1">
      <alignment horizontal="center" vertical="center" wrapText="1"/>
    </xf>
    <xf numFmtId="0" fontId="7" fillId="0" borderId="80" xfId="4" applyFont="1" applyBorder="1" applyAlignment="1">
      <alignment horizontal="center" vertical="center" wrapText="1"/>
    </xf>
    <xf numFmtId="0" fontId="7" fillId="0" borderId="58" xfId="4" applyFont="1" applyBorder="1" applyAlignment="1">
      <alignment horizontal="center" vertical="center"/>
    </xf>
    <xf numFmtId="0" fontId="7" fillId="0" borderId="61" xfId="4" applyFont="1" applyBorder="1" applyAlignment="1">
      <alignment horizontal="center" vertical="center"/>
    </xf>
    <xf numFmtId="0" fontId="7" fillId="0" borderId="59" xfId="4" applyFont="1" applyBorder="1" applyAlignment="1">
      <alignment horizontal="center" vertical="center"/>
    </xf>
    <xf numFmtId="0" fontId="7" fillId="0" borderId="62" xfId="4" applyFont="1" applyBorder="1" applyAlignment="1">
      <alignment horizontal="center" vertical="center"/>
    </xf>
    <xf numFmtId="0" fontId="7" fillId="0" borderId="103" xfId="4" applyFont="1" applyBorder="1" applyAlignment="1">
      <alignment horizontal="center" vertical="center" wrapText="1"/>
    </xf>
    <xf numFmtId="0" fontId="7" fillId="0" borderId="67" xfId="4" applyFont="1" applyBorder="1" applyAlignment="1">
      <alignment horizontal="center" vertical="center" wrapText="1"/>
    </xf>
    <xf numFmtId="0" fontId="7" fillId="0" borderId="67" xfId="4" applyFont="1" applyBorder="1" applyAlignment="1">
      <alignment horizontal="center" vertical="center"/>
    </xf>
    <xf numFmtId="0" fontId="7" fillId="0" borderId="80" xfId="4" applyFont="1" applyBorder="1" applyAlignment="1">
      <alignment horizontal="center" vertical="center"/>
    </xf>
    <xf numFmtId="0" fontId="7" fillId="0" borderId="81" xfId="4" applyFont="1" applyBorder="1" applyAlignment="1">
      <alignment horizontal="center" vertical="center" wrapText="1"/>
    </xf>
    <xf numFmtId="0" fontId="7" fillId="0" borderId="60" xfId="4" applyFont="1" applyBorder="1" applyAlignment="1">
      <alignment horizontal="center" vertical="center" wrapText="1"/>
    </xf>
    <xf numFmtId="0" fontId="7" fillId="0" borderId="61" xfId="4" applyFont="1" applyBorder="1" applyAlignment="1">
      <alignment horizontal="center" vertical="center" wrapText="1"/>
    </xf>
    <xf numFmtId="0" fontId="7" fillId="0" borderId="127" xfId="4" applyFont="1" applyBorder="1" applyAlignment="1">
      <alignment horizontal="center" vertical="center"/>
    </xf>
    <xf numFmtId="0" fontId="7" fillId="0" borderId="40" xfId="4" applyFont="1" applyBorder="1" applyAlignment="1">
      <alignment horizontal="center" vertical="center"/>
    </xf>
    <xf numFmtId="0" fontId="7" fillId="0" borderId="107" xfId="4" applyFont="1" applyBorder="1" applyAlignment="1">
      <alignment horizontal="center" vertical="center"/>
    </xf>
    <xf numFmtId="0" fontId="7" fillId="0" borderId="101" xfId="4" applyFont="1" applyBorder="1" applyAlignment="1">
      <alignment horizontal="center" vertical="center"/>
    </xf>
    <xf numFmtId="0" fontId="7" fillId="0" borderId="0" xfId="4" applyFont="1" applyAlignment="1">
      <alignment horizontal="center" vertical="center"/>
    </xf>
    <xf numFmtId="0" fontId="7" fillId="0" borderId="102" xfId="4" applyFont="1" applyBorder="1" applyAlignment="1">
      <alignment horizontal="center" vertical="center"/>
    </xf>
    <xf numFmtId="0" fontId="7" fillId="0" borderId="127" xfId="4" applyFont="1" applyBorder="1" applyAlignment="1">
      <alignment horizontal="left" vertical="center" wrapText="1"/>
    </xf>
    <xf numFmtId="0" fontId="7" fillId="0" borderId="40" xfId="4" applyFont="1" applyBorder="1" applyAlignment="1">
      <alignment horizontal="left" vertical="center" wrapText="1"/>
    </xf>
    <xf numFmtId="0" fontId="7" fillId="0" borderId="101" xfId="4" applyFont="1" applyBorder="1" applyAlignment="1">
      <alignment horizontal="left" vertical="center" wrapText="1"/>
    </xf>
    <xf numFmtId="0" fontId="7" fillId="0" borderId="0" xfId="4" applyFont="1" applyAlignment="1">
      <alignment horizontal="left" vertical="center" wrapText="1"/>
    </xf>
    <xf numFmtId="0" fontId="7" fillId="0" borderId="82" xfId="4" applyFont="1" applyBorder="1" applyAlignment="1">
      <alignment horizontal="left" vertical="center" wrapText="1"/>
    </xf>
    <xf numFmtId="0" fontId="7" fillId="0" borderId="108" xfId="4" applyFont="1" applyBorder="1" applyAlignment="1">
      <alignment horizontal="left" vertical="center" wrapText="1"/>
    </xf>
    <xf numFmtId="0" fontId="7" fillId="0" borderId="41" xfId="4" applyFont="1" applyBorder="1" applyAlignment="1">
      <alignment horizontal="center" vertical="center" wrapText="1"/>
    </xf>
    <xf numFmtId="0" fontId="7" fillId="0" borderId="105" xfId="4" applyFont="1" applyBorder="1" applyAlignment="1">
      <alignment horizontal="center" vertical="center" wrapText="1"/>
    </xf>
    <xf numFmtId="0" fontId="7" fillId="0" borderId="104" xfId="4" applyFont="1" applyBorder="1" applyAlignment="1">
      <alignment horizontal="center" vertical="center"/>
    </xf>
    <xf numFmtId="0" fontId="7" fillId="0" borderId="105" xfId="4" applyFont="1" applyBorder="1" applyAlignment="1">
      <alignment horizontal="center" vertical="center"/>
    </xf>
    <xf numFmtId="0" fontId="7" fillId="0" borderId="41" xfId="4" applyFont="1" applyBorder="1" applyAlignment="1">
      <alignment horizontal="center" vertical="center"/>
    </xf>
    <xf numFmtId="0" fontId="10" fillId="6" borderId="42" xfId="3" applyFont="1" applyFill="1" applyBorder="1" applyAlignment="1">
      <alignment horizontal="center" vertical="center"/>
    </xf>
    <xf numFmtId="0" fontId="10" fillId="6" borderId="43" xfId="3" applyFont="1" applyFill="1" applyBorder="1" applyAlignment="1">
      <alignment horizontal="center" vertical="center"/>
    </xf>
    <xf numFmtId="0" fontId="10" fillId="6" borderId="56" xfId="3" applyFont="1" applyFill="1" applyBorder="1" applyAlignment="1">
      <alignment horizontal="center" vertical="center"/>
    </xf>
    <xf numFmtId="0" fontId="10" fillId="6" borderId="79" xfId="3" applyFont="1" applyFill="1" applyBorder="1" applyAlignment="1">
      <alignment horizontal="center" vertical="center"/>
    </xf>
    <xf numFmtId="0" fontId="7" fillId="0" borderId="66" xfId="4" applyFont="1" applyBorder="1" applyAlignment="1">
      <alignment horizontal="left" vertical="center" wrapText="1"/>
    </xf>
    <xf numFmtId="0" fontId="7" fillId="0" borderId="103" xfId="4" applyFont="1" applyBorder="1" applyAlignment="1">
      <alignment horizontal="left" vertical="center" wrapText="1"/>
    </xf>
    <xf numFmtId="0" fontId="7" fillId="0" borderId="129" xfId="4" applyFont="1" applyBorder="1" applyAlignment="1">
      <alignment horizontal="center" vertical="center" wrapText="1"/>
    </xf>
    <xf numFmtId="0" fontId="7" fillId="0" borderId="63" xfId="4" applyFont="1" applyBorder="1" applyAlignment="1">
      <alignment horizontal="center" vertical="center" wrapText="1"/>
    </xf>
    <xf numFmtId="0" fontId="7" fillId="0" borderId="64" xfId="4" applyFont="1" applyBorder="1" applyAlignment="1">
      <alignment horizontal="center" vertical="center" wrapText="1"/>
    </xf>
    <xf numFmtId="0" fontId="7" fillId="0" borderId="129" xfId="4" applyFont="1" applyBorder="1" applyAlignment="1">
      <alignment horizontal="center" vertical="center"/>
    </xf>
    <xf numFmtId="0" fontId="7" fillId="0" borderId="64" xfId="4" applyFont="1" applyBorder="1" applyAlignment="1">
      <alignment horizontal="center" vertical="center"/>
    </xf>
    <xf numFmtId="0" fontId="7" fillId="0" borderId="104" xfId="4" applyFont="1" applyBorder="1" applyAlignment="1">
      <alignment horizontal="left" vertical="center" wrapText="1"/>
    </xf>
    <xf numFmtId="0" fontId="7" fillId="0" borderId="41" xfId="4" applyFont="1" applyBorder="1" applyAlignment="1">
      <alignment horizontal="left" vertical="center" wrapText="1"/>
    </xf>
    <xf numFmtId="0" fontId="40" fillId="2" borderId="0" xfId="1" applyFont="1" applyFill="1" applyAlignment="1">
      <alignment horizontal="left" vertical="center"/>
    </xf>
    <xf numFmtId="0" fontId="13" fillId="6" borderId="45" xfId="1" applyFont="1" applyFill="1" applyBorder="1" applyAlignment="1">
      <alignment horizontal="center" vertical="center"/>
    </xf>
    <xf numFmtId="0" fontId="13" fillId="6" borderId="43" xfId="1" applyFont="1" applyFill="1" applyBorder="1" applyAlignment="1">
      <alignment horizontal="center" vertical="center"/>
    </xf>
    <xf numFmtId="0" fontId="13" fillId="6" borderId="51" xfId="1" applyFont="1" applyFill="1" applyBorder="1" applyAlignment="1">
      <alignment horizontal="center" vertical="center"/>
    </xf>
    <xf numFmtId="0" fontId="13" fillId="6" borderId="52" xfId="1" applyFont="1" applyFill="1" applyBorder="1" applyAlignment="1">
      <alignment horizontal="center" vertical="center"/>
    </xf>
    <xf numFmtId="0" fontId="13" fillId="6" borderId="47" xfId="1" applyFont="1" applyFill="1" applyBorder="1" applyAlignment="1">
      <alignment horizontal="center" vertical="center"/>
    </xf>
    <xf numFmtId="0" fontId="10" fillId="4" borderId="60" xfId="3" applyFont="1" applyFill="1" applyBorder="1" applyAlignment="1">
      <alignment horizontal="center" vertical="center" wrapText="1"/>
    </xf>
    <xf numFmtId="0" fontId="10" fillId="4" borderId="61" xfId="3" applyFont="1" applyFill="1" applyBorder="1" applyAlignment="1">
      <alignment horizontal="center" vertical="center" wrapText="1"/>
    </xf>
    <xf numFmtId="0" fontId="6" fillId="2" borderId="0" xfId="1" applyFont="1" applyFill="1" applyAlignment="1">
      <alignment horizontal="center" vertical="center"/>
    </xf>
    <xf numFmtId="0" fontId="10" fillId="6" borderId="42" xfId="3" applyFont="1" applyFill="1" applyBorder="1" applyAlignment="1">
      <alignment horizontal="center" vertical="center" wrapText="1"/>
    </xf>
    <xf numFmtId="0" fontId="10" fillId="6" borderId="43" xfId="3" applyFont="1" applyFill="1" applyBorder="1" applyAlignment="1">
      <alignment horizontal="center" vertical="center" wrapText="1"/>
    </xf>
    <xf numFmtId="0" fontId="10" fillId="6" borderId="45" xfId="3" applyFont="1" applyFill="1" applyBorder="1" applyAlignment="1">
      <alignment horizontal="center" vertical="center" wrapText="1"/>
    </xf>
    <xf numFmtId="0" fontId="10" fillId="6" borderId="46" xfId="3" applyFont="1" applyFill="1" applyBorder="1" applyAlignment="1">
      <alignment horizontal="center" vertical="center" wrapText="1"/>
    </xf>
    <xf numFmtId="0" fontId="10" fillId="6" borderId="44" xfId="3" applyFont="1" applyFill="1" applyBorder="1" applyAlignment="1">
      <alignment horizontal="center" vertical="center" wrapText="1"/>
    </xf>
    <xf numFmtId="0" fontId="10" fillId="4" borderId="57" xfId="3" applyFont="1" applyFill="1" applyBorder="1" applyAlignment="1">
      <alignment horizontal="center" vertical="center" wrapText="1"/>
    </xf>
    <xf numFmtId="0" fontId="10" fillId="4" borderId="58" xfId="3" applyFont="1" applyFill="1" applyBorder="1" applyAlignment="1">
      <alignment horizontal="center" vertical="center" wrapText="1"/>
    </xf>
    <xf numFmtId="0" fontId="24" fillId="2" borderId="0" xfId="1" applyFont="1" applyFill="1" applyAlignment="1">
      <alignment horizontal="left" vertical="center"/>
    </xf>
    <xf numFmtId="0" fontId="10" fillId="6" borderId="53" xfId="3"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4" borderId="99" xfId="3" applyFont="1" applyFill="1" applyBorder="1" applyAlignment="1">
      <alignment horizontal="center" vertical="center" wrapText="1"/>
    </xf>
    <xf numFmtId="0" fontId="10" fillId="4" borderId="106" xfId="3" applyFont="1" applyFill="1" applyBorder="1" applyAlignment="1">
      <alignment horizontal="center" vertical="center" wrapText="1"/>
    </xf>
    <xf numFmtId="0" fontId="10" fillId="7" borderId="86" xfId="3" applyFont="1" applyFill="1" applyBorder="1" applyAlignment="1">
      <alignment horizontal="center" vertical="center" wrapText="1"/>
    </xf>
    <xf numFmtId="0" fontId="10" fillId="7" borderId="87" xfId="3" applyFont="1" applyFill="1" applyBorder="1" applyAlignment="1">
      <alignment horizontal="center" vertical="center" wrapText="1"/>
    </xf>
    <xf numFmtId="0" fontId="8" fillId="0" borderId="0" xfId="1" applyFont="1" applyAlignment="1">
      <alignment horizontal="left" vertical="center"/>
    </xf>
    <xf numFmtId="0" fontId="23" fillId="2" borderId="0" xfId="1" applyFont="1" applyFill="1" applyAlignment="1">
      <alignment horizontal="left" vertical="center"/>
    </xf>
    <xf numFmtId="0" fontId="27" fillId="4" borderId="95" xfId="1" applyFont="1" applyFill="1" applyBorder="1" applyAlignment="1">
      <alignment horizontal="center" vertical="center"/>
    </xf>
    <xf numFmtId="0" fontId="27" fillId="4" borderId="57" xfId="1" applyFont="1" applyFill="1" applyBorder="1" applyAlignment="1">
      <alignment horizontal="center" vertical="center"/>
    </xf>
    <xf numFmtId="0" fontId="27" fillId="4" borderId="96" xfId="1" applyFont="1" applyFill="1" applyBorder="1" applyAlignment="1">
      <alignment horizontal="center" vertical="center"/>
    </xf>
    <xf numFmtId="0" fontId="27" fillId="4" borderId="60" xfId="1" applyFont="1" applyFill="1" applyBorder="1" applyAlignment="1">
      <alignment horizontal="center" vertical="center"/>
    </xf>
    <xf numFmtId="0" fontId="27" fillId="4" borderId="120" xfId="1" applyFont="1" applyFill="1" applyBorder="1" applyAlignment="1">
      <alignment horizontal="center" vertical="center"/>
    </xf>
    <xf numFmtId="0" fontId="27" fillId="4" borderId="121" xfId="1" applyFont="1" applyFill="1" applyBorder="1" applyAlignment="1">
      <alignment horizontal="center" vertical="center"/>
    </xf>
    <xf numFmtId="0" fontId="7" fillId="7" borderId="86" xfId="2" applyFont="1" applyFill="1" applyBorder="1" applyAlignment="1">
      <alignment horizontal="center" vertical="center"/>
    </xf>
    <xf numFmtId="0" fontId="7" fillId="7" borderId="87" xfId="2" applyFont="1" applyFill="1" applyBorder="1" applyAlignment="1">
      <alignment horizontal="center" vertical="center"/>
    </xf>
    <xf numFmtId="0" fontId="16" fillId="2" borderId="0" xfId="1" applyFont="1" applyFill="1" applyAlignment="1">
      <alignment horizontal="center" vertical="center"/>
    </xf>
    <xf numFmtId="0" fontId="10" fillId="6" borderId="44" xfId="10" applyFont="1" applyFill="1" applyBorder="1">
      <alignment horizontal="center" vertical="center" wrapText="1"/>
    </xf>
    <xf numFmtId="0" fontId="10" fillId="6" borderId="47" xfId="10" applyFont="1" applyFill="1" applyBorder="1">
      <alignment horizontal="center" vertical="center" wrapText="1"/>
    </xf>
    <xf numFmtId="0" fontId="10" fillId="6" borderId="43" xfId="10" applyFont="1" applyFill="1" applyBorder="1">
      <alignment horizontal="center" vertical="center" wrapText="1"/>
    </xf>
    <xf numFmtId="0" fontId="10" fillId="6" borderId="46" xfId="10" applyFont="1" applyFill="1" applyBorder="1">
      <alignment horizontal="center" vertical="center" wrapText="1"/>
    </xf>
    <xf numFmtId="0" fontId="13" fillId="6" borderId="46" xfId="1" applyFont="1" applyFill="1" applyBorder="1" applyAlignment="1">
      <alignment horizontal="center" vertical="center"/>
    </xf>
    <xf numFmtId="0" fontId="10" fillId="4" borderId="17" xfId="2" applyFont="1" applyFill="1" applyBorder="1" applyAlignment="1">
      <alignment horizontal="center" vertical="center"/>
    </xf>
    <xf numFmtId="0" fontId="10" fillId="4" borderId="18" xfId="2" applyFont="1" applyFill="1" applyBorder="1" applyAlignment="1">
      <alignment horizontal="center" vertical="center"/>
    </xf>
    <xf numFmtId="0" fontId="10" fillId="4" borderId="19" xfId="2" applyFont="1" applyFill="1" applyBorder="1" applyAlignment="1">
      <alignment horizontal="center" vertical="center"/>
    </xf>
    <xf numFmtId="0" fontId="10" fillId="4" borderId="20" xfId="2" applyFont="1" applyFill="1" applyBorder="1" applyAlignment="1">
      <alignment horizontal="center" vertical="center"/>
    </xf>
    <xf numFmtId="0" fontId="21" fillId="4" borderId="22" xfId="2" applyFont="1" applyFill="1" applyBorder="1" applyAlignment="1">
      <alignment horizontal="center" vertical="center"/>
    </xf>
    <xf numFmtId="0" fontId="21" fillId="4" borderId="2" xfId="2" applyFont="1" applyFill="1" applyBorder="1" applyAlignment="1">
      <alignment horizontal="center" vertical="center"/>
    </xf>
    <xf numFmtId="0" fontId="21" fillId="4" borderId="3" xfId="2" applyFont="1" applyFill="1" applyBorder="1" applyAlignment="1">
      <alignment horizontal="center" vertical="center"/>
    </xf>
    <xf numFmtId="0" fontId="10" fillId="4" borderId="24" xfId="2" applyFont="1" applyFill="1" applyBorder="1" applyAlignment="1">
      <alignment horizontal="center" vertical="center"/>
    </xf>
    <xf numFmtId="0" fontId="10" fillId="4" borderId="25" xfId="2" applyFont="1" applyFill="1" applyBorder="1" applyAlignment="1">
      <alignment horizontal="center" vertical="center"/>
    </xf>
    <xf numFmtId="0" fontId="10" fillId="4" borderId="26" xfId="2" applyFont="1" applyFill="1" applyBorder="1" applyAlignment="1">
      <alignment horizontal="center" vertical="center"/>
    </xf>
    <xf numFmtId="0" fontId="10" fillId="4" borderId="123" xfId="2" applyFont="1" applyFill="1" applyBorder="1" applyAlignment="1">
      <alignment horizontal="center" vertical="center"/>
    </xf>
    <xf numFmtId="0" fontId="10" fillId="4" borderId="124" xfId="2" applyFont="1" applyFill="1" applyBorder="1" applyAlignment="1">
      <alignment horizontal="center" vertical="center"/>
    </xf>
    <xf numFmtId="0" fontId="10" fillId="4" borderId="125" xfId="2" applyFont="1" applyFill="1" applyBorder="1" applyAlignment="1">
      <alignment horizontal="center" vertical="center"/>
    </xf>
    <xf numFmtId="0" fontId="13" fillId="6" borderId="44" xfId="1" applyFont="1" applyFill="1" applyBorder="1" applyAlignment="1">
      <alignment horizontal="center" vertical="center" wrapText="1"/>
    </xf>
    <xf numFmtId="0" fontId="13" fillId="6" borderId="47" xfId="1" applyFont="1" applyFill="1" applyBorder="1" applyAlignment="1">
      <alignment horizontal="center" vertical="center" wrapText="1"/>
    </xf>
    <xf numFmtId="0" fontId="13" fillId="6" borderId="43" xfId="1" applyFont="1" applyFill="1" applyBorder="1" applyAlignment="1">
      <alignment horizontal="center" vertical="center" wrapText="1"/>
    </xf>
    <xf numFmtId="0" fontId="13" fillId="6" borderId="46" xfId="1" applyFont="1" applyFill="1" applyBorder="1" applyAlignment="1">
      <alignment horizontal="center" vertical="center" wrapText="1"/>
    </xf>
    <xf numFmtId="0" fontId="10" fillId="4" borderId="15" xfId="2" applyFont="1" applyFill="1" applyBorder="1" applyAlignment="1">
      <alignment horizontal="center" vertical="center"/>
    </xf>
    <xf numFmtId="0" fontId="10" fillId="4" borderId="28" xfId="2" applyFont="1" applyFill="1" applyBorder="1" applyAlignment="1">
      <alignment horizontal="center" vertical="center"/>
    </xf>
    <xf numFmtId="0" fontId="10" fillId="4" borderId="16"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45" xfId="3" applyFont="1" applyFill="1" applyBorder="1" applyAlignment="1" applyProtection="1">
      <alignment horizontal="center" vertical="center" wrapText="1"/>
      <protection locked="0"/>
    </xf>
    <xf numFmtId="0" fontId="44" fillId="0" borderId="36" xfId="11" applyFont="1" applyBorder="1">
      <alignment vertical="center"/>
    </xf>
    <xf numFmtId="0" fontId="44" fillId="0" borderId="37" xfId="11" applyFont="1" applyBorder="1">
      <alignment vertical="center"/>
    </xf>
    <xf numFmtId="0" fontId="44" fillId="0" borderId="38" xfId="11" applyFont="1" applyBorder="1">
      <alignment vertical="center"/>
    </xf>
    <xf numFmtId="0" fontId="44" fillId="0" borderId="34" xfId="11" applyFont="1" applyBorder="1">
      <alignment vertical="center"/>
    </xf>
    <xf numFmtId="0" fontId="44" fillId="0" borderId="0" xfId="11" applyFont="1">
      <alignment vertical="center"/>
    </xf>
    <xf numFmtId="0" fontId="44" fillId="0" borderId="35" xfId="11" applyFont="1" applyBorder="1">
      <alignment vertical="center"/>
    </xf>
    <xf numFmtId="0" fontId="13" fillId="6" borderId="43" xfId="3" applyFont="1" applyFill="1" applyBorder="1" applyAlignment="1" applyProtection="1">
      <alignment horizontal="center" vertical="center" wrapText="1"/>
      <protection locked="0"/>
    </xf>
    <xf numFmtId="0" fontId="13" fillId="6" borderId="44" xfId="3" applyFont="1" applyFill="1" applyBorder="1" applyAlignment="1" applyProtection="1">
      <alignment horizontal="center" vertical="center" wrapText="1"/>
      <protection locked="0"/>
    </xf>
    <xf numFmtId="0" fontId="13" fillId="6" borderId="56" xfId="3" applyFont="1" applyFill="1" applyBorder="1" applyAlignment="1" applyProtection="1">
      <alignment horizontal="center" vertical="center" wrapText="1"/>
      <protection locked="0"/>
    </xf>
    <xf numFmtId="0" fontId="13" fillId="6" borderId="135" xfId="3" applyFont="1" applyFill="1" applyBorder="1" applyAlignment="1" applyProtection="1">
      <alignment horizontal="center" vertical="center" wrapText="1"/>
      <protection locked="0"/>
    </xf>
    <xf numFmtId="0" fontId="13" fillId="6" borderId="49" xfId="3" applyFont="1" applyFill="1" applyBorder="1" applyAlignment="1" applyProtection="1">
      <alignment horizontal="center" vertical="center" wrapText="1"/>
      <protection locked="0"/>
    </xf>
    <xf numFmtId="0" fontId="13" fillId="6" borderId="133" xfId="3" applyFont="1" applyFill="1" applyBorder="1" applyAlignment="1" applyProtection="1">
      <alignment horizontal="center" vertical="center" wrapText="1"/>
      <protection locked="0"/>
    </xf>
    <xf numFmtId="0" fontId="13" fillId="6" borderId="40" xfId="3" applyFont="1" applyFill="1" applyBorder="1" applyAlignment="1" applyProtection="1">
      <alignment horizontal="center" vertical="center" wrapText="1"/>
      <protection locked="0"/>
    </xf>
    <xf numFmtId="0" fontId="13" fillId="6" borderId="48" xfId="3" applyFont="1" applyFill="1" applyBorder="1" applyAlignment="1" applyProtection="1">
      <alignment horizontal="center" vertical="center" wrapText="1"/>
      <protection locked="0"/>
    </xf>
    <xf numFmtId="0" fontId="7" fillId="4" borderId="96" xfId="2" applyFont="1" applyFill="1" applyBorder="1" applyAlignment="1">
      <alignment horizontal="center" vertical="center" wrapText="1"/>
    </xf>
    <xf numFmtId="0" fontId="7" fillId="4" borderId="118" xfId="2" applyFont="1" applyFill="1" applyBorder="1" applyAlignment="1">
      <alignment horizontal="center" vertical="center" wrapText="1"/>
    </xf>
    <xf numFmtId="0" fontId="10" fillId="7" borderId="137" xfId="2" applyFont="1" applyFill="1" applyBorder="1" applyAlignment="1">
      <alignment horizontal="center" vertical="center"/>
    </xf>
    <xf numFmtId="0" fontId="10" fillId="7" borderId="138" xfId="2" applyFont="1" applyFill="1" applyBorder="1" applyAlignment="1">
      <alignment horizontal="center" vertical="center"/>
    </xf>
    <xf numFmtId="0" fontId="7" fillId="2" borderId="74" xfId="7" applyFont="1" applyFill="1" applyBorder="1" applyAlignment="1">
      <alignment horizontal="left" vertical="center" wrapText="1"/>
    </xf>
    <xf numFmtId="0" fontId="7" fillId="2" borderId="128" xfId="7" applyFont="1" applyFill="1" applyBorder="1" applyAlignment="1">
      <alignment horizontal="left" vertical="center" wrapText="1"/>
    </xf>
    <xf numFmtId="0" fontId="7" fillId="2" borderId="75" xfId="7" applyFont="1" applyFill="1" applyBorder="1" applyAlignment="1">
      <alignment horizontal="left" vertical="center" wrapText="1"/>
    </xf>
    <xf numFmtId="0" fontId="13" fillId="6" borderId="55" xfId="3" applyFont="1" applyFill="1" applyBorder="1" applyAlignment="1" applyProtection="1">
      <alignment horizontal="center" vertical="center" wrapText="1"/>
      <protection locked="0"/>
    </xf>
    <xf numFmtId="0" fontId="13" fillId="6" borderId="39" xfId="3" applyFont="1" applyFill="1" applyBorder="1" applyAlignment="1" applyProtection="1">
      <alignment horizontal="center" vertical="center" wrapText="1"/>
      <protection locked="0"/>
    </xf>
    <xf numFmtId="0" fontId="13" fillId="6" borderId="53" xfId="3" applyFont="1" applyFill="1" applyBorder="1" applyAlignment="1" applyProtection="1">
      <alignment horizontal="center" vertical="center" wrapText="1"/>
      <protection locked="0"/>
    </xf>
    <xf numFmtId="176" fontId="10" fillId="2" borderId="100" xfId="2" applyNumberFormat="1" applyFont="1" applyFill="1" applyBorder="1" applyAlignment="1">
      <alignment horizontal="center" vertical="center"/>
    </xf>
    <xf numFmtId="176" fontId="10" fillId="2" borderId="99" xfId="2" applyNumberFormat="1" applyFont="1" applyFill="1" applyBorder="1" applyAlignment="1">
      <alignment horizontal="center" vertical="center"/>
    </xf>
    <xf numFmtId="0" fontId="7" fillId="2" borderId="100" xfId="2" applyFont="1" applyFill="1" applyBorder="1" applyAlignment="1">
      <alignment horizontal="center" vertical="center"/>
    </xf>
    <xf numFmtId="0" fontId="7" fillId="2" borderId="99" xfId="2" applyFont="1" applyFill="1" applyBorder="1" applyAlignment="1">
      <alignment horizontal="center" vertical="center"/>
    </xf>
    <xf numFmtId="0" fontId="13" fillId="6" borderId="43" xfId="2" applyFont="1" applyFill="1" applyBorder="1" applyAlignment="1">
      <alignment horizontal="center" vertical="center"/>
    </xf>
    <xf numFmtId="0" fontId="13" fillId="6" borderId="44" xfId="2" applyFont="1" applyFill="1" applyBorder="1" applyAlignment="1">
      <alignment horizontal="center" vertical="center"/>
    </xf>
    <xf numFmtId="0" fontId="13" fillId="4" borderId="83" xfId="8" applyFont="1" applyFill="1" applyBorder="1" applyAlignment="1">
      <alignment horizontal="center" vertical="center"/>
    </xf>
    <xf numFmtId="0" fontId="13" fillId="4" borderId="84" xfId="8" applyFont="1" applyFill="1" applyBorder="1" applyAlignment="1">
      <alignment horizontal="center" vertical="center"/>
    </xf>
    <xf numFmtId="0" fontId="14" fillId="2" borderId="78" xfId="8" applyFont="1" applyFill="1" applyBorder="1" applyAlignment="1">
      <alignment horizontal="center" vertical="center"/>
    </xf>
    <xf numFmtId="0" fontId="14" fillId="2" borderId="33" xfId="8" applyFont="1" applyFill="1" applyBorder="1" applyAlignment="1">
      <alignment horizontal="center" vertical="center"/>
    </xf>
    <xf numFmtId="0" fontId="14" fillId="2" borderId="75" xfId="8" applyFont="1" applyFill="1" applyBorder="1" applyAlignment="1">
      <alignment horizontal="center" vertical="center"/>
    </xf>
    <xf numFmtId="0" fontId="14" fillId="2" borderId="32" xfId="8" applyFont="1" applyFill="1" applyBorder="1" applyAlignment="1">
      <alignment horizontal="center" vertical="center"/>
    </xf>
    <xf numFmtId="0" fontId="13" fillId="6" borderId="42" xfId="2" applyFont="1" applyFill="1" applyBorder="1" applyAlignment="1">
      <alignment horizontal="center" vertical="center"/>
    </xf>
    <xf numFmtId="0" fontId="13" fillId="6" borderId="45" xfId="2" applyFont="1" applyFill="1" applyBorder="1" applyAlignment="1">
      <alignment horizontal="center" vertical="center"/>
    </xf>
    <xf numFmtId="0" fontId="13" fillId="6" borderId="46" xfId="2" applyFont="1" applyFill="1" applyBorder="1" applyAlignment="1">
      <alignment horizontal="center" vertical="center"/>
    </xf>
    <xf numFmtId="0" fontId="7" fillId="2" borderId="77" xfId="2" applyFont="1" applyFill="1" applyBorder="1" applyAlignment="1">
      <alignment horizontal="center" vertical="center" wrapText="1"/>
    </xf>
    <xf numFmtId="0" fontId="7" fillId="2" borderId="122" xfId="2" applyFont="1" applyFill="1" applyBorder="1" applyAlignment="1">
      <alignment horizontal="center" vertical="center" wrapText="1"/>
    </xf>
    <xf numFmtId="0" fontId="7" fillId="2" borderId="76" xfId="2" applyFont="1" applyFill="1" applyBorder="1" applyAlignment="1">
      <alignment horizontal="center" vertical="center" wrapText="1"/>
    </xf>
    <xf numFmtId="0" fontId="7" fillId="2" borderId="74" xfId="2" applyFont="1" applyFill="1" applyBorder="1" applyAlignment="1">
      <alignment horizontal="center" vertical="center" wrapText="1"/>
    </xf>
    <xf numFmtId="0" fontId="7" fillId="2" borderId="128" xfId="2" applyFont="1" applyFill="1" applyBorder="1" applyAlignment="1">
      <alignment horizontal="center" vertical="center" wrapText="1"/>
    </xf>
    <xf numFmtId="0" fontId="7" fillId="2" borderId="75" xfId="2" applyFont="1" applyFill="1" applyBorder="1" applyAlignment="1">
      <alignment horizontal="center" vertical="center" wrapText="1"/>
    </xf>
    <xf numFmtId="0" fontId="13" fillId="6" borderId="55" xfId="2" applyFont="1" applyFill="1" applyBorder="1" applyAlignment="1">
      <alignment horizontal="center" vertical="center"/>
    </xf>
    <xf numFmtId="0" fontId="13" fillId="6" borderId="53" xfId="2" applyFont="1" applyFill="1" applyBorder="1" applyAlignment="1">
      <alignment horizontal="center" vertical="center"/>
    </xf>
    <xf numFmtId="0" fontId="13" fillId="6" borderId="54" xfId="2" applyFont="1" applyFill="1" applyBorder="1" applyAlignment="1">
      <alignment horizontal="center" vertical="center"/>
    </xf>
    <xf numFmtId="0" fontId="7" fillId="2" borderId="106" xfId="2" applyFont="1" applyFill="1" applyBorder="1" applyAlignment="1">
      <alignment horizontal="center" vertical="center"/>
    </xf>
    <xf numFmtId="9" fontId="7" fillId="2" borderId="100" xfId="2" applyNumberFormat="1" applyFont="1" applyFill="1" applyBorder="1" applyAlignment="1">
      <alignment horizontal="center" vertical="center"/>
    </xf>
    <xf numFmtId="9" fontId="7" fillId="2" borderId="99" xfId="2" applyNumberFormat="1" applyFont="1" applyFill="1" applyBorder="1" applyAlignment="1">
      <alignment horizontal="center" vertical="center"/>
    </xf>
    <xf numFmtId="0" fontId="13" fillId="6" borderId="39" xfId="2" applyFont="1" applyFill="1" applyBorder="1" applyAlignment="1">
      <alignment horizontal="center" vertical="center"/>
    </xf>
    <xf numFmtId="9" fontId="7" fillId="2" borderId="39" xfId="2" applyNumberFormat="1" applyFont="1" applyFill="1" applyBorder="1" applyAlignment="1">
      <alignment horizontal="center" vertical="center"/>
    </xf>
    <xf numFmtId="0" fontId="13" fillId="6" borderId="54" xfId="3" applyFont="1" applyFill="1" applyBorder="1" applyAlignment="1" applyProtection="1">
      <alignment horizontal="center" vertical="center" wrapText="1"/>
      <protection locked="0"/>
    </xf>
    <xf numFmtId="0" fontId="7" fillId="4" borderId="95" xfId="2" applyFont="1" applyFill="1" applyBorder="1" applyAlignment="1">
      <alignment horizontal="center" vertical="center" wrapText="1"/>
    </xf>
    <xf numFmtId="0" fontId="7" fillId="4" borderId="117" xfId="2" applyFont="1" applyFill="1" applyBorder="1" applyAlignment="1">
      <alignment horizontal="center" vertical="center" wrapText="1"/>
    </xf>
    <xf numFmtId="0" fontId="7" fillId="2" borderId="70" xfId="7" applyFont="1" applyFill="1" applyBorder="1" applyAlignment="1">
      <alignment horizontal="left" vertical="center" wrapText="1"/>
    </xf>
    <xf numFmtId="0" fontId="10" fillId="7" borderId="71" xfId="2" applyFont="1" applyFill="1" applyBorder="1" applyAlignment="1">
      <alignment horizontal="center" vertical="center"/>
    </xf>
    <xf numFmtId="0" fontId="35" fillId="0" borderId="0" xfId="9" applyFont="1" applyAlignment="1">
      <alignment horizontal="center" vertical="center"/>
    </xf>
  </cellXfs>
  <cellStyles count="16">
    <cellStyle name="스타일 1" xfId="10" xr:uid="{00000000-0005-0000-0000-000000000000}"/>
    <cellStyle name="표준" xfId="0" builtinId="0"/>
    <cellStyle name="표준 13" xfId="1" xr:uid="{00000000-0005-0000-0000-000002000000}"/>
    <cellStyle name="표준 14" xfId="9" xr:uid="{00000000-0005-0000-0000-000003000000}"/>
    <cellStyle name="표준 2" xfId="2" xr:uid="{00000000-0005-0000-0000-000004000000}"/>
    <cellStyle name="표준 2 10" xfId="3" xr:uid="{00000000-0005-0000-0000-000005000000}"/>
    <cellStyle name="표준 2 2" xfId="11" xr:uid="{00000000-0005-0000-0000-000006000000}"/>
    <cellStyle name="표준 2 2 2" xfId="14" xr:uid="{00000000-0005-0000-0000-000007000000}"/>
    <cellStyle name="표준 2 3" xfId="15" xr:uid="{00000000-0005-0000-0000-000008000000}"/>
    <cellStyle name="표준 3" xfId="12" xr:uid="{00000000-0005-0000-0000-000009000000}"/>
    <cellStyle name="표준 3 4" xfId="13" xr:uid="{00000000-0005-0000-0000-00000A000000}"/>
    <cellStyle name="표준 40" xfId="7" xr:uid="{00000000-0005-0000-0000-00000B000000}"/>
    <cellStyle name="표준 9" xfId="8" xr:uid="{00000000-0005-0000-0000-00000C000000}"/>
    <cellStyle name="표준_서버 취약점 진단 요약보고서_기간계업무_계정계서버_1" xfId="4" xr:uid="{00000000-0005-0000-0000-00000D000000}"/>
    <cellStyle name="표준_정보통신부_취약점진단결과_우체국금융_서버_0708_v0.7" xfId="6" xr:uid="{00000000-0005-0000-0000-00000E000000}"/>
    <cellStyle name="하이퍼링크" xfId="5" builtinId="8"/>
  </cellStyles>
  <dxfs count="73">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s>
  <tableStyles count="0" defaultTableStyle="TableStyleMedium2" defaultPivotStyle="PivotStyleLight16"/>
  <colors>
    <mruColors>
      <color rgb="FF188B95"/>
      <color rgb="FF7FD5DD"/>
      <color rgb="FFB5ECF1"/>
      <color rgb="FFFFFFFF"/>
      <color rgb="FF54BCC5"/>
      <color rgb="FF188A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2904944610060288"/>
          <c:y val="0.15434071050291692"/>
          <c:w val="0.56377795196893055"/>
          <c:h val="0.76545252451780721"/>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E9-44C7-BF0D-E45A5B02DC3D}"/>
                </c:ext>
              </c:extLst>
            </c:dLbl>
            <c:dLbl>
              <c:idx val="1"/>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E9-44C7-BF0D-E45A5B02DC3D}"/>
                </c:ext>
              </c:extLst>
            </c:dLbl>
            <c:dLbl>
              <c:idx val="2"/>
              <c:layout>
                <c:manualLayout>
                  <c:x val="3.0183720746631417E-2"/>
                  <c:y val="-9.6000000000000002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E9-44C7-BF0D-E45A5B02DC3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통계'!$B$11:$B$13</c:f>
              <c:numCache>
                <c:formatCode>General</c:formatCode>
                <c:ptCount val="3"/>
              </c:numCache>
            </c:numRef>
          </c:val>
          <c:extLst>
            <c:ext xmlns:c16="http://schemas.microsoft.com/office/drawing/2014/chart" uri="{C3380CC4-5D6E-409C-BE32-E72D297353CC}">
              <c16:uniqueId val="{00000005-C0E9-44C7-BF0D-E45A5B02DC3D}"/>
            </c:ext>
          </c:extLst>
        </c:ser>
        <c:ser>
          <c:idx val="1"/>
          <c:order val="1"/>
          <c:spPr>
            <a:ln>
              <a:solidFill>
                <a:srgbClr val="54BCC5"/>
              </a:solidFill>
            </a:ln>
          </c:spPr>
          <c:marker>
            <c:symbol val="circle"/>
            <c:size val="7"/>
            <c:spPr>
              <a:solidFill>
                <a:srgbClr val="188B95"/>
              </a:solidFill>
              <a:ln>
                <a:solidFill>
                  <a:srgbClr val="54BCC5"/>
                </a:solidFill>
              </a:ln>
            </c:spPr>
          </c:marker>
          <c:dLbls>
            <c:dLbl>
              <c:idx val="0"/>
              <c:layout>
                <c:manualLayout>
                  <c:x val="6.8824203738718781E-2"/>
                  <c:y val="1.3270752992248419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0E9-44C7-BF0D-E45A5B02DC3D}"/>
                </c:ext>
              </c:extLst>
            </c:dLbl>
            <c:dLbl>
              <c:idx val="1"/>
              <c:layout>
                <c:manualLayout>
                  <c:x val="-1.6679170164458187E-2"/>
                  <c:y val="7.5133439164765614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0E9-44C7-BF0D-E45A5B02DC3D}"/>
                </c:ext>
              </c:extLst>
            </c:dLbl>
            <c:dLbl>
              <c:idx val="2"/>
              <c:layout>
                <c:manualLayout>
                  <c:x val="1.5796770342978383E-2"/>
                  <c:y val="-0.10149449285379916"/>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0E9-44C7-BF0D-E45A5B02DC3D}"/>
                </c:ext>
              </c:extLst>
            </c:dLbl>
            <c:spPr>
              <a:noFill/>
              <a:ln>
                <a:noFill/>
              </a:ln>
              <a:effectLst/>
            </c:spPr>
            <c:txPr>
              <a:bodyPr/>
              <a:lstStyle/>
              <a:p>
                <a:pPr>
                  <a:defRPr sz="1100" b="0"/>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통계'!$J$11:$J$13</c:f>
              <c:numCache>
                <c:formatCode>0.0%</c:formatCode>
                <c:ptCount val="3"/>
                <c:pt idx="0">
                  <c:v>0</c:v>
                </c:pt>
                <c:pt idx="1">
                  <c:v>0</c:v>
                </c:pt>
                <c:pt idx="2">
                  <c:v>0</c:v>
                </c:pt>
              </c:numCache>
            </c:numRef>
          </c:val>
          <c:extLst>
            <c:ext xmlns:c16="http://schemas.microsoft.com/office/drawing/2014/chart" uri="{C3380CC4-5D6E-409C-BE32-E72D297353CC}">
              <c16:uniqueId val="{0000000B-C0E9-44C7-BF0D-E45A5B02DC3D}"/>
            </c:ext>
          </c:extLst>
        </c:ser>
        <c:dLbls>
          <c:showLegendKey val="0"/>
          <c:showVal val="0"/>
          <c:showCatName val="0"/>
          <c:showSerName val="0"/>
          <c:showPercent val="0"/>
          <c:showBubbleSize val="0"/>
        </c:dLbls>
        <c:axId val="186583296"/>
        <c:axId val="186589184"/>
      </c:radarChart>
      <c:catAx>
        <c:axId val="186583296"/>
        <c:scaling>
          <c:orientation val="minMax"/>
        </c:scaling>
        <c:delete val="0"/>
        <c:axPos val="b"/>
        <c:majorGridlines/>
        <c:numFmt formatCode="General" sourceLinked="0"/>
        <c:majorTickMark val="out"/>
        <c:minorTickMark val="none"/>
        <c:tickLblPos val="nextTo"/>
        <c:txPr>
          <a:bodyPr/>
          <a:lstStyle/>
          <a:p>
            <a:pPr>
              <a:defRPr sz="1050" b="0"/>
            </a:pPr>
            <a:endParaRPr lang="ko-KR"/>
          </a:p>
        </c:txPr>
        <c:crossAx val="186589184"/>
        <c:crosses val="autoZero"/>
        <c:auto val="0"/>
        <c:lblAlgn val="ctr"/>
        <c:lblOffset val="100"/>
        <c:noMultiLvlLbl val="0"/>
      </c:catAx>
      <c:valAx>
        <c:axId val="186589184"/>
        <c:scaling>
          <c:orientation val="minMax"/>
          <c:max val="1"/>
          <c:min val="0"/>
        </c:scaling>
        <c:delete val="0"/>
        <c:axPos val="l"/>
        <c:majorGridlines/>
        <c:minorGridlines/>
        <c:numFmt formatCode="0%" sourceLinked="0"/>
        <c:majorTickMark val="none"/>
        <c:minorTickMark val="none"/>
        <c:tickLblPos val="nextTo"/>
        <c:crossAx val="186583296"/>
        <c:crosses val="autoZero"/>
        <c:crossBetween val="between"/>
        <c:majorUnit val="0.2"/>
        <c:minorUnit val="0.2"/>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8.2845666196684556E-2"/>
          <c:y val="0.10988790280813561"/>
          <c:w val="0.87586895767583706"/>
          <c:h val="0.77648066212133127"/>
        </c:manualLayout>
      </c:layout>
      <c:barChart>
        <c:barDir val="col"/>
        <c:grouping val="stacked"/>
        <c:varyColors val="0"/>
        <c:ser>
          <c:idx val="0"/>
          <c:order val="0"/>
          <c:invertIfNegative val="0"/>
          <c:cat>
            <c:strRef>
              <c:f>'보안수준 통계'!$A$11:$A$13</c:f>
              <c:strCache>
                <c:ptCount val="3"/>
                <c:pt idx="0">
                  <c:v>보안 관리</c:v>
                </c:pt>
                <c:pt idx="1">
                  <c:v>사용자 인증</c:v>
                </c:pt>
                <c:pt idx="2">
                  <c:v>패치 관리</c:v>
                </c:pt>
              </c:strCache>
            </c:strRef>
          </c:cat>
          <c:val>
            <c:numRef>
              <c:f>'보안수준 통계'!$B$11:$B$13</c:f>
              <c:numCache>
                <c:formatCode>General</c:formatCode>
                <c:ptCount val="3"/>
              </c:numCache>
            </c:numRef>
          </c:val>
          <c:extLst>
            <c:ext xmlns:c16="http://schemas.microsoft.com/office/drawing/2014/chart" uri="{C3380CC4-5D6E-409C-BE32-E72D297353CC}">
              <c16:uniqueId val="{00000000-522E-492F-8C6E-B068E5054EB5}"/>
            </c:ext>
          </c:extLst>
        </c:ser>
        <c:ser>
          <c:idx val="1"/>
          <c:order val="1"/>
          <c:spPr>
            <a:solidFill>
              <a:srgbClr val="7FD5DD"/>
            </a:solidFill>
            <a:ln>
              <a:solidFill>
                <a:srgbClr val="188B95"/>
              </a:solidFill>
            </a:ln>
          </c:spPr>
          <c:invertIfNegative val="0"/>
          <c:dLbls>
            <c:spPr>
              <a:noFill/>
              <a:ln>
                <a:noFill/>
              </a:ln>
              <a:effectLst/>
            </c:spPr>
            <c:txPr>
              <a:bodyPr/>
              <a:lstStyle/>
              <a:p>
                <a:pPr>
                  <a:defRPr sz="1100" b="1"/>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통계'!$J$11:$J$13</c:f>
              <c:numCache>
                <c:formatCode>0.0%</c:formatCode>
                <c:ptCount val="3"/>
                <c:pt idx="0">
                  <c:v>0</c:v>
                </c:pt>
                <c:pt idx="1">
                  <c:v>0</c:v>
                </c:pt>
                <c:pt idx="2">
                  <c:v>0</c:v>
                </c:pt>
              </c:numCache>
            </c:numRef>
          </c:val>
          <c:extLst>
            <c:ext xmlns:c16="http://schemas.microsoft.com/office/drawing/2014/chart" uri="{C3380CC4-5D6E-409C-BE32-E72D297353CC}">
              <c16:uniqueId val="{00000001-522E-492F-8C6E-B068E5054EB5}"/>
            </c:ext>
          </c:extLst>
        </c:ser>
        <c:dLbls>
          <c:showLegendKey val="0"/>
          <c:showVal val="0"/>
          <c:showCatName val="0"/>
          <c:showSerName val="0"/>
          <c:showPercent val="0"/>
          <c:showBubbleSize val="0"/>
        </c:dLbls>
        <c:gapWidth val="55"/>
        <c:overlap val="100"/>
        <c:axId val="186618240"/>
        <c:axId val="186619776"/>
      </c:barChart>
      <c:catAx>
        <c:axId val="186618240"/>
        <c:scaling>
          <c:orientation val="minMax"/>
        </c:scaling>
        <c:delete val="0"/>
        <c:axPos val="b"/>
        <c:numFmt formatCode="General" sourceLinked="0"/>
        <c:majorTickMark val="none"/>
        <c:minorTickMark val="none"/>
        <c:tickLblPos val="nextTo"/>
        <c:txPr>
          <a:bodyPr/>
          <a:lstStyle/>
          <a:p>
            <a:pPr>
              <a:defRPr b="0"/>
            </a:pPr>
            <a:endParaRPr lang="ko-KR"/>
          </a:p>
        </c:txPr>
        <c:crossAx val="186619776"/>
        <c:crosses val="autoZero"/>
        <c:auto val="0"/>
        <c:lblAlgn val="ctr"/>
        <c:lblOffset val="100"/>
        <c:noMultiLvlLbl val="0"/>
      </c:catAx>
      <c:valAx>
        <c:axId val="186619776"/>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186618240"/>
        <c:crosses val="autoZero"/>
        <c:crossBetween val="between"/>
        <c:majorUnit val="0.2"/>
        <c:minorUnit val="0.1"/>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18</xdr:row>
      <xdr:rowOff>66675</xdr:rowOff>
    </xdr:from>
    <xdr:to>
      <xdr:col>5</xdr:col>
      <xdr:colOff>619816</xdr:colOff>
      <xdr:row>24</xdr:row>
      <xdr:rowOff>85903</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57225" y="3086100"/>
          <a:ext cx="4953691" cy="1276528"/>
        </a:xfrm>
        <a:prstGeom prst="rect">
          <a:avLst/>
        </a:prstGeom>
        <a:ln>
          <a:solidFill>
            <a:schemeClr val="bg1">
              <a:lumMod val="75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206749</xdr:colOff>
      <xdr:row>39</xdr:row>
      <xdr:rowOff>72838</xdr:rowOff>
    </xdr:from>
    <xdr:to>
      <xdr:col>10</xdr:col>
      <xdr:colOff>53897</xdr:colOff>
      <xdr:row>41</xdr:row>
      <xdr:rowOff>15596</xdr:rowOff>
    </xdr:to>
    <xdr:pic>
      <xdr:nvPicPr>
        <xdr:cNvPr id="9" name="그림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0849" y="7273738"/>
          <a:ext cx="1392738" cy="289468"/>
        </a:xfrm>
        <a:prstGeom prst="rect">
          <a:avLst/>
        </a:prstGeom>
      </xdr:spPr>
    </xdr:pic>
    <xdr:clientData/>
  </xdr:twoCellAnchor>
  <xdr:twoCellAnchor>
    <xdr:from>
      <xdr:col>1</xdr:col>
      <xdr:colOff>6350</xdr:colOff>
      <xdr:row>3</xdr:row>
      <xdr:rowOff>6350</xdr:rowOff>
    </xdr:from>
    <xdr:to>
      <xdr:col>5</xdr:col>
      <xdr:colOff>181610</xdr:colOff>
      <xdr:row>5</xdr:row>
      <xdr:rowOff>163830</xdr:rowOff>
    </xdr:to>
    <xdr:sp macro="" textlink="">
      <xdr:nvSpPr>
        <xdr:cNvPr id="10" name="모서리가 둥근 직사각형 5">
          <a:extLst>
            <a:ext uri="{FF2B5EF4-FFF2-40B4-BE49-F238E27FC236}">
              <a16:creationId xmlns:a16="http://schemas.microsoft.com/office/drawing/2014/main" id="{00000000-0008-0000-0200-00000A000000}"/>
            </a:ext>
          </a:extLst>
        </xdr:cNvPr>
        <xdr:cNvSpPr/>
      </xdr:nvSpPr>
      <xdr:spPr bwMode="auto">
        <a:xfrm>
          <a:off x="393700" y="615950"/>
          <a:ext cx="1724660" cy="563880"/>
        </a:xfrm>
        <a:prstGeom prst="roundRect">
          <a:avLst/>
        </a:prstGeom>
        <a:noFill/>
        <a:ln w="25400">
          <a:solidFill>
            <a:srgbClr val="FF0000"/>
          </a:solidFill>
          <a:headEnd type="none" w="med" len="med"/>
          <a:tailEnd type="none" w="med" len="med"/>
        </a:ln>
        <a:effectLst>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lIns="18288" tIns="0" rIns="0" bIns="0" rtlCol="0" anchor="ctr" upright="1"/>
        <a:lstStyle/>
        <a:p>
          <a:pPr algn="ctr"/>
          <a:r>
            <a:rPr lang="ko-KR" altLang="en-US" sz="1800" b="1">
              <a:solidFill>
                <a:srgbClr val="FF0000"/>
              </a:solidFill>
              <a:latin typeface="+mj-ea"/>
              <a:ea typeface="+mj-ea"/>
            </a:rPr>
            <a:t>기관 </a:t>
          </a:r>
          <a:r>
            <a:rPr lang="en-US" altLang="ko-KR" sz="1800" b="1">
              <a:solidFill>
                <a:srgbClr val="FF0000"/>
              </a:solidFill>
              <a:latin typeface="+mj-ea"/>
              <a:ea typeface="+mj-ea"/>
            </a:rPr>
            <a:t>CI</a:t>
          </a:r>
          <a:endParaRPr lang="ko-KR" altLang="en-US" sz="1800" b="1">
            <a:solidFill>
              <a:srgbClr val="FF0000"/>
            </a:solidFill>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21</xdr:col>
      <xdr:colOff>629771</xdr:colOff>
      <xdr:row>34</xdr:row>
      <xdr:rowOff>80682</xdr:rowOff>
    </xdr:from>
    <xdr:ext cx="65" cy="172227"/>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983321" y="62681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439980" y="608838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3" name="TextBox 2">
              <a:extLst>
                <a:ext uri="{FF2B5EF4-FFF2-40B4-BE49-F238E27FC236}">
                  <a16:creationId xmlns:a16="http://schemas.microsoft.com/office/drawing/2014/main" id="{8AD521B0-45A9-40C6-A94B-8682AA6EC765}"/>
                </a:ext>
              </a:extLst>
            </xdr:cNvPr>
            <xdr:cNvSpPr txBox="1"/>
          </xdr:nvSpPr>
          <xdr:spPr>
            <a:xfrm>
              <a:off x="3439980" y="608838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9983321" y="23819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9983321" y="23819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34</xdr:row>
      <xdr:rowOff>80682</xdr:rowOff>
    </xdr:from>
    <xdr:ext cx="65" cy="172227"/>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0008086" y="616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3447600" y="5991225"/>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7" name="TextBox 6">
              <a:extLst>
                <a:ext uri="{FF2B5EF4-FFF2-40B4-BE49-F238E27FC236}">
                  <a16:creationId xmlns:a16="http://schemas.microsoft.com/office/drawing/2014/main" id="{E0282FA4-2578-456C-AE65-C3351FD165DF}"/>
                </a:ext>
              </a:extLst>
            </xdr:cNvPr>
            <xdr:cNvSpPr txBox="1"/>
          </xdr:nvSpPr>
          <xdr:spPr>
            <a:xfrm>
              <a:off x="3447600" y="5991225"/>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008086" y="235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0008086" y="235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0</xdr:row>
          <xdr:rowOff>0</xdr:rowOff>
        </xdr:from>
        <xdr:to>
          <xdr:col>11</xdr:col>
          <xdr:colOff>942975</xdr:colOff>
          <xdr:row>1</xdr:row>
          <xdr:rowOff>190500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시트 생성</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22412</xdr:colOff>
      <xdr:row>17</xdr:row>
      <xdr:rowOff>0</xdr:rowOff>
    </xdr:from>
    <xdr:to>
      <xdr:col>4</xdr:col>
      <xdr:colOff>31937</xdr:colOff>
      <xdr:row>33</xdr:row>
      <xdr:rowOff>33617</xdr:rowOff>
    </xdr:to>
    <xdr:graphicFrame macro="">
      <xdr:nvGraphicFramePr>
        <xdr:cNvPr id="2" name="차트 5">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22413</xdr:colOff>
      <xdr:row>17</xdr:row>
      <xdr:rowOff>0</xdr:rowOff>
    </xdr:from>
    <xdr:to>
      <xdr:col>9</xdr:col>
      <xdr:colOff>717176</xdr:colOff>
      <xdr:row>33</xdr:row>
      <xdr:rowOff>33617</xdr:rowOff>
    </xdr:to>
    <xdr:graphicFrame macro="">
      <xdr:nvGraphicFramePr>
        <xdr:cNvPr id="3" name="차트 5">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5</xdr:row>
      <xdr:rowOff>-1</xdr:rowOff>
    </xdr:from>
    <xdr:to>
      <xdr:col>14</xdr:col>
      <xdr:colOff>0</xdr:colOff>
      <xdr:row>88</xdr:row>
      <xdr:rowOff>0</xdr:rowOff>
    </xdr:to>
    <xdr:sp macro="" textlink="">
      <xdr:nvSpPr>
        <xdr:cNvPr id="3" name="직사각형 2">
          <a:extLst>
            <a:ext uri="{FF2B5EF4-FFF2-40B4-BE49-F238E27FC236}">
              <a16:creationId xmlns:a16="http://schemas.microsoft.com/office/drawing/2014/main" id="{00000000-0008-0000-0900-000003000000}"/>
            </a:ext>
          </a:extLst>
        </xdr:cNvPr>
        <xdr:cNvSpPr/>
      </xdr:nvSpPr>
      <xdr:spPr>
        <a:xfrm>
          <a:off x="7960659" y="959223"/>
          <a:ext cx="2097741" cy="172929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해당 시트는 작년 결과를 수동으로 입력하여 사용하여야 합니다</a:t>
          </a:r>
          <a:r>
            <a:rPr lang="en-US" altLang="ko-KR" sz="1800" b="1"/>
            <a:t>.</a:t>
          </a:r>
        </a:p>
        <a:p>
          <a:pPr algn="ctr"/>
          <a:endParaRPr lang="en-US" altLang="ko-KR" sz="1800" b="1"/>
        </a:p>
        <a:p>
          <a:pPr algn="ctr"/>
          <a:r>
            <a:rPr lang="ko-KR" altLang="en-US" sz="1800" b="1"/>
            <a:t>입력 결과값은 </a:t>
          </a:r>
          <a:r>
            <a:rPr lang="en-US" altLang="ko-KR" sz="1800" b="1"/>
            <a:t>'</a:t>
          </a:r>
          <a:r>
            <a:rPr lang="ko-KR" altLang="en-US" sz="1800" b="1"/>
            <a:t>결과 비교</a:t>
          </a:r>
          <a:r>
            <a:rPr lang="en-US" altLang="ko-KR" sz="1800" b="1"/>
            <a:t>'</a:t>
          </a:r>
          <a:r>
            <a:rPr lang="ko-KR" altLang="en-US" sz="1800" b="1"/>
            <a:t> 시트에서</a:t>
          </a:r>
          <a:r>
            <a:rPr lang="ko-KR" altLang="en-US" sz="1800" b="1" baseline="0"/>
            <a:t> 사용됩니다</a:t>
          </a:r>
          <a:r>
            <a:rPr lang="en-US" altLang="ko-KR" sz="1800" b="1" baseline="0"/>
            <a:t>.</a:t>
          </a:r>
          <a:endParaRPr lang="en-US" altLang="ko-KR" sz="1800" b="1"/>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1</xdr:row>
          <xdr:rowOff>19050</xdr:rowOff>
        </xdr:from>
        <xdr:to>
          <xdr:col>3</xdr:col>
          <xdr:colOff>257175</xdr:colOff>
          <xdr:row>2</xdr:row>
          <xdr:rowOff>171450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C00-000005B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결과 가져오기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54028;&#51060;&#50724;&#47553;&#53356;/01.&#51088;&#47308;/2019_&#51204;&#51088;&#44552;&#50997;&#44592;&#48152;&#49884;&#49444;_&#44288;&#47532;&#51201;_&#50641;&#49472;&#48372;&#44256;&#49436;/&#48324;&#52392;01.%202019%20&#51204;&#51088;&#44552;&#50997;%20&#50948;&#54744;&#48516;&#49437;%20&#48143;%20&#54217;&#44032;&#54364;_&#51221;&#48372;&#48372;&#54840;&#44288;&#47532;&#52404;&#44228;(&#44552;&#50997;)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개정이력"/>
      <sheetName val="개요"/>
      <sheetName val="위험분석 통계"/>
      <sheetName val="정보보호관리체계 위험분석"/>
      <sheetName val="#위협항목"/>
      <sheetName val="#정보보호점검항목"/>
      <sheetName val="END"/>
    </sheetNames>
    <sheetDataSet>
      <sheetData sheetId="0"/>
      <sheetData sheetId="1"/>
      <sheetData sheetId="2"/>
      <sheetData sheetId="3">
        <row r="12">
          <cell r="E12">
            <v>10</v>
          </cell>
        </row>
      </sheetData>
      <sheetData sheetId="4"/>
      <sheetData sheetId="5"/>
      <sheetData sheetId="6"/>
      <sheetData sheetId="7"/>
    </sheetDataSet>
  </externalBook>
</externalLink>
</file>

<file path=xl/theme/theme1.xml><?xml version="1.0" encoding="utf-8"?>
<a:theme xmlns:a="http://schemas.openxmlformats.org/drawingml/2006/main" name="Office 테마">
  <a:themeElements>
    <a:clrScheme name="사용자 지정 1">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00"/>
      </a:hlink>
      <a:folHlink>
        <a:srgbClr val="00000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B2:O102"/>
  <sheetViews>
    <sheetView showGridLines="0" tabSelected="1" view="pageBreakPreview" zoomScale="85" zoomScaleNormal="100" zoomScaleSheetLayoutView="85" workbookViewId="0"/>
  </sheetViews>
  <sheetFormatPr defaultRowHeight="16.5"/>
  <cols>
    <col min="1" max="2" width="5.125" customWidth="1"/>
    <col min="3" max="3" width="20.5" customWidth="1"/>
    <col min="4" max="4" width="20.75" customWidth="1"/>
    <col min="5" max="5" width="13.75" bestFit="1" customWidth="1"/>
    <col min="6" max="6" width="13.25" bestFit="1" customWidth="1"/>
    <col min="8" max="8" width="4" bestFit="1" customWidth="1"/>
    <col min="9" max="9" width="20.75" customWidth="1"/>
    <col min="10" max="10" width="4" bestFit="1" customWidth="1"/>
    <col min="11" max="11" width="20.75" customWidth="1"/>
    <col min="12" max="12" width="4" bestFit="1" customWidth="1"/>
    <col min="13" max="13" width="20.75" customWidth="1"/>
    <col min="14" max="14" width="4" bestFit="1" customWidth="1"/>
    <col min="15" max="15" width="20.75" customWidth="1"/>
    <col min="16" max="16" width="5.125" customWidth="1"/>
  </cols>
  <sheetData>
    <row r="2" spans="2:15" ht="17.25">
      <c r="B2" s="107" t="s">
        <v>0</v>
      </c>
      <c r="C2" s="107"/>
      <c r="D2" s="107"/>
      <c r="E2" s="107"/>
    </row>
    <row r="3" spans="2:15" ht="4.5" customHeight="1" thickBot="1">
      <c r="B3" s="107"/>
      <c r="C3" s="107"/>
      <c r="D3" s="107"/>
      <c r="E3" s="107"/>
    </row>
    <row r="4" spans="2:15">
      <c r="B4" s="143" t="s">
        <v>1</v>
      </c>
      <c r="C4" s="143"/>
      <c r="D4" s="144"/>
      <c r="E4" s="144"/>
      <c r="F4" s="144"/>
      <c r="G4" s="144"/>
      <c r="H4" s="144"/>
      <c r="I4" s="144"/>
      <c r="J4" s="144"/>
      <c r="K4" s="144"/>
      <c r="L4" s="144"/>
      <c r="M4" s="144"/>
      <c r="N4" s="144"/>
      <c r="O4" s="144"/>
    </row>
    <row r="5" spans="2:15">
      <c r="B5" s="133" t="s">
        <v>2</v>
      </c>
      <c r="C5" s="133"/>
    </row>
    <row r="6" spans="2:15" ht="4.5" customHeight="1">
      <c r="B6" s="133"/>
      <c r="C6" s="133"/>
    </row>
    <row r="7" spans="2:15" ht="4.5" customHeight="1">
      <c r="B7" s="133"/>
      <c r="C7" s="133"/>
    </row>
    <row r="8" spans="2:15">
      <c r="B8" s="133" t="s">
        <v>3</v>
      </c>
      <c r="C8" s="133"/>
    </row>
    <row r="9" spans="2:15" ht="4.5" customHeight="1" thickBot="1">
      <c r="B9" s="133"/>
      <c r="C9" s="133"/>
    </row>
    <row r="10" spans="2:15">
      <c r="B10" s="145" t="s">
        <v>4</v>
      </c>
      <c r="C10" s="153"/>
      <c r="D10" s="146"/>
      <c r="E10" s="146"/>
      <c r="F10" s="146"/>
      <c r="G10" s="146"/>
      <c r="H10" s="146"/>
      <c r="I10" s="146"/>
      <c r="J10" s="146"/>
      <c r="K10" s="146"/>
      <c r="L10" s="146"/>
      <c r="M10" s="146"/>
      <c r="N10" s="146"/>
      <c r="O10" s="147"/>
    </row>
    <row r="11" spans="2:15">
      <c r="B11" s="148" t="s">
        <v>5</v>
      </c>
      <c r="C11" s="133"/>
      <c r="O11" s="149"/>
    </row>
    <row r="12" spans="2:15" ht="4.5" customHeight="1">
      <c r="B12" s="148"/>
      <c r="C12" s="133"/>
      <c r="O12" s="149"/>
    </row>
    <row r="13" spans="2:15">
      <c r="B13" s="148" t="s">
        <v>6</v>
      </c>
      <c r="C13" s="133"/>
      <c r="O13" s="149"/>
    </row>
    <row r="14" spans="2:15">
      <c r="B14" s="148" t="s">
        <v>7</v>
      </c>
      <c r="C14" s="133"/>
      <c r="O14" s="149"/>
    </row>
    <row r="15" spans="2:15">
      <c r="B15" s="148" t="s">
        <v>8</v>
      </c>
      <c r="C15" s="133"/>
      <c r="O15" s="149"/>
    </row>
    <row r="16" spans="2:15">
      <c r="B16" s="148" t="s">
        <v>9</v>
      </c>
      <c r="C16" s="133"/>
      <c r="O16" s="149"/>
    </row>
    <row r="17" spans="2:15">
      <c r="B17" s="148" t="s">
        <v>10</v>
      </c>
      <c r="C17" s="133"/>
      <c r="O17" s="149"/>
    </row>
    <row r="18" spans="2:15">
      <c r="B18" s="148" t="s">
        <v>11</v>
      </c>
      <c r="C18" s="133"/>
      <c r="O18" s="149"/>
    </row>
    <row r="19" spans="2:15">
      <c r="B19" s="148"/>
      <c r="C19" s="133"/>
      <c r="O19" s="149"/>
    </row>
    <row r="20" spans="2:15">
      <c r="B20" s="148"/>
      <c r="C20" s="133"/>
      <c r="O20" s="149"/>
    </row>
    <row r="21" spans="2:15">
      <c r="B21" s="148"/>
      <c r="C21" s="133"/>
      <c r="O21" s="149"/>
    </row>
    <row r="22" spans="2:15">
      <c r="B22" s="148"/>
      <c r="C22" s="133"/>
      <c r="O22" s="149"/>
    </row>
    <row r="23" spans="2:15">
      <c r="B23" s="148"/>
      <c r="C23" s="133"/>
      <c r="O23" s="149"/>
    </row>
    <row r="24" spans="2:15">
      <c r="B24" s="148"/>
      <c r="C24" s="133"/>
      <c r="O24" s="149"/>
    </row>
    <row r="25" spans="2:15" ht="17.25" thickBot="1">
      <c r="B25" s="150"/>
      <c r="C25" s="154"/>
      <c r="D25" s="151"/>
      <c r="E25" s="151"/>
      <c r="F25" s="151"/>
      <c r="G25" s="151"/>
      <c r="H25" s="151"/>
      <c r="I25" s="151"/>
      <c r="J25" s="151"/>
      <c r="K25" s="151"/>
      <c r="L25" s="151"/>
      <c r="M25" s="151"/>
      <c r="N25" s="151"/>
      <c r="O25" s="152"/>
    </row>
    <row r="26" spans="2:15" ht="4.5" customHeight="1"/>
    <row r="27" spans="2:15" ht="4.5" customHeight="1"/>
    <row r="28" spans="2:15">
      <c r="B28" s="133" t="s">
        <v>12</v>
      </c>
      <c r="C28" s="133"/>
    </row>
    <row r="29" spans="2:15" ht="4.5" customHeight="1" thickBot="1">
      <c r="B29" s="133"/>
      <c r="C29" s="133"/>
    </row>
    <row r="30" spans="2:15">
      <c r="B30" s="145" t="s">
        <v>13</v>
      </c>
      <c r="C30" s="153"/>
      <c r="D30" s="146"/>
      <c r="E30" s="146"/>
      <c r="F30" s="146"/>
      <c r="G30" s="146"/>
      <c r="H30" s="146"/>
      <c r="I30" s="146"/>
      <c r="J30" s="146"/>
      <c r="K30" s="146"/>
      <c r="L30" s="146"/>
      <c r="M30" s="146"/>
      <c r="N30" s="146"/>
      <c r="O30" s="147"/>
    </row>
    <row r="31" spans="2:15">
      <c r="B31" s="158" t="s">
        <v>14</v>
      </c>
      <c r="C31" s="156"/>
      <c r="O31" s="149"/>
    </row>
    <row r="32" spans="2:15">
      <c r="B32" s="148" t="s">
        <v>15</v>
      </c>
      <c r="C32" s="133"/>
      <c r="O32" s="149"/>
    </row>
    <row r="33" spans="2:15" ht="4.5" customHeight="1">
      <c r="B33" s="159"/>
      <c r="O33" s="149"/>
    </row>
    <row r="34" spans="2:15" ht="17.25" thickBot="1">
      <c r="B34" s="148"/>
      <c r="C34" s="133"/>
      <c r="D34" s="157" t="s">
        <v>16</v>
      </c>
      <c r="G34" s="151"/>
      <c r="H34" s="151"/>
      <c r="O34" s="149"/>
    </row>
    <row r="35" spans="2:15">
      <c r="B35" s="159"/>
      <c r="C35" s="145" t="s">
        <v>17</v>
      </c>
      <c r="I35" s="147"/>
      <c r="O35" s="149"/>
    </row>
    <row r="36" spans="2:15" ht="17.25" thickBot="1">
      <c r="B36" s="159"/>
      <c r="C36" s="155" t="s">
        <v>18</v>
      </c>
      <c r="D36" s="151"/>
      <c r="E36" s="151"/>
      <c r="F36" s="151"/>
      <c r="G36" s="151"/>
      <c r="H36" s="151"/>
      <c r="I36" s="152"/>
      <c r="O36" s="149"/>
    </row>
    <row r="37" spans="2:15" ht="4.5" customHeight="1">
      <c r="B37" s="159"/>
      <c r="O37" s="149"/>
    </row>
    <row r="38" spans="2:15">
      <c r="B38" s="148" t="s">
        <v>19</v>
      </c>
      <c r="C38" s="133"/>
      <c r="O38" s="149"/>
    </row>
    <row r="39" spans="2:15">
      <c r="B39" s="158" t="s">
        <v>20</v>
      </c>
      <c r="C39" s="156"/>
      <c r="O39" s="149"/>
    </row>
    <row r="40" spans="2:15">
      <c r="B40" s="148" t="s">
        <v>21</v>
      </c>
      <c r="C40" s="133"/>
      <c r="O40" s="149"/>
    </row>
    <row r="41" spans="2:15" ht="17.25" thickBot="1">
      <c r="B41" s="150" t="s">
        <v>22</v>
      </c>
      <c r="C41" s="154"/>
      <c r="D41" s="151"/>
      <c r="E41" s="151"/>
      <c r="F41" s="151"/>
      <c r="G41" s="151"/>
      <c r="H41" s="151"/>
      <c r="I41" s="151"/>
      <c r="J41" s="151"/>
      <c r="K41" s="151"/>
      <c r="L41" s="151"/>
      <c r="M41" s="151"/>
      <c r="N41" s="151"/>
      <c r="O41" s="152"/>
    </row>
    <row r="42" spans="2:15" ht="4.5" customHeight="1"/>
    <row r="43" spans="2:15" ht="4.5" customHeight="1"/>
    <row r="44" spans="2:15">
      <c r="B44" s="133" t="s">
        <v>23</v>
      </c>
      <c r="C44" s="133"/>
    </row>
    <row r="45" spans="2:15" ht="4.5" customHeight="1" thickBot="1">
      <c r="B45" s="133"/>
      <c r="C45" s="133"/>
    </row>
    <row r="46" spans="2:15">
      <c r="B46" s="160" t="s">
        <v>24</v>
      </c>
      <c r="C46" s="153"/>
      <c r="D46" s="146"/>
      <c r="E46" s="146"/>
      <c r="F46" s="146"/>
      <c r="G46" s="146"/>
      <c r="H46" s="146"/>
      <c r="I46" s="146"/>
      <c r="J46" s="146"/>
      <c r="K46" s="146"/>
      <c r="L46" s="146"/>
      <c r="M46" s="146"/>
      <c r="N46" s="146"/>
      <c r="O46" s="147"/>
    </row>
    <row r="47" spans="2:15">
      <c r="B47" s="148" t="s">
        <v>25</v>
      </c>
      <c r="C47" s="133"/>
      <c r="O47" s="149"/>
    </row>
    <row r="48" spans="2:15">
      <c r="B48" s="148" t="s">
        <v>26</v>
      </c>
      <c r="C48" s="133"/>
      <c r="O48" s="149"/>
    </row>
    <row r="49" spans="2:15">
      <c r="B49" s="148" t="s">
        <v>27</v>
      </c>
      <c r="C49" s="133"/>
      <c r="O49" s="149"/>
    </row>
    <row r="50" spans="2:15" ht="17.25" thickBot="1">
      <c r="B50" s="150" t="s">
        <v>28</v>
      </c>
      <c r="C50" s="154"/>
      <c r="D50" s="151"/>
      <c r="E50" s="151"/>
      <c r="F50" s="151"/>
      <c r="G50" s="151"/>
      <c r="H50" s="151"/>
      <c r="I50" s="151"/>
      <c r="J50" s="151"/>
      <c r="K50" s="151"/>
      <c r="L50" s="151"/>
      <c r="M50" s="151"/>
      <c r="N50" s="151"/>
      <c r="O50" s="152"/>
    </row>
    <row r="51" spans="2:15" ht="4.5" customHeight="1"/>
    <row r="52" spans="2:15" ht="4.5" customHeight="1"/>
    <row r="53" spans="2:15">
      <c r="B53" s="133" t="s">
        <v>29</v>
      </c>
      <c r="C53" s="133"/>
    </row>
    <row r="54" spans="2:15" ht="4.5" customHeight="1" thickBot="1">
      <c r="B54" s="133"/>
      <c r="C54" s="133"/>
    </row>
    <row r="55" spans="2:15">
      <c r="B55" s="160" t="s">
        <v>30</v>
      </c>
      <c r="C55" s="153"/>
      <c r="D55" s="146"/>
      <c r="E55" s="146"/>
      <c r="F55" s="146"/>
      <c r="G55" s="146"/>
      <c r="H55" s="146"/>
      <c r="I55" s="146"/>
      <c r="J55" s="146"/>
      <c r="K55" s="146"/>
      <c r="L55" s="146"/>
      <c r="M55" s="146"/>
      <c r="N55" s="146"/>
      <c r="O55" s="147"/>
    </row>
    <row r="56" spans="2:15">
      <c r="B56" s="148" t="s">
        <v>31</v>
      </c>
      <c r="C56" s="133"/>
      <c r="O56" s="149"/>
    </row>
    <row r="57" spans="2:15">
      <c r="B57" s="148" t="s">
        <v>32</v>
      </c>
      <c r="C57" s="133"/>
      <c r="O57" s="149"/>
    </row>
    <row r="58" spans="2:15">
      <c r="B58" s="148" t="s">
        <v>33</v>
      </c>
      <c r="C58" s="133"/>
      <c r="O58" s="149"/>
    </row>
    <row r="59" spans="2:15" ht="17.25" thickBot="1">
      <c r="B59" s="150" t="s">
        <v>28</v>
      </c>
      <c r="C59" s="154"/>
      <c r="D59" s="151"/>
      <c r="E59" s="151"/>
      <c r="F59" s="151"/>
      <c r="G59" s="151"/>
      <c r="H59" s="151"/>
      <c r="I59" s="151"/>
      <c r="J59" s="151"/>
      <c r="K59" s="151"/>
      <c r="L59" s="151"/>
      <c r="M59" s="151"/>
      <c r="N59" s="151"/>
      <c r="O59" s="152"/>
    </row>
    <row r="60" spans="2:15" ht="4.5" customHeight="1"/>
    <row r="61" spans="2:15" ht="4.5" customHeight="1"/>
    <row r="62" spans="2:15">
      <c r="B62" s="133" t="s">
        <v>34</v>
      </c>
      <c r="C62" s="133"/>
    </row>
    <row r="63" spans="2:15" ht="4.5" customHeight="1" thickBot="1"/>
    <row r="64" spans="2:15">
      <c r="B64" s="145" t="s">
        <v>25</v>
      </c>
      <c r="C64" s="153"/>
      <c r="D64" s="146"/>
      <c r="E64" s="146"/>
      <c r="F64" s="146"/>
      <c r="G64" s="146"/>
      <c r="H64" s="146"/>
      <c r="I64" s="146"/>
      <c r="J64" s="146"/>
      <c r="K64" s="146"/>
      <c r="L64" s="146"/>
      <c r="M64" s="146"/>
      <c r="N64" s="146"/>
      <c r="O64" s="147"/>
    </row>
    <row r="65" spans="2:15">
      <c r="B65" s="148" t="s">
        <v>26</v>
      </c>
      <c r="C65" s="133"/>
      <c r="O65" s="149"/>
    </row>
    <row r="66" spans="2:15" ht="4.5" customHeight="1">
      <c r="B66" s="159"/>
      <c r="O66" s="149"/>
    </row>
    <row r="67" spans="2:15" ht="17.25" thickBot="1">
      <c r="B67" s="148"/>
      <c r="C67" s="133"/>
      <c r="D67" s="157" t="s">
        <v>16</v>
      </c>
      <c r="G67" s="151"/>
      <c r="H67" s="151"/>
      <c r="O67" s="149"/>
    </row>
    <row r="68" spans="2:15">
      <c r="B68" s="159"/>
      <c r="C68" s="145" t="s">
        <v>17</v>
      </c>
      <c r="I68" s="147"/>
      <c r="O68" s="149"/>
    </row>
    <row r="69" spans="2:15" ht="17.25" thickBot="1">
      <c r="B69" s="159"/>
      <c r="C69" s="155" t="s">
        <v>18</v>
      </c>
      <c r="D69" s="151"/>
      <c r="E69" s="151"/>
      <c r="F69" s="151"/>
      <c r="G69" s="151"/>
      <c r="H69" s="151"/>
      <c r="I69" s="152"/>
      <c r="O69" s="149"/>
    </row>
    <row r="70" spans="2:15" ht="4.5" customHeight="1">
      <c r="B70" s="159"/>
      <c r="O70" s="149"/>
    </row>
    <row r="71" spans="2:15">
      <c r="B71" s="148" t="s">
        <v>35</v>
      </c>
      <c r="C71" s="133"/>
      <c r="O71" s="149"/>
    </row>
    <row r="72" spans="2:15">
      <c r="B72" s="158" t="s">
        <v>20</v>
      </c>
      <c r="C72" s="156"/>
      <c r="O72" s="149"/>
    </row>
    <row r="73" spans="2:15">
      <c r="B73" s="148" t="s">
        <v>36</v>
      </c>
      <c r="C73" s="133"/>
      <c r="O73" s="149"/>
    </row>
    <row r="74" spans="2:15">
      <c r="B74" s="148" t="s">
        <v>21</v>
      </c>
      <c r="C74" s="133"/>
      <c r="O74" s="149"/>
    </row>
    <row r="75" spans="2:15" ht="17.25" thickBot="1">
      <c r="B75" s="150" t="s">
        <v>37</v>
      </c>
      <c r="C75" s="154"/>
      <c r="D75" s="151"/>
      <c r="E75" s="151"/>
      <c r="F75" s="151"/>
      <c r="G75" s="151"/>
      <c r="H75" s="151"/>
      <c r="I75" s="151"/>
      <c r="J75" s="151"/>
      <c r="K75" s="151"/>
      <c r="L75" s="151"/>
      <c r="M75" s="151"/>
      <c r="N75" s="151"/>
      <c r="O75" s="152"/>
    </row>
    <row r="76" spans="2:15" ht="4.5" customHeight="1">
      <c r="B76" s="133"/>
      <c r="C76" s="133"/>
    </row>
    <row r="77" spans="2:15" ht="4.5" customHeight="1" thickBot="1">
      <c r="B77" s="133"/>
      <c r="C77" s="133"/>
    </row>
    <row r="78" spans="2:15" ht="17.25" customHeight="1">
      <c r="B78" s="310" t="s">
        <v>38</v>
      </c>
      <c r="C78" s="310"/>
      <c r="D78" s="310"/>
      <c r="E78" s="311"/>
      <c r="F78" s="308" t="s">
        <v>39</v>
      </c>
      <c r="G78" s="308"/>
      <c r="H78" s="308" t="s">
        <v>40</v>
      </c>
      <c r="I78" s="308"/>
      <c r="J78" s="308"/>
      <c r="K78" s="308"/>
      <c r="L78" s="308"/>
      <c r="M78" s="308"/>
      <c r="N78" s="308"/>
      <c r="O78" s="309"/>
    </row>
    <row r="79" spans="2:15">
      <c r="B79" s="312"/>
      <c r="C79" s="312"/>
      <c r="D79" s="312"/>
      <c r="E79" s="313"/>
      <c r="F79" s="306"/>
      <c r="G79" s="306"/>
      <c r="H79" s="306" t="s">
        <v>41</v>
      </c>
      <c r="I79" s="306"/>
      <c r="J79" s="306" t="s">
        <v>42</v>
      </c>
      <c r="K79" s="306"/>
      <c r="L79" s="306" t="s">
        <v>43</v>
      </c>
      <c r="M79" s="306"/>
      <c r="N79" s="306" t="s">
        <v>44</v>
      </c>
      <c r="O79" s="307"/>
    </row>
    <row r="80" spans="2:15" ht="17.25" thickBot="1">
      <c r="B80" s="314" t="s">
        <v>45</v>
      </c>
      <c r="C80" s="315"/>
      <c r="D80" s="132" t="s">
        <v>46</v>
      </c>
      <c r="E80" s="132" t="s">
        <v>47</v>
      </c>
      <c r="F80" s="134" t="s">
        <v>48</v>
      </c>
      <c r="G80" s="134" t="s">
        <v>49</v>
      </c>
      <c r="H80" s="134" t="s">
        <v>50</v>
      </c>
      <c r="I80" s="134" t="s">
        <v>51</v>
      </c>
      <c r="J80" s="134" t="s">
        <v>50</v>
      </c>
      <c r="K80" s="134" t="s">
        <v>52</v>
      </c>
      <c r="L80" s="134" t="s">
        <v>50</v>
      </c>
      <c r="M80" s="134" t="s">
        <v>53</v>
      </c>
      <c r="N80" s="134" t="s">
        <v>50</v>
      </c>
      <c r="O80" s="135" t="s">
        <v>54</v>
      </c>
    </row>
    <row r="81" spans="2:15">
      <c r="B81" s="316" t="s">
        <v>55</v>
      </c>
      <c r="C81" s="317"/>
      <c r="D81" s="131" t="s">
        <v>56</v>
      </c>
      <c r="E81" s="136" t="s">
        <v>57</v>
      </c>
      <c r="F81" s="137" t="s">
        <v>58</v>
      </c>
      <c r="G81" s="137" t="s">
        <v>58</v>
      </c>
      <c r="H81" s="137">
        <v>1</v>
      </c>
      <c r="I81" s="131" t="s">
        <v>56</v>
      </c>
      <c r="J81" s="137">
        <v>1</v>
      </c>
      <c r="K81" s="131" t="s">
        <v>56</v>
      </c>
      <c r="L81" s="137">
        <v>1</v>
      </c>
      <c r="M81" s="131" t="s">
        <v>56</v>
      </c>
      <c r="N81" s="137">
        <v>1</v>
      </c>
      <c r="O81" s="175" t="s">
        <v>56</v>
      </c>
    </row>
    <row r="82" spans="2:15">
      <c r="B82" s="304" t="s">
        <v>59</v>
      </c>
      <c r="C82" s="305"/>
      <c r="D82" s="131" t="s">
        <v>58</v>
      </c>
      <c r="E82" s="138" t="s">
        <v>57</v>
      </c>
      <c r="F82" s="139" t="s">
        <v>58</v>
      </c>
      <c r="G82" s="139" t="s">
        <v>58</v>
      </c>
      <c r="H82" s="139">
        <v>2</v>
      </c>
      <c r="I82" s="161" t="s">
        <v>59</v>
      </c>
      <c r="J82" s="139">
        <v>2</v>
      </c>
      <c r="K82" s="161" t="s">
        <v>59</v>
      </c>
      <c r="L82" s="139">
        <v>2</v>
      </c>
      <c r="M82" s="161" t="s">
        <v>59</v>
      </c>
      <c r="N82" s="139">
        <v>2</v>
      </c>
      <c r="O82" s="162" t="s">
        <v>59</v>
      </c>
    </row>
    <row r="83" spans="2:15">
      <c r="B83" s="304" t="s">
        <v>60</v>
      </c>
      <c r="C83" s="305"/>
      <c r="D83" s="131" t="s">
        <v>58</v>
      </c>
      <c r="E83" s="138" t="s">
        <v>57</v>
      </c>
      <c r="F83" s="139" t="s">
        <v>58</v>
      </c>
      <c r="G83" s="139" t="s">
        <v>58</v>
      </c>
      <c r="H83" s="139">
        <v>3</v>
      </c>
      <c r="I83" s="161" t="s">
        <v>60</v>
      </c>
      <c r="J83" s="139">
        <v>3</v>
      </c>
      <c r="K83" s="161" t="s">
        <v>60</v>
      </c>
      <c r="L83" s="139">
        <v>3</v>
      </c>
      <c r="M83" s="161" t="s">
        <v>60</v>
      </c>
      <c r="N83" s="139">
        <v>3</v>
      </c>
      <c r="O83" s="162" t="s">
        <v>60</v>
      </c>
    </row>
    <row r="84" spans="2:15">
      <c r="B84" s="304" t="s">
        <v>61</v>
      </c>
      <c r="C84" s="305"/>
      <c r="D84" s="131" t="s">
        <v>58</v>
      </c>
      <c r="E84" s="131" t="s">
        <v>62</v>
      </c>
      <c r="F84" s="139" t="s">
        <v>58</v>
      </c>
      <c r="G84" s="139" t="s">
        <v>58</v>
      </c>
      <c r="H84" s="139">
        <v>4</v>
      </c>
      <c r="I84" s="161" t="s">
        <v>61</v>
      </c>
      <c r="J84" s="139" t="s">
        <v>58</v>
      </c>
      <c r="K84" s="140" t="s">
        <v>58</v>
      </c>
      <c r="L84" s="139" t="s">
        <v>58</v>
      </c>
      <c r="M84" s="140" t="s">
        <v>58</v>
      </c>
      <c r="N84" s="139">
        <v>4</v>
      </c>
      <c r="O84" s="162" t="s">
        <v>61</v>
      </c>
    </row>
    <row r="85" spans="2:15">
      <c r="B85" s="304" t="s">
        <v>63</v>
      </c>
      <c r="C85" s="305"/>
      <c r="D85" s="131" t="s">
        <v>58</v>
      </c>
      <c r="E85" s="131" t="s">
        <v>62</v>
      </c>
      <c r="F85" s="139" t="s">
        <v>58</v>
      </c>
      <c r="G85" s="139" t="s">
        <v>58</v>
      </c>
      <c r="H85" s="139" t="s">
        <v>58</v>
      </c>
      <c r="I85" s="140" t="s">
        <v>58</v>
      </c>
      <c r="J85" s="139">
        <v>4</v>
      </c>
      <c r="K85" s="161" t="s">
        <v>63</v>
      </c>
      <c r="L85" s="139">
        <v>4</v>
      </c>
      <c r="M85" s="161" t="s">
        <v>63</v>
      </c>
      <c r="N85" s="139" t="s">
        <v>58</v>
      </c>
      <c r="O85" s="140" t="s">
        <v>58</v>
      </c>
    </row>
    <row r="86" spans="2:15">
      <c r="B86" s="304" t="s">
        <v>64</v>
      </c>
      <c r="C86" s="305"/>
      <c r="D86" s="131" t="s">
        <v>58</v>
      </c>
      <c r="E86" s="131" t="s">
        <v>62</v>
      </c>
      <c r="F86" s="139" t="s">
        <v>58</v>
      </c>
      <c r="G86" s="139" t="s">
        <v>58</v>
      </c>
      <c r="H86" s="139" t="s">
        <v>58</v>
      </c>
      <c r="I86" s="140" t="s">
        <v>58</v>
      </c>
      <c r="J86" s="139" t="s">
        <v>58</v>
      </c>
      <c r="K86" s="140" t="s">
        <v>58</v>
      </c>
      <c r="L86" s="139">
        <v>5</v>
      </c>
      <c r="M86" s="161" t="s">
        <v>64</v>
      </c>
      <c r="N86" s="139" t="s">
        <v>58</v>
      </c>
      <c r="O86" s="140" t="s">
        <v>58</v>
      </c>
    </row>
    <row r="87" spans="2:15">
      <c r="B87" s="304" t="s">
        <v>65</v>
      </c>
      <c r="C87" s="305"/>
      <c r="D87" s="131" t="s">
        <v>58</v>
      </c>
      <c r="E87" s="138" t="s">
        <v>57</v>
      </c>
      <c r="F87" s="139" t="s">
        <v>66</v>
      </c>
      <c r="G87" s="139" t="s">
        <v>67</v>
      </c>
      <c r="H87" s="139">
        <v>5</v>
      </c>
      <c r="I87" s="161" t="s">
        <v>65</v>
      </c>
      <c r="J87" s="139">
        <v>5</v>
      </c>
      <c r="K87" s="161" t="s">
        <v>65</v>
      </c>
      <c r="L87" s="139">
        <v>6</v>
      </c>
      <c r="M87" s="161" t="s">
        <v>65</v>
      </c>
      <c r="N87" s="139">
        <v>5</v>
      </c>
      <c r="O87" s="162" t="s">
        <v>65</v>
      </c>
    </row>
    <row r="88" spans="2:15">
      <c r="B88" s="304" t="s">
        <v>68</v>
      </c>
      <c r="C88" s="305"/>
      <c r="D88" s="131" t="s">
        <v>58</v>
      </c>
      <c r="E88" s="131" t="s">
        <v>62</v>
      </c>
      <c r="F88" s="139" t="s">
        <v>58</v>
      </c>
      <c r="G88" s="139" t="s">
        <v>58</v>
      </c>
      <c r="H88" s="139" t="s">
        <v>58</v>
      </c>
      <c r="I88" s="140" t="s">
        <v>58</v>
      </c>
      <c r="J88" s="139">
        <v>6</v>
      </c>
      <c r="K88" s="161" t="s">
        <v>68</v>
      </c>
      <c r="L88" s="139">
        <v>7</v>
      </c>
      <c r="M88" s="161" t="s">
        <v>68</v>
      </c>
      <c r="N88" s="139" t="s">
        <v>58</v>
      </c>
      <c r="O88" s="140" t="s">
        <v>58</v>
      </c>
    </row>
    <row r="89" spans="2:15">
      <c r="B89" s="304" t="s">
        <v>69</v>
      </c>
      <c r="C89" s="305"/>
      <c r="D89" s="131" t="s">
        <v>58</v>
      </c>
      <c r="E89" s="131" t="s">
        <v>62</v>
      </c>
      <c r="F89" s="139" t="s">
        <v>58</v>
      </c>
      <c r="G89" s="139" t="s">
        <v>58</v>
      </c>
      <c r="H89" s="139">
        <v>6</v>
      </c>
      <c r="I89" s="161" t="s">
        <v>69</v>
      </c>
      <c r="J89" s="139" t="s">
        <v>58</v>
      </c>
      <c r="K89" s="140" t="s">
        <v>58</v>
      </c>
      <c r="L89" s="139" t="s">
        <v>58</v>
      </c>
      <c r="M89" s="140" t="s">
        <v>58</v>
      </c>
      <c r="N89" s="139" t="s">
        <v>58</v>
      </c>
      <c r="O89" s="140" t="s">
        <v>58</v>
      </c>
    </row>
    <row r="90" spans="2:15">
      <c r="B90" s="304" t="s">
        <v>70</v>
      </c>
      <c r="C90" s="305"/>
      <c r="D90" s="131" t="s">
        <v>58</v>
      </c>
      <c r="E90" s="131" t="s">
        <v>62</v>
      </c>
      <c r="F90" s="139" t="s">
        <v>58</v>
      </c>
      <c r="G90" s="139" t="s">
        <v>58</v>
      </c>
      <c r="H90" s="139">
        <v>7</v>
      </c>
      <c r="I90" s="162" t="s">
        <v>70</v>
      </c>
      <c r="J90" s="139" t="s">
        <v>58</v>
      </c>
      <c r="K90" s="140" t="s">
        <v>58</v>
      </c>
      <c r="L90" s="139" t="s">
        <v>58</v>
      </c>
      <c r="M90" s="140" t="s">
        <v>58</v>
      </c>
      <c r="N90" s="139" t="s">
        <v>58</v>
      </c>
      <c r="O90" s="140" t="s">
        <v>58</v>
      </c>
    </row>
    <row r="91" spans="2:15">
      <c r="B91" s="304" t="s">
        <v>71</v>
      </c>
      <c r="C91" s="305"/>
      <c r="D91" s="131" t="s">
        <v>58</v>
      </c>
      <c r="E91" s="131" t="s">
        <v>62</v>
      </c>
      <c r="F91" s="139" t="s">
        <v>58</v>
      </c>
      <c r="G91" s="139" t="s">
        <v>58</v>
      </c>
      <c r="H91" s="139" t="s">
        <v>58</v>
      </c>
      <c r="I91" s="140" t="s">
        <v>58</v>
      </c>
      <c r="J91" s="139" t="s">
        <v>58</v>
      </c>
      <c r="K91" s="140" t="s">
        <v>58</v>
      </c>
      <c r="L91" s="139" t="s">
        <v>58</v>
      </c>
      <c r="M91" s="140" t="s">
        <v>58</v>
      </c>
      <c r="N91" s="139">
        <v>6</v>
      </c>
      <c r="O91" s="162" t="s">
        <v>71</v>
      </c>
    </row>
    <row r="92" spans="2:15">
      <c r="B92" s="304" t="s">
        <v>72</v>
      </c>
      <c r="C92" s="305"/>
      <c r="D92" s="131" t="s">
        <v>58</v>
      </c>
      <c r="E92" s="131" t="s">
        <v>62</v>
      </c>
      <c r="F92" s="139" t="s">
        <v>58</v>
      </c>
      <c r="G92" s="139" t="s">
        <v>58</v>
      </c>
      <c r="H92" s="139" t="s">
        <v>58</v>
      </c>
      <c r="I92" s="140" t="s">
        <v>58</v>
      </c>
      <c r="J92" s="139" t="s">
        <v>58</v>
      </c>
      <c r="K92" s="140" t="s">
        <v>58</v>
      </c>
      <c r="L92" s="139" t="s">
        <v>58</v>
      </c>
      <c r="M92" s="140" t="s">
        <v>58</v>
      </c>
      <c r="N92" s="139">
        <v>7</v>
      </c>
      <c r="O92" s="162" t="s">
        <v>72</v>
      </c>
    </row>
    <row r="93" spans="2:15">
      <c r="B93" s="304" t="s">
        <v>73</v>
      </c>
      <c r="C93" s="305"/>
      <c r="D93" s="131" t="s">
        <v>74</v>
      </c>
      <c r="E93" s="131" t="s">
        <v>62</v>
      </c>
      <c r="F93" s="139" t="s">
        <v>75</v>
      </c>
      <c r="G93" s="139" t="s">
        <v>76</v>
      </c>
      <c r="H93" s="139">
        <v>8</v>
      </c>
      <c r="I93" s="131" t="s">
        <v>74</v>
      </c>
      <c r="J93" s="139" t="s">
        <v>58</v>
      </c>
      <c r="K93" s="140" t="s">
        <v>58</v>
      </c>
      <c r="L93" s="139" t="s">
        <v>58</v>
      </c>
      <c r="M93" s="140" t="s">
        <v>58</v>
      </c>
      <c r="N93" s="139">
        <v>8</v>
      </c>
      <c r="O93" s="140" t="s">
        <v>74</v>
      </c>
    </row>
    <row r="94" spans="2:15">
      <c r="B94" s="304" t="s">
        <v>77</v>
      </c>
      <c r="C94" s="305"/>
      <c r="D94" s="131" t="s">
        <v>78</v>
      </c>
      <c r="E94" s="131" t="s">
        <v>62</v>
      </c>
      <c r="F94" s="139" t="s">
        <v>58</v>
      </c>
      <c r="G94" s="139" t="s">
        <v>58</v>
      </c>
      <c r="H94" s="139">
        <v>9</v>
      </c>
      <c r="I94" s="131" t="s">
        <v>78</v>
      </c>
      <c r="J94" s="139" t="s">
        <v>58</v>
      </c>
      <c r="K94" s="140" t="s">
        <v>58</v>
      </c>
      <c r="L94" s="139" t="s">
        <v>58</v>
      </c>
      <c r="M94" s="140" t="s">
        <v>58</v>
      </c>
      <c r="N94" s="139" t="s">
        <v>58</v>
      </c>
      <c r="O94" s="140" t="s">
        <v>58</v>
      </c>
    </row>
    <row r="95" spans="2:15">
      <c r="B95" s="304" t="s">
        <v>79</v>
      </c>
      <c r="C95" s="305"/>
      <c r="D95" s="131" t="s">
        <v>58</v>
      </c>
      <c r="E95" s="131" t="s">
        <v>62</v>
      </c>
      <c r="F95" s="139" t="s">
        <v>80</v>
      </c>
      <c r="G95" s="139" t="s">
        <v>76</v>
      </c>
      <c r="H95" s="139">
        <v>10</v>
      </c>
      <c r="I95" s="161" t="s">
        <v>79</v>
      </c>
      <c r="J95" s="139" t="s">
        <v>58</v>
      </c>
      <c r="K95" s="140" t="s">
        <v>58</v>
      </c>
      <c r="L95" s="139" t="s">
        <v>58</v>
      </c>
      <c r="M95" s="140" t="s">
        <v>58</v>
      </c>
      <c r="N95" s="139" t="s">
        <v>58</v>
      </c>
      <c r="O95" s="140" t="s">
        <v>58</v>
      </c>
    </row>
    <row r="96" spans="2:15">
      <c r="B96" s="304" t="s">
        <v>81</v>
      </c>
      <c r="C96" s="305"/>
      <c r="D96" s="131" t="s">
        <v>74</v>
      </c>
      <c r="E96" s="131" t="s">
        <v>62</v>
      </c>
      <c r="F96" s="139" t="s">
        <v>82</v>
      </c>
      <c r="G96" s="139" t="s">
        <v>67</v>
      </c>
      <c r="H96" s="139">
        <v>11</v>
      </c>
      <c r="I96" s="131" t="s">
        <v>74</v>
      </c>
      <c r="J96" s="139" t="s">
        <v>58</v>
      </c>
      <c r="K96" s="140" t="s">
        <v>58</v>
      </c>
      <c r="L96" s="139" t="s">
        <v>58</v>
      </c>
      <c r="M96" s="140" t="s">
        <v>58</v>
      </c>
      <c r="N96" s="139">
        <v>9</v>
      </c>
      <c r="O96" s="140" t="s">
        <v>74</v>
      </c>
    </row>
    <row r="97" spans="2:15">
      <c r="B97" s="304" t="s">
        <v>83</v>
      </c>
      <c r="C97" s="305"/>
      <c r="D97" s="131" t="s">
        <v>58</v>
      </c>
      <c r="E97" s="138" t="s">
        <v>57</v>
      </c>
      <c r="F97" s="139" t="s">
        <v>58</v>
      </c>
      <c r="G97" s="139" t="s">
        <v>58</v>
      </c>
      <c r="H97" s="139">
        <v>12</v>
      </c>
      <c r="I97" s="161" t="s">
        <v>83</v>
      </c>
      <c r="J97" s="139">
        <v>7</v>
      </c>
      <c r="K97" s="161" t="s">
        <v>84</v>
      </c>
      <c r="L97" s="139">
        <v>8</v>
      </c>
      <c r="M97" s="161" t="s">
        <v>43</v>
      </c>
      <c r="N97" s="139">
        <v>10</v>
      </c>
      <c r="O97" s="162" t="s">
        <v>85</v>
      </c>
    </row>
    <row r="98" spans="2:15">
      <c r="B98" s="304" t="s">
        <v>86</v>
      </c>
      <c r="C98" s="305"/>
      <c r="D98" s="131" t="s">
        <v>87</v>
      </c>
      <c r="E98" s="131" t="s">
        <v>62</v>
      </c>
      <c r="F98" s="139" t="s">
        <v>58</v>
      </c>
      <c r="G98" s="139" t="s">
        <v>58</v>
      </c>
      <c r="H98" s="139">
        <v>13</v>
      </c>
      <c r="I98" s="161" t="s">
        <v>86</v>
      </c>
      <c r="J98" s="139" t="s">
        <v>58</v>
      </c>
      <c r="K98" s="140" t="s">
        <v>58</v>
      </c>
      <c r="L98" s="139" t="s">
        <v>58</v>
      </c>
      <c r="M98" s="140" t="s">
        <v>58</v>
      </c>
      <c r="N98" s="139" t="s">
        <v>58</v>
      </c>
      <c r="O98" s="140" t="s">
        <v>58</v>
      </c>
    </row>
    <row r="99" spans="2:15">
      <c r="B99" s="304" t="s">
        <v>88</v>
      </c>
      <c r="C99" s="305"/>
      <c r="D99" s="131" t="s">
        <v>87</v>
      </c>
      <c r="E99" s="131" t="s">
        <v>62</v>
      </c>
      <c r="F99" s="139" t="s">
        <v>58</v>
      </c>
      <c r="G99" s="139" t="s">
        <v>58</v>
      </c>
      <c r="H99" s="139" t="s">
        <v>58</v>
      </c>
      <c r="I99" s="140" t="s">
        <v>58</v>
      </c>
      <c r="J99" s="139" t="s">
        <v>58</v>
      </c>
      <c r="K99" s="140" t="s">
        <v>58</v>
      </c>
      <c r="L99" s="139" t="s">
        <v>58</v>
      </c>
      <c r="M99" s="140" t="s">
        <v>58</v>
      </c>
      <c r="N99" s="139">
        <v>12</v>
      </c>
      <c r="O99" s="162" t="s">
        <v>88</v>
      </c>
    </row>
    <row r="100" spans="2:15" ht="17.25" thickBot="1">
      <c r="B100" s="318" t="s">
        <v>89</v>
      </c>
      <c r="C100" s="319"/>
      <c r="D100" s="141" t="s">
        <v>78</v>
      </c>
      <c r="E100" s="163" t="s">
        <v>62</v>
      </c>
      <c r="F100" s="141" t="s">
        <v>58</v>
      </c>
      <c r="G100" s="141" t="s">
        <v>58</v>
      </c>
      <c r="H100" s="141">
        <v>14</v>
      </c>
      <c r="I100" s="142" t="s">
        <v>89</v>
      </c>
      <c r="J100" s="141">
        <v>8</v>
      </c>
      <c r="K100" s="142" t="s">
        <v>89</v>
      </c>
      <c r="L100" s="141">
        <v>9</v>
      </c>
      <c r="M100" s="142" t="s">
        <v>89</v>
      </c>
      <c r="N100" s="141">
        <v>13</v>
      </c>
      <c r="O100" s="176" t="s">
        <v>89</v>
      </c>
    </row>
    <row r="101" spans="2:15" ht="4.5" customHeight="1">
      <c r="H101" s="166"/>
    </row>
    <row r="102" spans="2:15">
      <c r="B102" s="133"/>
      <c r="C102" s="133"/>
    </row>
  </sheetData>
  <mergeCells count="28">
    <mergeCell ref="B100:C100"/>
    <mergeCell ref="B88:C88"/>
    <mergeCell ref="B89:C89"/>
    <mergeCell ref="B91:C91"/>
    <mergeCell ref="B92:C92"/>
    <mergeCell ref="B93:C93"/>
    <mergeCell ref="B94:C94"/>
    <mergeCell ref="B95:C95"/>
    <mergeCell ref="B96:C96"/>
    <mergeCell ref="B97:C97"/>
    <mergeCell ref="B98:C98"/>
    <mergeCell ref="B99:C99"/>
    <mergeCell ref="B90:C90"/>
    <mergeCell ref="B85:C85"/>
    <mergeCell ref="B87:C87"/>
    <mergeCell ref="L79:M79"/>
    <mergeCell ref="N79:O79"/>
    <mergeCell ref="H78:O78"/>
    <mergeCell ref="F78:G79"/>
    <mergeCell ref="B78:E79"/>
    <mergeCell ref="H79:I79"/>
    <mergeCell ref="J79:K79"/>
    <mergeCell ref="B80:C80"/>
    <mergeCell ref="B81:C81"/>
    <mergeCell ref="B82:C82"/>
    <mergeCell ref="B83:C83"/>
    <mergeCell ref="B84:C84"/>
    <mergeCell ref="B86:C86"/>
  </mergeCells>
  <phoneticPr fontId="1" type="noConversion"/>
  <pageMargins left="0.7" right="0.7" top="0.75" bottom="0.75" header="0.3" footer="0.3"/>
  <pageSetup paperSize="9" scale="4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1"/>
    <pageSetUpPr fitToPage="1"/>
  </sheetPr>
  <dimension ref="A1:Q88"/>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4.75" style="204" customWidth="1"/>
    <col min="2" max="3" width="9.625" style="204" customWidth="1"/>
    <col min="4" max="17" width="9.625" style="199" customWidth="1"/>
    <col min="18" max="254" width="9" style="199"/>
    <col min="255" max="255" width="2.625" style="199" customWidth="1"/>
    <col min="256" max="257" width="15.625" style="199" customWidth="1"/>
    <col min="258" max="258" width="36" style="199" customWidth="1"/>
    <col min="259" max="259" width="8.5" style="199" customWidth="1"/>
    <col min="260" max="260" width="0" style="199" hidden="1" customWidth="1"/>
    <col min="261" max="264" width="61.125" style="199" customWidth="1"/>
    <col min="265" max="265" width="2.625" style="199" customWidth="1"/>
    <col min="266" max="510" width="9" style="199"/>
    <col min="511" max="511" width="2.625" style="199" customWidth="1"/>
    <col min="512" max="513" width="15.625" style="199" customWidth="1"/>
    <col min="514" max="514" width="36" style="199" customWidth="1"/>
    <col min="515" max="515" width="8.5" style="199" customWidth="1"/>
    <col min="516" max="516" width="0" style="199" hidden="1" customWidth="1"/>
    <col min="517" max="520" width="61.125" style="199" customWidth="1"/>
    <col min="521" max="521" width="2.625" style="199" customWidth="1"/>
    <col min="522" max="766" width="9" style="199"/>
    <col min="767" max="767" width="2.625" style="199" customWidth="1"/>
    <col min="768" max="769" width="15.625" style="199" customWidth="1"/>
    <col min="770" max="770" width="36" style="199" customWidth="1"/>
    <col min="771" max="771" width="8.5" style="199" customWidth="1"/>
    <col min="772" max="772" width="0" style="199" hidden="1" customWidth="1"/>
    <col min="773" max="776" width="61.125" style="199" customWidth="1"/>
    <col min="777" max="777" width="2.625" style="199" customWidth="1"/>
    <col min="778" max="1022" width="9" style="199"/>
    <col min="1023" max="1023" width="2.625" style="199" customWidth="1"/>
    <col min="1024" max="1025" width="15.625" style="199" customWidth="1"/>
    <col min="1026" max="1026" width="36" style="199" customWidth="1"/>
    <col min="1027" max="1027" width="8.5" style="199" customWidth="1"/>
    <col min="1028" max="1028" width="0" style="199" hidden="1" customWidth="1"/>
    <col min="1029" max="1032" width="61.125" style="199" customWidth="1"/>
    <col min="1033" max="1033" width="2.625" style="199" customWidth="1"/>
    <col min="1034" max="1278" width="9" style="199"/>
    <col min="1279" max="1279" width="2.625" style="199" customWidth="1"/>
    <col min="1280" max="1281" width="15.625" style="199" customWidth="1"/>
    <col min="1282" max="1282" width="36" style="199" customWidth="1"/>
    <col min="1283" max="1283" width="8.5" style="199" customWidth="1"/>
    <col min="1284" max="1284" width="0" style="199" hidden="1" customWidth="1"/>
    <col min="1285" max="1288" width="61.125" style="199" customWidth="1"/>
    <col min="1289" max="1289" width="2.625" style="199" customWidth="1"/>
    <col min="1290" max="1534" width="9" style="199"/>
    <col min="1535" max="1535" width="2.625" style="199" customWidth="1"/>
    <col min="1536" max="1537" width="15.625" style="199" customWidth="1"/>
    <col min="1538" max="1538" width="36" style="199" customWidth="1"/>
    <col min="1539" max="1539" width="8.5" style="199" customWidth="1"/>
    <col min="1540" max="1540" width="0" style="199" hidden="1" customWidth="1"/>
    <col min="1541" max="1544" width="61.125" style="199" customWidth="1"/>
    <col min="1545" max="1545" width="2.625" style="199" customWidth="1"/>
    <col min="1546" max="1790" width="9" style="199"/>
    <col min="1791" max="1791" width="2.625" style="199" customWidth="1"/>
    <col min="1792" max="1793" width="15.625" style="199" customWidth="1"/>
    <col min="1794" max="1794" width="36" style="199" customWidth="1"/>
    <col min="1795" max="1795" width="8.5" style="199" customWidth="1"/>
    <col min="1796" max="1796" width="0" style="199" hidden="1" customWidth="1"/>
    <col min="1797" max="1800" width="61.125" style="199" customWidth="1"/>
    <col min="1801" max="1801" width="2.625" style="199" customWidth="1"/>
    <col min="1802" max="2046" width="9" style="199"/>
    <col min="2047" max="2047" width="2.625" style="199" customWidth="1"/>
    <col min="2048" max="2049" width="15.625" style="199" customWidth="1"/>
    <col min="2050" max="2050" width="36" style="199" customWidth="1"/>
    <col min="2051" max="2051" width="8.5" style="199" customWidth="1"/>
    <col min="2052" max="2052" width="0" style="199" hidden="1" customWidth="1"/>
    <col min="2053" max="2056" width="61.125" style="199" customWidth="1"/>
    <col min="2057" max="2057" width="2.625" style="199" customWidth="1"/>
    <col min="2058" max="2302" width="9" style="199"/>
    <col min="2303" max="2303" width="2.625" style="199" customWidth="1"/>
    <col min="2304" max="2305" width="15.625" style="199" customWidth="1"/>
    <col min="2306" max="2306" width="36" style="199" customWidth="1"/>
    <col min="2307" max="2307" width="8.5" style="199" customWidth="1"/>
    <col min="2308" max="2308" width="0" style="199" hidden="1" customWidth="1"/>
    <col min="2309" max="2312" width="61.125" style="199" customWidth="1"/>
    <col min="2313" max="2313" width="2.625" style="199" customWidth="1"/>
    <col min="2314" max="2558" width="9" style="199"/>
    <col min="2559" max="2559" width="2.625" style="199" customWidth="1"/>
    <col min="2560" max="2561" width="15.625" style="199" customWidth="1"/>
    <col min="2562" max="2562" width="36" style="199" customWidth="1"/>
    <col min="2563" max="2563" width="8.5" style="199" customWidth="1"/>
    <col min="2564" max="2564" width="0" style="199" hidden="1" customWidth="1"/>
    <col min="2565" max="2568" width="61.125" style="199" customWidth="1"/>
    <col min="2569" max="2569" width="2.625" style="199" customWidth="1"/>
    <col min="2570" max="2814" width="9" style="199"/>
    <col min="2815" max="2815" width="2.625" style="199" customWidth="1"/>
    <col min="2816" max="2817" width="15.625" style="199" customWidth="1"/>
    <col min="2818" max="2818" width="36" style="199" customWidth="1"/>
    <col min="2819" max="2819" width="8.5" style="199" customWidth="1"/>
    <col min="2820" max="2820" width="0" style="199" hidden="1" customWidth="1"/>
    <col min="2821" max="2824" width="61.125" style="199" customWidth="1"/>
    <col min="2825" max="2825" width="2.625" style="199" customWidth="1"/>
    <col min="2826" max="3070" width="9" style="199"/>
    <col min="3071" max="3071" width="2.625" style="199" customWidth="1"/>
    <col min="3072" max="3073" width="15.625" style="199" customWidth="1"/>
    <col min="3074" max="3074" width="36" style="199" customWidth="1"/>
    <col min="3075" max="3075" width="8.5" style="199" customWidth="1"/>
    <col min="3076" max="3076" width="0" style="199" hidden="1" customWidth="1"/>
    <col min="3077" max="3080" width="61.125" style="199" customWidth="1"/>
    <col min="3081" max="3081" width="2.625" style="199" customWidth="1"/>
    <col min="3082" max="3326" width="9" style="199"/>
    <col min="3327" max="3327" width="2.625" style="199" customWidth="1"/>
    <col min="3328" max="3329" width="15.625" style="199" customWidth="1"/>
    <col min="3330" max="3330" width="36" style="199" customWidth="1"/>
    <col min="3331" max="3331" width="8.5" style="199" customWidth="1"/>
    <col min="3332" max="3332" width="0" style="199" hidden="1" customWidth="1"/>
    <col min="3333" max="3336" width="61.125" style="199" customWidth="1"/>
    <col min="3337" max="3337" width="2.625" style="199" customWidth="1"/>
    <col min="3338" max="3582" width="9" style="199"/>
    <col min="3583" max="3583" width="2.625" style="199" customWidth="1"/>
    <col min="3584" max="3585" width="15.625" style="199" customWidth="1"/>
    <col min="3586" max="3586" width="36" style="199" customWidth="1"/>
    <col min="3587" max="3587" width="8.5" style="199" customWidth="1"/>
    <col min="3588" max="3588" width="0" style="199" hidden="1" customWidth="1"/>
    <col min="3589" max="3592" width="61.125" style="199" customWidth="1"/>
    <col min="3593" max="3593" width="2.625" style="199" customWidth="1"/>
    <col min="3594" max="3838" width="9" style="199"/>
    <col min="3839" max="3839" width="2.625" style="199" customWidth="1"/>
    <col min="3840" max="3841" width="15.625" style="199" customWidth="1"/>
    <col min="3842" max="3842" width="36" style="199" customWidth="1"/>
    <col min="3843" max="3843" width="8.5" style="199" customWidth="1"/>
    <col min="3844" max="3844" width="0" style="199" hidden="1" customWidth="1"/>
    <col min="3845" max="3848" width="61.125" style="199" customWidth="1"/>
    <col min="3849" max="3849" width="2.625" style="199" customWidth="1"/>
    <col min="3850" max="4094" width="9" style="199"/>
    <col min="4095" max="4095" width="2.625" style="199" customWidth="1"/>
    <col min="4096" max="4097" width="15.625" style="199" customWidth="1"/>
    <col min="4098" max="4098" width="36" style="199" customWidth="1"/>
    <col min="4099" max="4099" width="8.5" style="199" customWidth="1"/>
    <col min="4100" max="4100" width="0" style="199" hidden="1" customWidth="1"/>
    <col min="4101" max="4104" width="61.125" style="199" customWidth="1"/>
    <col min="4105" max="4105" width="2.625" style="199" customWidth="1"/>
    <col min="4106" max="4350" width="9" style="199"/>
    <col min="4351" max="4351" width="2.625" style="199" customWidth="1"/>
    <col min="4352" max="4353" width="15.625" style="199" customWidth="1"/>
    <col min="4354" max="4354" width="36" style="199" customWidth="1"/>
    <col min="4355" max="4355" width="8.5" style="199" customWidth="1"/>
    <col min="4356" max="4356" width="0" style="199" hidden="1" customWidth="1"/>
    <col min="4357" max="4360" width="61.125" style="199" customWidth="1"/>
    <col min="4361" max="4361" width="2.625" style="199" customWidth="1"/>
    <col min="4362" max="4606" width="9" style="199"/>
    <col min="4607" max="4607" width="2.625" style="199" customWidth="1"/>
    <col min="4608" max="4609" width="15.625" style="199" customWidth="1"/>
    <col min="4610" max="4610" width="36" style="199" customWidth="1"/>
    <col min="4611" max="4611" width="8.5" style="199" customWidth="1"/>
    <col min="4612" max="4612" width="0" style="199" hidden="1" customWidth="1"/>
    <col min="4613" max="4616" width="61.125" style="199" customWidth="1"/>
    <col min="4617" max="4617" width="2.625" style="199" customWidth="1"/>
    <col min="4618" max="4862" width="9" style="199"/>
    <col min="4863" max="4863" width="2.625" style="199" customWidth="1"/>
    <col min="4864" max="4865" width="15.625" style="199" customWidth="1"/>
    <col min="4866" max="4866" width="36" style="199" customWidth="1"/>
    <col min="4867" max="4867" width="8.5" style="199" customWidth="1"/>
    <col min="4868" max="4868" width="0" style="199" hidden="1" customWidth="1"/>
    <col min="4869" max="4872" width="61.125" style="199" customWidth="1"/>
    <col min="4873" max="4873" width="2.625" style="199" customWidth="1"/>
    <col min="4874" max="5118" width="9" style="199"/>
    <col min="5119" max="5119" width="2.625" style="199" customWidth="1"/>
    <col min="5120" max="5121" width="15.625" style="199" customWidth="1"/>
    <col min="5122" max="5122" width="36" style="199" customWidth="1"/>
    <col min="5123" max="5123" width="8.5" style="199" customWidth="1"/>
    <col min="5124" max="5124" width="0" style="199" hidden="1" customWidth="1"/>
    <col min="5125" max="5128" width="61.125" style="199" customWidth="1"/>
    <col min="5129" max="5129" width="2.625" style="199" customWidth="1"/>
    <col min="5130" max="5374" width="9" style="199"/>
    <col min="5375" max="5375" width="2.625" style="199" customWidth="1"/>
    <col min="5376" max="5377" width="15.625" style="199" customWidth="1"/>
    <col min="5378" max="5378" width="36" style="199" customWidth="1"/>
    <col min="5379" max="5379" width="8.5" style="199" customWidth="1"/>
    <col min="5380" max="5380" width="0" style="199" hidden="1" customWidth="1"/>
    <col min="5381" max="5384" width="61.125" style="199" customWidth="1"/>
    <col min="5385" max="5385" width="2.625" style="199" customWidth="1"/>
    <col min="5386" max="5630" width="9" style="199"/>
    <col min="5631" max="5631" width="2.625" style="199" customWidth="1"/>
    <col min="5632" max="5633" width="15.625" style="199" customWidth="1"/>
    <col min="5634" max="5634" width="36" style="199" customWidth="1"/>
    <col min="5635" max="5635" width="8.5" style="199" customWidth="1"/>
    <col min="5636" max="5636" width="0" style="199" hidden="1" customWidth="1"/>
    <col min="5637" max="5640" width="61.125" style="199" customWidth="1"/>
    <col min="5641" max="5641" width="2.625" style="199" customWidth="1"/>
    <col min="5642" max="5886" width="9" style="199"/>
    <col min="5887" max="5887" width="2.625" style="199" customWidth="1"/>
    <col min="5888" max="5889" width="15.625" style="199" customWidth="1"/>
    <col min="5890" max="5890" width="36" style="199" customWidth="1"/>
    <col min="5891" max="5891" width="8.5" style="199" customWidth="1"/>
    <col min="5892" max="5892" width="0" style="199" hidden="1" customWidth="1"/>
    <col min="5893" max="5896" width="61.125" style="199" customWidth="1"/>
    <col min="5897" max="5897" width="2.625" style="199" customWidth="1"/>
    <col min="5898" max="6142" width="9" style="199"/>
    <col min="6143" max="6143" width="2.625" style="199" customWidth="1"/>
    <col min="6144" max="6145" width="15.625" style="199" customWidth="1"/>
    <col min="6146" max="6146" width="36" style="199" customWidth="1"/>
    <col min="6147" max="6147" width="8.5" style="199" customWidth="1"/>
    <col min="6148" max="6148" width="0" style="199" hidden="1" customWidth="1"/>
    <col min="6149" max="6152" width="61.125" style="199" customWidth="1"/>
    <col min="6153" max="6153" width="2.625" style="199" customWidth="1"/>
    <col min="6154" max="6398" width="9" style="199"/>
    <col min="6399" max="6399" width="2.625" style="199" customWidth="1"/>
    <col min="6400" max="6401" width="15.625" style="199" customWidth="1"/>
    <col min="6402" max="6402" width="36" style="199" customWidth="1"/>
    <col min="6403" max="6403" width="8.5" style="199" customWidth="1"/>
    <col min="6404" max="6404" width="0" style="199" hidden="1" customWidth="1"/>
    <col min="6405" max="6408" width="61.125" style="199" customWidth="1"/>
    <col min="6409" max="6409" width="2.625" style="199" customWidth="1"/>
    <col min="6410" max="6654" width="9" style="199"/>
    <col min="6655" max="6655" width="2.625" style="199" customWidth="1"/>
    <col min="6656" max="6657" width="15.625" style="199" customWidth="1"/>
    <col min="6658" max="6658" width="36" style="199" customWidth="1"/>
    <col min="6659" max="6659" width="8.5" style="199" customWidth="1"/>
    <col min="6660" max="6660" width="0" style="199" hidden="1" customWidth="1"/>
    <col min="6661" max="6664" width="61.125" style="199" customWidth="1"/>
    <col min="6665" max="6665" width="2.625" style="199" customWidth="1"/>
    <col min="6666" max="6910" width="9" style="199"/>
    <col min="6911" max="6911" width="2.625" style="199" customWidth="1"/>
    <col min="6912" max="6913" width="15.625" style="199" customWidth="1"/>
    <col min="6914" max="6914" width="36" style="199" customWidth="1"/>
    <col min="6915" max="6915" width="8.5" style="199" customWidth="1"/>
    <col min="6916" max="6916" width="0" style="199" hidden="1" customWidth="1"/>
    <col min="6917" max="6920" width="61.125" style="199" customWidth="1"/>
    <col min="6921" max="6921" width="2.625" style="199" customWidth="1"/>
    <col min="6922" max="7166" width="9" style="199"/>
    <col min="7167" max="7167" width="2.625" style="199" customWidth="1"/>
    <col min="7168" max="7169" width="15.625" style="199" customWidth="1"/>
    <col min="7170" max="7170" width="36" style="199" customWidth="1"/>
    <col min="7171" max="7171" width="8.5" style="199" customWidth="1"/>
    <col min="7172" max="7172" width="0" style="199" hidden="1" customWidth="1"/>
    <col min="7173" max="7176" width="61.125" style="199" customWidth="1"/>
    <col min="7177" max="7177" width="2.625" style="199" customWidth="1"/>
    <col min="7178" max="7422" width="9" style="199"/>
    <col min="7423" max="7423" width="2.625" style="199" customWidth="1"/>
    <col min="7424" max="7425" width="15.625" style="199" customWidth="1"/>
    <col min="7426" max="7426" width="36" style="199" customWidth="1"/>
    <col min="7427" max="7427" width="8.5" style="199" customWidth="1"/>
    <col min="7428" max="7428" width="0" style="199" hidden="1" customWidth="1"/>
    <col min="7429" max="7432" width="61.125" style="199" customWidth="1"/>
    <col min="7433" max="7433" width="2.625" style="199" customWidth="1"/>
    <col min="7434" max="7678" width="9" style="199"/>
    <col min="7679" max="7679" width="2.625" style="199" customWidth="1"/>
    <col min="7680" max="7681" width="15.625" style="199" customWidth="1"/>
    <col min="7682" max="7682" width="36" style="199" customWidth="1"/>
    <col min="7683" max="7683" width="8.5" style="199" customWidth="1"/>
    <col min="7684" max="7684" width="0" style="199" hidden="1" customWidth="1"/>
    <col min="7685" max="7688" width="61.125" style="199" customWidth="1"/>
    <col min="7689" max="7689" width="2.625" style="199" customWidth="1"/>
    <col min="7690" max="7934" width="9" style="199"/>
    <col min="7935" max="7935" width="2.625" style="199" customWidth="1"/>
    <col min="7936" max="7937" width="15.625" style="199" customWidth="1"/>
    <col min="7938" max="7938" width="36" style="199" customWidth="1"/>
    <col min="7939" max="7939" width="8.5" style="199" customWidth="1"/>
    <col min="7940" max="7940" width="0" style="199" hidden="1" customWidth="1"/>
    <col min="7941" max="7944" width="61.125" style="199" customWidth="1"/>
    <col min="7945" max="7945" width="2.625" style="199" customWidth="1"/>
    <col min="7946" max="8190" width="9" style="199"/>
    <col min="8191" max="8191" width="2.625" style="199" customWidth="1"/>
    <col min="8192" max="8193" width="15.625" style="199" customWidth="1"/>
    <col min="8194" max="8194" width="36" style="199" customWidth="1"/>
    <col min="8195" max="8195" width="8.5" style="199" customWidth="1"/>
    <col min="8196" max="8196" width="0" style="199" hidden="1" customWidth="1"/>
    <col min="8197" max="8200" width="61.125" style="199" customWidth="1"/>
    <col min="8201" max="8201" width="2.625" style="199" customWidth="1"/>
    <col min="8202" max="8446" width="9" style="199"/>
    <col min="8447" max="8447" width="2.625" style="199" customWidth="1"/>
    <col min="8448" max="8449" width="15.625" style="199" customWidth="1"/>
    <col min="8450" max="8450" width="36" style="199" customWidth="1"/>
    <col min="8451" max="8451" width="8.5" style="199" customWidth="1"/>
    <col min="8452" max="8452" width="0" style="199" hidden="1" customWidth="1"/>
    <col min="8453" max="8456" width="61.125" style="199" customWidth="1"/>
    <col min="8457" max="8457" width="2.625" style="199" customWidth="1"/>
    <col min="8458" max="8702" width="9" style="199"/>
    <col min="8703" max="8703" width="2.625" style="199" customWidth="1"/>
    <col min="8704" max="8705" width="15.625" style="199" customWidth="1"/>
    <col min="8706" max="8706" width="36" style="199" customWidth="1"/>
    <col min="8707" max="8707" width="8.5" style="199" customWidth="1"/>
    <col min="8708" max="8708" width="0" style="199" hidden="1" customWidth="1"/>
    <col min="8709" max="8712" width="61.125" style="199" customWidth="1"/>
    <col min="8713" max="8713" width="2.625" style="199" customWidth="1"/>
    <col min="8714" max="8958" width="9" style="199"/>
    <col min="8959" max="8959" width="2.625" style="199" customWidth="1"/>
    <col min="8960" max="8961" width="15.625" style="199" customWidth="1"/>
    <col min="8962" max="8962" width="36" style="199" customWidth="1"/>
    <col min="8963" max="8963" width="8.5" style="199" customWidth="1"/>
    <col min="8964" max="8964" width="0" style="199" hidden="1" customWidth="1"/>
    <col min="8965" max="8968" width="61.125" style="199" customWidth="1"/>
    <col min="8969" max="8969" width="2.625" style="199" customWidth="1"/>
    <col min="8970" max="9214" width="9" style="199"/>
    <col min="9215" max="9215" width="2.625" style="199" customWidth="1"/>
    <col min="9216" max="9217" width="15.625" style="199" customWidth="1"/>
    <col min="9218" max="9218" width="36" style="199" customWidth="1"/>
    <col min="9219" max="9219" width="8.5" style="199" customWidth="1"/>
    <col min="9220" max="9220" width="0" style="199" hidden="1" customWidth="1"/>
    <col min="9221" max="9224" width="61.125" style="199" customWidth="1"/>
    <col min="9225" max="9225" width="2.625" style="199" customWidth="1"/>
    <col min="9226" max="9470" width="9" style="199"/>
    <col min="9471" max="9471" width="2.625" style="199" customWidth="1"/>
    <col min="9472" max="9473" width="15.625" style="199" customWidth="1"/>
    <col min="9474" max="9474" width="36" style="199" customWidth="1"/>
    <col min="9475" max="9475" width="8.5" style="199" customWidth="1"/>
    <col min="9476" max="9476" width="0" style="199" hidden="1" customWidth="1"/>
    <col min="9477" max="9480" width="61.125" style="199" customWidth="1"/>
    <col min="9481" max="9481" width="2.625" style="199" customWidth="1"/>
    <col min="9482" max="9726" width="9" style="199"/>
    <col min="9727" max="9727" width="2.625" style="199" customWidth="1"/>
    <col min="9728" max="9729" width="15.625" style="199" customWidth="1"/>
    <col min="9730" max="9730" width="36" style="199" customWidth="1"/>
    <col min="9731" max="9731" width="8.5" style="199" customWidth="1"/>
    <col min="9732" max="9732" width="0" style="199" hidden="1" customWidth="1"/>
    <col min="9733" max="9736" width="61.125" style="199" customWidth="1"/>
    <col min="9737" max="9737" width="2.625" style="199" customWidth="1"/>
    <col min="9738" max="9982" width="9" style="199"/>
    <col min="9983" max="9983" width="2.625" style="199" customWidth="1"/>
    <col min="9984" max="9985" width="15.625" style="199" customWidth="1"/>
    <col min="9986" max="9986" width="36" style="199" customWidth="1"/>
    <col min="9987" max="9987" width="8.5" style="199" customWidth="1"/>
    <col min="9988" max="9988" width="0" style="199" hidden="1" customWidth="1"/>
    <col min="9989" max="9992" width="61.125" style="199" customWidth="1"/>
    <col min="9993" max="9993" width="2.625" style="199" customWidth="1"/>
    <col min="9994" max="10238" width="9" style="199"/>
    <col min="10239" max="10239" width="2.625" style="199" customWidth="1"/>
    <col min="10240" max="10241" width="15.625" style="199" customWidth="1"/>
    <col min="10242" max="10242" width="36" style="199" customWidth="1"/>
    <col min="10243" max="10243" width="8.5" style="199" customWidth="1"/>
    <col min="10244" max="10244" width="0" style="199" hidden="1" customWidth="1"/>
    <col min="10245" max="10248" width="61.125" style="199" customWidth="1"/>
    <col min="10249" max="10249" width="2.625" style="199" customWidth="1"/>
    <col min="10250" max="10494" width="9" style="199"/>
    <col min="10495" max="10495" width="2.625" style="199" customWidth="1"/>
    <col min="10496" max="10497" width="15.625" style="199" customWidth="1"/>
    <col min="10498" max="10498" width="36" style="199" customWidth="1"/>
    <col min="10499" max="10499" width="8.5" style="199" customWidth="1"/>
    <col min="10500" max="10500" width="0" style="199" hidden="1" customWidth="1"/>
    <col min="10501" max="10504" width="61.125" style="199" customWidth="1"/>
    <col min="10505" max="10505" width="2.625" style="199" customWidth="1"/>
    <col min="10506" max="10750" width="9" style="199"/>
    <col min="10751" max="10751" width="2.625" style="199" customWidth="1"/>
    <col min="10752" max="10753" width="15.625" style="199" customWidth="1"/>
    <col min="10754" max="10754" width="36" style="199" customWidth="1"/>
    <col min="10755" max="10755" width="8.5" style="199" customWidth="1"/>
    <col min="10756" max="10756" width="0" style="199" hidden="1" customWidth="1"/>
    <col min="10757" max="10760" width="61.125" style="199" customWidth="1"/>
    <col min="10761" max="10761" width="2.625" style="199" customWidth="1"/>
    <col min="10762" max="11006" width="9" style="199"/>
    <col min="11007" max="11007" width="2.625" style="199" customWidth="1"/>
    <col min="11008" max="11009" width="15.625" style="199" customWidth="1"/>
    <col min="11010" max="11010" width="36" style="199" customWidth="1"/>
    <col min="11011" max="11011" width="8.5" style="199" customWidth="1"/>
    <col min="11012" max="11012" width="0" style="199" hidden="1" customWidth="1"/>
    <col min="11013" max="11016" width="61.125" style="199" customWidth="1"/>
    <col min="11017" max="11017" width="2.625" style="199" customWidth="1"/>
    <col min="11018" max="11262" width="9" style="199"/>
    <col min="11263" max="11263" width="2.625" style="199" customWidth="1"/>
    <col min="11264" max="11265" width="15.625" style="199" customWidth="1"/>
    <col min="11266" max="11266" width="36" style="199" customWidth="1"/>
    <col min="11267" max="11267" width="8.5" style="199" customWidth="1"/>
    <col min="11268" max="11268" width="0" style="199" hidden="1" customWidth="1"/>
    <col min="11269" max="11272" width="61.125" style="199" customWidth="1"/>
    <col min="11273" max="11273" width="2.625" style="199" customWidth="1"/>
    <col min="11274" max="11518" width="9" style="199"/>
    <col min="11519" max="11519" width="2.625" style="199" customWidth="1"/>
    <col min="11520" max="11521" width="15.625" style="199" customWidth="1"/>
    <col min="11522" max="11522" width="36" style="199" customWidth="1"/>
    <col min="11523" max="11523" width="8.5" style="199" customWidth="1"/>
    <col min="11524" max="11524" width="0" style="199" hidden="1" customWidth="1"/>
    <col min="11525" max="11528" width="61.125" style="199" customWidth="1"/>
    <col min="11529" max="11529" width="2.625" style="199" customWidth="1"/>
    <col min="11530" max="11774" width="9" style="199"/>
    <col min="11775" max="11775" width="2.625" style="199" customWidth="1"/>
    <col min="11776" max="11777" width="15.625" style="199" customWidth="1"/>
    <col min="11778" max="11778" width="36" style="199" customWidth="1"/>
    <col min="11779" max="11779" width="8.5" style="199" customWidth="1"/>
    <col min="11780" max="11780" width="0" style="199" hidden="1" customWidth="1"/>
    <col min="11781" max="11784" width="61.125" style="199" customWidth="1"/>
    <col min="11785" max="11785" width="2.625" style="199" customWidth="1"/>
    <col min="11786" max="12030" width="9" style="199"/>
    <col min="12031" max="12031" width="2.625" style="199" customWidth="1"/>
    <col min="12032" max="12033" width="15.625" style="199" customWidth="1"/>
    <col min="12034" max="12034" width="36" style="199" customWidth="1"/>
    <col min="12035" max="12035" width="8.5" style="199" customWidth="1"/>
    <col min="12036" max="12036" width="0" style="199" hidden="1" customWidth="1"/>
    <col min="12037" max="12040" width="61.125" style="199" customWidth="1"/>
    <col min="12041" max="12041" width="2.625" style="199" customWidth="1"/>
    <col min="12042" max="12286" width="9" style="199"/>
    <col min="12287" max="12287" width="2.625" style="199" customWidth="1"/>
    <col min="12288" max="12289" width="15.625" style="199" customWidth="1"/>
    <col min="12290" max="12290" width="36" style="199" customWidth="1"/>
    <col min="12291" max="12291" width="8.5" style="199" customWidth="1"/>
    <col min="12292" max="12292" width="0" style="199" hidden="1" customWidth="1"/>
    <col min="12293" max="12296" width="61.125" style="199" customWidth="1"/>
    <col min="12297" max="12297" width="2.625" style="199" customWidth="1"/>
    <col min="12298" max="12542" width="9" style="199"/>
    <col min="12543" max="12543" width="2.625" style="199" customWidth="1"/>
    <col min="12544" max="12545" width="15.625" style="199" customWidth="1"/>
    <col min="12546" max="12546" width="36" style="199" customWidth="1"/>
    <col min="12547" max="12547" width="8.5" style="199" customWidth="1"/>
    <col min="12548" max="12548" width="0" style="199" hidden="1" customWidth="1"/>
    <col min="12549" max="12552" width="61.125" style="199" customWidth="1"/>
    <col min="12553" max="12553" width="2.625" style="199" customWidth="1"/>
    <col min="12554" max="12798" width="9" style="199"/>
    <col min="12799" max="12799" width="2.625" style="199" customWidth="1"/>
    <col min="12800" max="12801" width="15.625" style="199" customWidth="1"/>
    <col min="12802" max="12802" width="36" style="199" customWidth="1"/>
    <col min="12803" max="12803" width="8.5" style="199" customWidth="1"/>
    <col min="12804" max="12804" width="0" style="199" hidden="1" customWidth="1"/>
    <col min="12805" max="12808" width="61.125" style="199" customWidth="1"/>
    <col min="12809" max="12809" width="2.625" style="199" customWidth="1"/>
    <col min="12810" max="13054" width="9" style="199"/>
    <col min="13055" max="13055" width="2.625" style="199" customWidth="1"/>
    <col min="13056" max="13057" width="15.625" style="199" customWidth="1"/>
    <col min="13058" max="13058" width="36" style="199" customWidth="1"/>
    <col min="13059" max="13059" width="8.5" style="199" customWidth="1"/>
    <col min="13060" max="13060" width="0" style="199" hidden="1" customWidth="1"/>
    <col min="13061" max="13064" width="61.125" style="199" customWidth="1"/>
    <col min="13065" max="13065" width="2.625" style="199" customWidth="1"/>
    <col min="13066" max="13310" width="9" style="199"/>
    <col min="13311" max="13311" width="2.625" style="199" customWidth="1"/>
    <col min="13312" max="13313" width="15.625" style="199" customWidth="1"/>
    <col min="13314" max="13314" width="36" style="199" customWidth="1"/>
    <col min="13315" max="13315" width="8.5" style="199" customWidth="1"/>
    <col min="13316" max="13316" width="0" style="199" hidden="1" customWidth="1"/>
    <col min="13317" max="13320" width="61.125" style="199" customWidth="1"/>
    <col min="13321" max="13321" width="2.625" style="199" customWidth="1"/>
    <col min="13322" max="13566" width="9" style="199"/>
    <col min="13567" max="13567" width="2.625" style="199" customWidth="1"/>
    <col min="13568" max="13569" width="15.625" style="199" customWidth="1"/>
    <col min="13570" max="13570" width="36" style="199" customWidth="1"/>
    <col min="13571" max="13571" width="8.5" style="199" customWidth="1"/>
    <col min="13572" max="13572" width="0" style="199" hidden="1" customWidth="1"/>
    <col min="13573" max="13576" width="61.125" style="199" customWidth="1"/>
    <col min="13577" max="13577" width="2.625" style="199" customWidth="1"/>
    <col min="13578" max="13822" width="9" style="199"/>
    <col min="13823" max="13823" width="2.625" style="199" customWidth="1"/>
    <col min="13824" max="13825" width="15.625" style="199" customWidth="1"/>
    <col min="13826" max="13826" width="36" style="199" customWidth="1"/>
    <col min="13827" max="13827" width="8.5" style="199" customWidth="1"/>
    <col min="13828" max="13828" width="0" style="199" hidden="1" customWidth="1"/>
    <col min="13829" max="13832" width="61.125" style="199" customWidth="1"/>
    <col min="13833" max="13833" width="2.625" style="199" customWidth="1"/>
    <col min="13834" max="14078" width="9" style="199"/>
    <col min="14079" max="14079" width="2.625" style="199" customWidth="1"/>
    <col min="14080" max="14081" width="15.625" style="199" customWidth="1"/>
    <col min="14082" max="14082" width="36" style="199" customWidth="1"/>
    <col min="14083" max="14083" width="8.5" style="199" customWidth="1"/>
    <col min="14084" max="14084" width="0" style="199" hidden="1" customWidth="1"/>
    <col min="14085" max="14088" width="61.125" style="199" customWidth="1"/>
    <col min="14089" max="14089" width="2.625" style="199" customWidth="1"/>
    <col min="14090" max="14334" width="9" style="199"/>
    <col min="14335" max="14335" width="2.625" style="199" customWidth="1"/>
    <col min="14336" max="14337" width="15.625" style="199" customWidth="1"/>
    <col min="14338" max="14338" width="36" style="199" customWidth="1"/>
    <col min="14339" max="14339" width="8.5" style="199" customWidth="1"/>
    <col min="14340" max="14340" width="0" style="199" hidden="1" customWidth="1"/>
    <col min="14341" max="14344" width="61.125" style="199" customWidth="1"/>
    <col min="14345" max="14345" width="2.625" style="199" customWidth="1"/>
    <col min="14346" max="14590" width="9" style="199"/>
    <col min="14591" max="14591" width="2.625" style="199" customWidth="1"/>
    <col min="14592" max="14593" width="15.625" style="199" customWidth="1"/>
    <col min="14594" max="14594" width="36" style="199" customWidth="1"/>
    <col min="14595" max="14595" width="8.5" style="199" customWidth="1"/>
    <col min="14596" max="14596" width="0" style="199" hidden="1" customWidth="1"/>
    <col min="14597" max="14600" width="61.125" style="199" customWidth="1"/>
    <col min="14601" max="14601" width="2.625" style="199" customWidth="1"/>
    <col min="14602" max="14846" width="9" style="199"/>
    <col min="14847" max="14847" width="2.625" style="199" customWidth="1"/>
    <col min="14848" max="14849" width="15.625" style="199" customWidth="1"/>
    <col min="14850" max="14850" width="36" style="199" customWidth="1"/>
    <col min="14851" max="14851" width="8.5" style="199" customWidth="1"/>
    <col min="14852" max="14852" width="0" style="199" hidden="1" customWidth="1"/>
    <col min="14853" max="14856" width="61.125" style="199" customWidth="1"/>
    <col min="14857" max="14857" width="2.625" style="199" customWidth="1"/>
    <col min="14858" max="15102" width="9" style="199"/>
    <col min="15103" max="15103" width="2.625" style="199" customWidth="1"/>
    <col min="15104" max="15105" width="15.625" style="199" customWidth="1"/>
    <col min="15106" max="15106" width="36" style="199" customWidth="1"/>
    <col min="15107" max="15107" width="8.5" style="199" customWidth="1"/>
    <col min="15108" max="15108" width="0" style="199" hidden="1" customWidth="1"/>
    <col min="15109" max="15112" width="61.125" style="199" customWidth="1"/>
    <col min="15113" max="15113" width="2.625" style="199" customWidth="1"/>
    <col min="15114" max="15358" width="9" style="199"/>
    <col min="15359" max="15359" width="2.625" style="199" customWidth="1"/>
    <col min="15360" max="15361" width="15.625" style="199" customWidth="1"/>
    <col min="15362" max="15362" width="36" style="199" customWidth="1"/>
    <col min="15363" max="15363" width="8.5" style="199" customWidth="1"/>
    <col min="15364" max="15364" width="0" style="199" hidden="1" customWidth="1"/>
    <col min="15365" max="15368" width="61.125" style="199" customWidth="1"/>
    <col min="15369" max="15369" width="2.625" style="199" customWidth="1"/>
    <col min="15370" max="15614" width="9" style="199"/>
    <col min="15615" max="15615" width="2.625" style="199" customWidth="1"/>
    <col min="15616" max="15617" width="15.625" style="199" customWidth="1"/>
    <col min="15618" max="15618" width="36" style="199" customWidth="1"/>
    <col min="15619" max="15619" width="8.5" style="199" customWidth="1"/>
    <col min="15620" max="15620" width="0" style="199" hidden="1" customWidth="1"/>
    <col min="15621" max="15624" width="61.125" style="199" customWidth="1"/>
    <col min="15625" max="15625" width="2.625" style="199" customWidth="1"/>
    <col min="15626" max="15870" width="9" style="199"/>
    <col min="15871" max="15871" width="2.625" style="199" customWidth="1"/>
    <col min="15872" max="15873" width="15.625" style="199" customWidth="1"/>
    <col min="15874" max="15874" width="36" style="199" customWidth="1"/>
    <col min="15875" max="15875" width="8.5" style="199" customWidth="1"/>
    <col min="15876" max="15876" width="0" style="199" hidden="1" customWidth="1"/>
    <col min="15877" max="15880" width="61.125" style="199" customWidth="1"/>
    <col min="15881" max="15881" width="2.625" style="199" customWidth="1"/>
    <col min="15882" max="16126" width="9" style="199"/>
    <col min="16127" max="16127" width="2.625" style="199" customWidth="1"/>
    <col min="16128" max="16129" width="15.625" style="199" customWidth="1"/>
    <col min="16130" max="16130" width="36" style="199" customWidth="1"/>
    <col min="16131" max="16131" width="8.5" style="199" customWidth="1"/>
    <col min="16132" max="16132" width="0" style="199" hidden="1" customWidth="1"/>
    <col min="16133" max="16136" width="61.125" style="199" customWidth="1"/>
    <col min="16137" max="16137" width="2.625" style="199" customWidth="1"/>
    <col min="16138" max="16377" width="9" style="199"/>
    <col min="16378" max="16384" width="9" style="199" customWidth="1"/>
  </cols>
  <sheetData>
    <row r="1" spans="1:17">
      <c r="A1" s="203"/>
      <c r="B1" s="203"/>
      <c r="C1" s="203"/>
      <c r="D1" s="3"/>
      <c r="E1" s="3"/>
      <c r="F1" s="3"/>
      <c r="G1" s="3"/>
      <c r="H1" s="3"/>
      <c r="I1" s="3"/>
      <c r="J1" s="3"/>
      <c r="K1" s="3"/>
      <c r="L1" s="3"/>
      <c r="M1" s="3"/>
      <c r="N1" s="3"/>
      <c r="O1" s="3"/>
      <c r="P1" s="1"/>
      <c r="Q1" s="1"/>
    </row>
    <row r="2" spans="1:17" s="205" customFormat="1" ht="18" customHeight="1">
      <c r="A2" s="200" t="s">
        <v>90</v>
      </c>
      <c r="B2" s="200"/>
      <c r="C2" s="130"/>
      <c r="D2" s="130"/>
      <c r="E2" s="130"/>
      <c r="F2" s="130"/>
      <c r="G2" s="130"/>
      <c r="H2" s="130"/>
      <c r="I2" s="130"/>
      <c r="J2" s="130"/>
      <c r="K2" s="130"/>
      <c r="L2" s="130"/>
      <c r="M2" s="130"/>
      <c r="N2" s="130"/>
      <c r="O2" s="130"/>
    </row>
    <row r="3" spans="1:17" ht="6" customHeight="1" thickBot="1">
      <c r="A3" s="35"/>
      <c r="B3" s="35"/>
      <c r="C3" s="35"/>
      <c r="D3" s="35"/>
      <c r="E3" s="35"/>
      <c r="F3" s="35"/>
      <c r="G3" s="35"/>
      <c r="H3" s="35"/>
      <c r="I3" s="35"/>
      <c r="J3" s="35"/>
      <c r="K3" s="35"/>
      <c r="L3" s="35"/>
      <c r="M3" s="35"/>
      <c r="N3" s="35"/>
      <c r="O3" s="35"/>
      <c r="P3" s="35"/>
      <c r="Q3" s="35"/>
    </row>
    <row r="4" spans="1:17" s="37" customFormat="1" ht="16.5" customHeight="1">
      <c r="A4" s="322" t="s">
        <v>50</v>
      </c>
      <c r="B4" s="320" t="s">
        <v>91</v>
      </c>
      <c r="C4" s="321"/>
      <c r="D4" s="321"/>
      <c r="E4" s="321"/>
      <c r="F4" s="321"/>
      <c r="G4" s="324"/>
      <c r="H4" s="321" t="s">
        <v>1211</v>
      </c>
      <c r="I4" s="321"/>
      <c r="J4" s="321"/>
      <c r="K4" s="321"/>
      <c r="L4" s="321"/>
      <c r="M4" s="324"/>
      <c r="N4" s="320" t="s">
        <v>92</v>
      </c>
      <c r="O4" s="321"/>
      <c r="P4" s="321"/>
      <c r="Q4" s="321"/>
    </row>
    <row r="5" spans="1:17" s="37" customFormat="1" ht="16.5" customHeight="1" thickBot="1">
      <c r="A5" s="323"/>
      <c r="B5" s="74" t="s">
        <v>93</v>
      </c>
      <c r="C5" s="74" t="s">
        <v>94</v>
      </c>
      <c r="D5" s="74" t="s">
        <v>95</v>
      </c>
      <c r="E5" s="74" t="s">
        <v>96</v>
      </c>
      <c r="F5" s="74" t="s">
        <v>97</v>
      </c>
      <c r="G5" s="74" t="s">
        <v>98</v>
      </c>
      <c r="H5" s="74" t="s">
        <v>99</v>
      </c>
      <c r="I5" s="74" t="s">
        <v>100</v>
      </c>
      <c r="J5" s="74" t="s">
        <v>101</v>
      </c>
      <c r="K5" s="74" t="s">
        <v>102</v>
      </c>
      <c r="L5" s="74" t="s">
        <v>103</v>
      </c>
      <c r="M5" s="74" t="s">
        <v>104</v>
      </c>
      <c r="N5" s="74" t="s">
        <v>105</v>
      </c>
      <c r="O5" s="74" t="s">
        <v>106</v>
      </c>
      <c r="P5" s="74" t="s">
        <v>107</v>
      </c>
      <c r="Q5" s="74" t="s">
        <v>108</v>
      </c>
    </row>
    <row r="6" spans="1:17" s="202" customFormat="1" ht="16.5" customHeight="1">
      <c r="A6" s="201">
        <v>1</v>
      </c>
      <c r="B6" s="201" t="s">
        <v>109</v>
      </c>
      <c r="C6" s="201" t="s">
        <v>110</v>
      </c>
      <c r="D6" s="105" t="s">
        <v>864</v>
      </c>
      <c r="E6" s="102" t="s">
        <v>867</v>
      </c>
      <c r="F6" s="103" t="s">
        <v>111</v>
      </c>
      <c r="G6" s="103">
        <v>3</v>
      </c>
      <c r="H6" s="179" t="s">
        <v>1065</v>
      </c>
      <c r="I6" s="179" t="s">
        <v>1066</v>
      </c>
      <c r="J6" s="179" t="s">
        <v>1213</v>
      </c>
      <c r="K6" s="179" t="s">
        <v>113</v>
      </c>
      <c r="L6" s="179" t="s">
        <v>113</v>
      </c>
      <c r="M6" s="179" t="s">
        <v>113</v>
      </c>
      <c r="N6" s="104" t="s">
        <v>874</v>
      </c>
      <c r="O6" s="104" t="s">
        <v>884</v>
      </c>
      <c r="P6" s="104" t="s">
        <v>897</v>
      </c>
      <c r="Q6" s="104" t="s">
        <v>115</v>
      </c>
    </row>
    <row r="7" spans="1:17" s="202" customFormat="1" ht="16.5" customHeight="1">
      <c r="A7" s="201">
        <v>2</v>
      </c>
      <c r="B7" s="201" t="s">
        <v>109</v>
      </c>
      <c r="C7" s="201" t="s">
        <v>116</v>
      </c>
      <c r="D7" s="106" t="s">
        <v>885</v>
      </c>
      <c r="E7" s="53" t="s">
        <v>868</v>
      </c>
      <c r="F7" s="103" t="s">
        <v>111</v>
      </c>
      <c r="G7" s="103">
        <v>3</v>
      </c>
      <c r="H7" s="179" t="s">
        <v>1057</v>
      </c>
      <c r="I7" s="179" t="s">
        <v>1058</v>
      </c>
      <c r="J7" s="179" t="s">
        <v>1214</v>
      </c>
      <c r="K7" s="179" t="s">
        <v>113</v>
      </c>
      <c r="L7" s="179" t="s">
        <v>113</v>
      </c>
      <c r="M7" s="179" t="s">
        <v>113</v>
      </c>
      <c r="N7" s="104" t="s">
        <v>875</v>
      </c>
      <c r="O7" s="104" t="s">
        <v>895</v>
      </c>
      <c r="P7" s="55" t="s">
        <v>896</v>
      </c>
      <c r="Q7" s="55" t="s">
        <v>117</v>
      </c>
    </row>
    <row r="8" spans="1:17" s="202" customFormat="1" ht="16.5" customHeight="1">
      <c r="A8" s="201">
        <v>3</v>
      </c>
      <c r="B8" s="201" t="s">
        <v>109</v>
      </c>
      <c r="C8" s="201" t="s">
        <v>118</v>
      </c>
      <c r="D8" s="106" t="s">
        <v>119</v>
      </c>
      <c r="E8" s="53" t="s">
        <v>120</v>
      </c>
      <c r="F8" s="103" t="s">
        <v>111</v>
      </c>
      <c r="G8" s="103">
        <v>3</v>
      </c>
      <c r="H8" s="179" t="s">
        <v>1082</v>
      </c>
      <c r="I8" s="179" t="s">
        <v>121</v>
      </c>
      <c r="J8" s="179" t="s">
        <v>1215</v>
      </c>
      <c r="K8" s="179" t="s">
        <v>114</v>
      </c>
      <c r="L8" s="179" t="s">
        <v>113</v>
      </c>
      <c r="M8" s="179" t="s">
        <v>113</v>
      </c>
      <c r="N8" s="104" t="s">
        <v>122</v>
      </c>
      <c r="O8" s="104" t="s">
        <v>123</v>
      </c>
      <c r="P8" s="55" t="s">
        <v>124</v>
      </c>
      <c r="Q8" s="55"/>
    </row>
    <row r="9" spans="1:17" s="202" customFormat="1" ht="16.5" customHeight="1">
      <c r="A9" s="201">
        <v>4</v>
      </c>
      <c r="B9" s="201" t="s">
        <v>109</v>
      </c>
      <c r="C9" s="201" t="s">
        <v>125</v>
      </c>
      <c r="D9" s="106" t="s">
        <v>126</v>
      </c>
      <c r="E9" s="53" t="s">
        <v>127</v>
      </c>
      <c r="F9" s="103" t="s">
        <v>128</v>
      </c>
      <c r="G9" s="103">
        <v>5</v>
      </c>
      <c r="H9" s="179" t="s">
        <v>1057</v>
      </c>
      <c r="I9" s="179" t="s">
        <v>1058</v>
      </c>
      <c r="J9" s="179" t="s">
        <v>1214</v>
      </c>
      <c r="K9" s="179" t="s">
        <v>113</v>
      </c>
      <c r="L9" s="179" t="s">
        <v>113</v>
      </c>
      <c r="M9" s="179" t="s">
        <v>113</v>
      </c>
      <c r="N9" s="104" t="s">
        <v>129</v>
      </c>
      <c r="O9" s="104" t="s">
        <v>130</v>
      </c>
      <c r="P9" s="55" t="s">
        <v>131</v>
      </c>
      <c r="Q9" s="55" t="s">
        <v>132</v>
      </c>
    </row>
    <row r="10" spans="1:17" s="202" customFormat="1" ht="16.5" customHeight="1">
      <c r="A10" s="201">
        <v>5</v>
      </c>
      <c r="B10" s="201" t="s">
        <v>109</v>
      </c>
      <c r="C10" s="201" t="s">
        <v>133</v>
      </c>
      <c r="D10" s="106" t="s">
        <v>134</v>
      </c>
      <c r="E10" s="53" t="s">
        <v>135</v>
      </c>
      <c r="F10" s="103" t="s">
        <v>128</v>
      </c>
      <c r="G10" s="54">
        <v>4</v>
      </c>
      <c r="H10" s="179" t="s">
        <v>1082</v>
      </c>
      <c r="I10" s="179" t="s">
        <v>121</v>
      </c>
      <c r="J10" s="179" t="s">
        <v>1215</v>
      </c>
      <c r="K10" s="179" t="s">
        <v>114</v>
      </c>
      <c r="L10" s="179" t="s">
        <v>113</v>
      </c>
      <c r="M10" s="179" t="s">
        <v>113</v>
      </c>
      <c r="N10" s="104" t="s">
        <v>136</v>
      </c>
      <c r="O10" s="104" t="s">
        <v>137</v>
      </c>
      <c r="P10" s="55" t="s">
        <v>138</v>
      </c>
      <c r="Q10" s="55" t="s">
        <v>139</v>
      </c>
    </row>
    <row r="11" spans="1:17" s="202" customFormat="1" ht="16.5" customHeight="1">
      <c r="A11" s="201">
        <v>6</v>
      </c>
      <c r="B11" s="201" t="s">
        <v>109</v>
      </c>
      <c r="C11" s="201" t="s">
        <v>140</v>
      </c>
      <c r="D11" s="106" t="s">
        <v>141</v>
      </c>
      <c r="E11" s="53" t="s">
        <v>142</v>
      </c>
      <c r="F11" s="103" t="s">
        <v>128</v>
      </c>
      <c r="G11" s="103">
        <v>5</v>
      </c>
      <c r="H11" s="179" t="s">
        <v>1057</v>
      </c>
      <c r="I11" s="179" t="s">
        <v>1058</v>
      </c>
      <c r="J11" s="179" t="s">
        <v>1214</v>
      </c>
      <c r="K11" s="179" t="s">
        <v>113</v>
      </c>
      <c r="L11" s="179" t="s">
        <v>113</v>
      </c>
      <c r="M11" s="179" t="s">
        <v>113</v>
      </c>
      <c r="N11" s="104" t="s">
        <v>144</v>
      </c>
      <c r="O11" s="104" t="s">
        <v>145</v>
      </c>
      <c r="P11" s="55" t="s">
        <v>146</v>
      </c>
      <c r="Q11" s="55" t="s">
        <v>147</v>
      </c>
    </row>
    <row r="12" spans="1:17" s="202" customFormat="1" ht="16.5" customHeight="1">
      <c r="A12" s="201">
        <v>7</v>
      </c>
      <c r="B12" s="201" t="s">
        <v>109</v>
      </c>
      <c r="C12" s="201" t="s">
        <v>148</v>
      </c>
      <c r="D12" s="106" t="s">
        <v>149</v>
      </c>
      <c r="E12" s="56" t="s">
        <v>869</v>
      </c>
      <c r="F12" s="103" t="s">
        <v>128</v>
      </c>
      <c r="G12" s="103">
        <v>5</v>
      </c>
      <c r="H12" s="179" t="s">
        <v>1057</v>
      </c>
      <c r="I12" s="179" t="s">
        <v>1058</v>
      </c>
      <c r="J12" s="179" t="s">
        <v>1214</v>
      </c>
      <c r="K12" s="179" t="s">
        <v>113</v>
      </c>
      <c r="L12" s="179" t="s">
        <v>113</v>
      </c>
      <c r="M12" s="179" t="s">
        <v>113</v>
      </c>
      <c r="N12" s="104" t="s">
        <v>150</v>
      </c>
      <c r="O12" s="104" t="s">
        <v>151</v>
      </c>
      <c r="P12" s="55" t="s">
        <v>152</v>
      </c>
      <c r="Q12" s="55" t="s">
        <v>153</v>
      </c>
    </row>
    <row r="13" spans="1:17" s="202" customFormat="1" ht="16.5" customHeight="1">
      <c r="A13" s="201">
        <v>8</v>
      </c>
      <c r="B13" s="201" t="s">
        <v>109</v>
      </c>
      <c r="C13" s="201" t="s">
        <v>154</v>
      </c>
      <c r="D13" s="106" t="s">
        <v>155</v>
      </c>
      <c r="E13" s="53" t="s">
        <v>156</v>
      </c>
      <c r="F13" s="103" t="s">
        <v>111</v>
      </c>
      <c r="G13" s="103">
        <v>3</v>
      </c>
      <c r="H13" s="179" t="s">
        <v>1158</v>
      </c>
      <c r="I13" s="179" t="s">
        <v>112</v>
      </c>
      <c r="J13" s="179" t="s">
        <v>1216</v>
      </c>
      <c r="K13" s="179" t="s">
        <v>113</v>
      </c>
      <c r="L13" s="179" t="s">
        <v>114</v>
      </c>
      <c r="M13" s="179" t="s">
        <v>113</v>
      </c>
      <c r="N13" s="104" t="s">
        <v>157</v>
      </c>
      <c r="O13" s="104" t="s">
        <v>158</v>
      </c>
      <c r="P13" s="55" t="s">
        <v>159</v>
      </c>
      <c r="Q13" s="55" t="s">
        <v>160</v>
      </c>
    </row>
    <row r="14" spans="1:17" s="202" customFormat="1" ht="16.5" customHeight="1">
      <c r="A14" s="201">
        <v>9</v>
      </c>
      <c r="B14" s="201" t="s">
        <v>109</v>
      </c>
      <c r="C14" s="201" t="s">
        <v>161</v>
      </c>
      <c r="D14" s="106" t="s">
        <v>162</v>
      </c>
      <c r="E14" s="53" t="s">
        <v>163</v>
      </c>
      <c r="F14" s="103" t="s">
        <v>111</v>
      </c>
      <c r="G14" s="54">
        <v>3</v>
      </c>
      <c r="H14" s="179" t="s">
        <v>1063</v>
      </c>
      <c r="I14" s="179" t="s">
        <v>164</v>
      </c>
      <c r="J14" s="179" t="s">
        <v>1217</v>
      </c>
      <c r="K14" s="179" t="s">
        <v>113</v>
      </c>
      <c r="L14" s="179" t="s">
        <v>114</v>
      </c>
      <c r="M14" s="179" t="s">
        <v>113</v>
      </c>
      <c r="N14" s="104" t="s">
        <v>165</v>
      </c>
      <c r="O14" s="104" t="s">
        <v>166</v>
      </c>
      <c r="P14" s="55" t="s">
        <v>167</v>
      </c>
      <c r="Q14" s="55" t="s">
        <v>168</v>
      </c>
    </row>
    <row r="15" spans="1:17" s="202" customFormat="1" ht="16.5" customHeight="1">
      <c r="A15" s="201">
        <v>10</v>
      </c>
      <c r="B15" s="201" t="s">
        <v>109</v>
      </c>
      <c r="C15" s="201" t="s">
        <v>169</v>
      </c>
      <c r="D15" s="106" t="s">
        <v>170</v>
      </c>
      <c r="E15" s="53" t="s">
        <v>171</v>
      </c>
      <c r="F15" s="103" t="s">
        <v>111</v>
      </c>
      <c r="G15" s="54">
        <v>3</v>
      </c>
      <c r="H15" s="179" t="s">
        <v>1063</v>
      </c>
      <c r="I15" s="179" t="s">
        <v>164</v>
      </c>
      <c r="J15" s="179" t="s">
        <v>1217</v>
      </c>
      <c r="K15" s="179" t="s">
        <v>113</v>
      </c>
      <c r="L15" s="179" t="s">
        <v>114</v>
      </c>
      <c r="M15" s="179" t="s">
        <v>113</v>
      </c>
      <c r="N15" s="104" t="s">
        <v>172</v>
      </c>
      <c r="O15" s="104" t="s">
        <v>173</v>
      </c>
      <c r="P15" s="55" t="s">
        <v>174</v>
      </c>
      <c r="Q15" s="55" t="s">
        <v>175</v>
      </c>
    </row>
    <row r="16" spans="1:17" s="202" customFormat="1" ht="16.5" customHeight="1">
      <c r="A16" s="201">
        <v>11</v>
      </c>
      <c r="B16" s="201" t="s">
        <v>109</v>
      </c>
      <c r="C16" s="201" t="s">
        <v>176</v>
      </c>
      <c r="D16" s="106" t="s">
        <v>177</v>
      </c>
      <c r="E16" s="53" t="s">
        <v>178</v>
      </c>
      <c r="F16" s="103" t="s">
        <v>128</v>
      </c>
      <c r="G16" s="54">
        <v>4</v>
      </c>
      <c r="H16" s="179" t="s">
        <v>1057</v>
      </c>
      <c r="I16" s="179" t="s">
        <v>1058</v>
      </c>
      <c r="J16" s="179" t="s">
        <v>1214</v>
      </c>
      <c r="K16" s="179" t="s">
        <v>113</v>
      </c>
      <c r="L16" s="179" t="s">
        <v>113</v>
      </c>
      <c r="M16" s="179" t="s">
        <v>113</v>
      </c>
      <c r="N16" s="104" t="s">
        <v>179</v>
      </c>
      <c r="O16" s="104" t="s">
        <v>180</v>
      </c>
      <c r="P16" s="55" t="s">
        <v>181</v>
      </c>
      <c r="Q16" s="55"/>
    </row>
    <row r="17" spans="1:17" s="202" customFormat="1" ht="16.5" customHeight="1">
      <c r="A17" s="201">
        <v>12</v>
      </c>
      <c r="B17" s="201" t="s">
        <v>109</v>
      </c>
      <c r="C17" s="201" t="s">
        <v>182</v>
      </c>
      <c r="D17" s="106" t="s">
        <v>183</v>
      </c>
      <c r="E17" s="53" t="s">
        <v>184</v>
      </c>
      <c r="F17" s="54" t="s">
        <v>185</v>
      </c>
      <c r="G17" s="54">
        <v>2</v>
      </c>
      <c r="H17" s="179" t="s">
        <v>1057</v>
      </c>
      <c r="I17" s="179" t="s">
        <v>1058</v>
      </c>
      <c r="J17" s="179" t="s">
        <v>1214</v>
      </c>
      <c r="K17" s="179" t="s">
        <v>113</v>
      </c>
      <c r="L17" s="179" t="s">
        <v>113</v>
      </c>
      <c r="M17" s="179" t="s">
        <v>113</v>
      </c>
      <c r="N17" s="104" t="s">
        <v>186</v>
      </c>
      <c r="O17" s="104" t="s">
        <v>187</v>
      </c>
      <c r="P17" s="55" t="s">
        <v>188</v>
      </c>
      <c r="Q17" s="55" t="s">
        <v>189</v>
      </c>
    </row>
    <row r="18" spans="1:17" s="202" customFormat="1" ht="16.5" customHeight="1">
      <c r="A18" s="201">
        <v>13</v>
      </c>
      <c r="B18" s="201" t="s">
        <v>109</v>
      </c>
      <c r="C18" s="201" t="s">
        <v>190</v>
      </c>
      <c r="D18" s="106" t="s">
        <v>191</v>
      </c>
      <c r="E18" s="53" t="s">
        <v>192</v>
      </c>
      <c r="F18" s="103" t="s">
        <v>111</v>
      </c>
      <c r="G18" s="54">
        <v>3</v>
      </c>
      <c r="H18" s="179" t="s">
        <v>1057</v>
      </c>
      <c r="I18" s="179" t="s">
        <v>1058</v>
      </c>
      <c r="J18" s="179" t="s">
        <v>1214</v>
      </c>
      <c r="K18" s="179" t="s">
        <v>113</v>
      </c>
      <c r="L18" s="179" t="s">
        <v>113</v>
      </c>
      <c r="M18" s="179" t="s">
        <v>113</v>
      </c>
      <c r="N18" s="104" t="s">
        <v>193</v>
      </c>
      <c r="O18" s="104" t="s">
        <v>194</v>
      </c>
      <c r="P18" s="55" t="s">
        <v>195</v>
      </c>
      <c r="Q18" s="55" t="s">
        <v>196</v>
      </c>
    </row>
    <row r="19" spans="1:17" s="202" customFormat="1" ht="16.5" customHeight="1">
      <c r="A19" s="201">
        <v>14</v>
      </c>
      <c r="B19" s="201" t="s">
        <v>109</v>
      </c>
      <c r="C19" s="201" t="s">
        <v>197</v>
      </c>
      <c r="D19" s="106" t="s">
        <v>198</v>
      </c>
      <c r="E19" s="53" t="s">
        <v>199</v>
      </c>
      <c r="F19" s="103" t="s">
        <v>128</v>
      </c>
      <c r="G19" s="103">
        <v>5</v>
      </c>
      <c r="H19" s="179" t="s">
        <v>1150</v>
      </c>
      <c r="I19" s="179" t="s">
        <v>200</v>
      </c>
      <c r="J19" s="179" t="s">
        <v>1218</v>
      </c>
      <c r="K19" s="179" t="s">
        <v>114</v>
      </c>
      <c r="L19" s="179" t="s">
        <v>114</v>
      </c>
      <c r="M19" s="179" t="s">
        <v>114</v>
      </c>
      <c r="N19" s="104" t="s">
        <v>201</v>
      </c>
      <c r="O19" s="104" t="s">
        <v>202</v>
      </c>
      <c r="P19" s="55" t="s">
        <v>203</v>
      </c>
      <c r="Q19" s="55" t="s">
        <v>204</v>
      </c>
    </row>
    <row r="20" spans="1:17" s="202" customFormat="1" ht="16.5" customHeight="1">
      <c r="A20" s="201">
        <v>15</v>
      </c>
      <c r="B20" s="201" t="s">
        <v>109</v>
      </c>
      <c r="C20" s="201" t="s">
        <v>205</v>
      </c>
      <c r="D20" s="106" t="s">
        <v>206</v>
      </c>
      <c r="E20" s="53" t="s">
        <v>207</v>
      </c>
      <c r="F20" s="103" t="s">
        <v>111</v>
      </c>
      <c r="G20" s="103">
        <v>3</v>
      </c>
      <c r="H20" s="179" t="s">
        <v>1082</v>
      </c>
      <c r="I20" s="179" t="s">
        <v>121</v>
      </c>
      <c r="J20" s="179" t="s">
        <v>1215</v>
      </c>
      <c r="K20" s="179" t="s">
        <v>114</v>
      </c>
      <c r="L20" s="179" t="s">
        <v>113</v>
      </c>
      <c r="M20" s="179" t="s">
        <v>113</v>
      </c>
      <c r="N20" s="104" t="s">
        <v>208</v>
      </c>
      <c r="O20" s="104" t="s">
        <v>209</v>
      </c>
      <c r="P20" s="55" t="s">
        <v>210</v>
      </c>
      <c r="Q20" s="55" t="s">
        <v>211</v>
      </c>
    </row>
    <row r="21" spans="1:17" s="202" customFormat="1" ht="16.5" customHeight="1">
      <c r="A21" s="201">
        <v>16</v>
      </c>
      <c r="B21" s="201" t="s">
        <v>109</v>
      </c>
      <c r="C21" s="201" t="s">
        <v>212</v>
      </c>
      <c r="D21" s="106" t="s">
        <v>213</v>
      </c>
      <c r="E21" s="53" t="s">
        <v>870</v>
      </c>
      <c r="F21" s="103" t="s">
        <v>111</v>
      </c>
      <c r="G21" s="54">
        <v>3</v>
      </c>
      <c r="H21" s="179" t="s">
        <v>1063</v>
      </c>
      <c r="I21" s="179" t="s">
        <v>164</v>
      </c>
      <c r="J21" s="179" t="s">
        <v>1217</v>
      </c>
      <c r="K21" s="179" t="s">
        <v>113</v>
      </c>
      <c r="L21" s="179" t="s">
        <v>114</v>
      </c>
      <c r="M21" s="179" t="s">
        <v>113</v>
      </c>
      <c r="N21" s="104" t="s">
        <v>214</v>
      </c>
      <c r="O21" s="104" t="s">
        <v>215</v>
      </c>
      <c r="P21" s="55" t="s">
        <v>216</v>
      </c>
      <c r="Q21" s="55" t="s">
        <v>217</v>
      </c>
    </row>
    <row r="22" spans="1:17" s="202" customFormat="1" ht="16.5" customHeight="1">
      <c r="A22" s="201">
        <v>17</v>
      </c>
      <c r="B22" s="201" t="s">
        <v>109</v>
      </c>
      <c r="C22" s="201" t="s">
        <v>218</v>
      </c>
      <c r="D22" s="106" t="s">
        <v>219</v>
      </c>
      <c r="E22" s="53" t="s">
        <v>220</v>
      </c>
      <c r="F22" s="103" t="s">
        <v>128</v>
      </c>
      <c r="G22" s="103">
        <v>5</v>
      </c>
      <c r="H22" s="179" t="s">
        <v>1150</v>
      </c>
      <c r="I22" s="179" t="s">
        <v>200</v>
      </c>
      <c r="J22" s="179" t="s">
        <v>1218</v>
      </c>
      <c r="K22" s="179" t="s">
        <v>114</v>
      </c>
      <c r="L22" s="179" t="s">
        <v>114</v>
      </c>
      <c r="M22" s="179" t="s">
        <v>114</v>
      </c>
      <c r="N22" s="104" t="s">
        <v>221</v>
      </c>
      <c r="O22" s="104" t="s">
        <v>222</v>
      </c>
      <c r="P22" s="55" t="s">
        <v>223</v>
      </c>
      <c r="Q22" s="55" t="s">
        <v>224</v>
      </c>
    </row>
    <row r="23" spans="1:17" s="202" customFormat="1" ht="16.5" customHeight="1">
      <c r="A23" s="201">
        <v>18</v>
      </c>
      <c r="B23" s="201" t="s">
        <v>109</v>
      </c>
      <c r="C23" s="201" t="s">
        <v>225</v>
      </c>
      <c r="D23" s="106" t="s">
        <v>226</v>
      </c>
      <c r="E23" s="53" t="s">
        <v>227</v>
      </c>
      <c r="F23" s="103" t="s">
        <v>128</v>
      </c>
      <c r="G23" s="103">
        <v>5</v>
      </c>
      <c r="H23" s="179" t="s">
        <v>1115</v>
      </c>
      <c r="I23" s="179" t="s">
        <v>1116</v>
      </c>
      <c r="J23" s="179" t="s">
        <v>1219</v>
      </c>
      <c r="K23" s="179" t="s">
        <v>113</v>
      </c>
      <c r="L23" s="179" t="s">
        <v>113</v>
      </c>
      <c r="M23" s="179" t="s">
        <v>113</v>
      </c>
      <c r="N23" s="104" t="s">
        <v>228</v>
      </c>
      <c r="O23" s="104" t="s">
        <v>229</v>
      </c>
      <c r="P23" s="55" t="s">
        <v>230</v>
      </c>
      <c r="Q23" s="55" t="s">
        <v>231</v>
      </c>
    </row>
    <row r="24" spans="1:17" s="202" customFormat="1" ht="16.5" customHeight="1">
      <c r="A24" s="201">
        <v>19</v>
      </c>
      <c r="B24" s="201" t="s">
        <v>109</v>
      </c>
      <c r="C24" s="201" t="s">
        <v>232</v>
      </c>
      <c r="D24" s="106" t="s">
        <v>233</v>
      </c>
      <c r="E24" s="53" t="s">
        <v>234</v>
      </c>
      <c r="F24" s="103" t="s">
        <v>128</v>
      </c>
      <c r="G24" s="54">
        <v>5</v>
      </c>
      <c r="H24" s="179" t="s">
        <v>1057</v>
      </c>
      <c r="I24" s="179" t="s">
        <v>1058</v>
      </c>
      <c r="J24" s="179" t="s">
        <v>1214</v>
      </c>
      <c r="K24" s="179" t="s">
        <v>113</v>
      </c>
      <c r="L24" s="179" t="s">
        <v>113</v>
      </c>
      <c r="M24" s="179" t="s">
        <v>113</v>
      </c>
      <c r="N24" s="104" t="s">
        <v>235</v>
      </c>
      <c r="O24" s="104" t="s">
        <v>236</v>
      </c>
      <c r="P24" s="55" t="s">
        <v>237</v>
      </c>
      <c r="Q24" s="55" t="s">
        <v>238</v>
      </c>
    </row>
    <row r="25" spans="1:17" s="202" customFormat="1" ht="16.5" customHeight="1">
      <c r="A25" s="201">
        <v>20</v>
      </c>
      <c r="B25" s="201" t="s">
        <v>109</v>
      </c>
      <c r="C25" s="201" t="s">
        <v>239</v>
      </c>
      <c r="D25" s="106" t="s">
        <v>240</v>
      </c>
      <c r="E25" s="53" t="s">
        <v>241</v>
      </c>
      <c r="F25" s="103" t="s">
        <v>128</v>
      </c>
      <c r="G25" s="103">
        <v>4</v>
      </c>
      <c r="H25" s="179" t="s">
        <v>1082</v>
      </c>
      <c r="I25" s="179" t="s">
        <v>121</v>
      </c>
      <c r="J25" s="179" t="s">
        <v>1215</v>
      </c>
      <c r="K25" s="179" t="s">
        <v>114</v>
      </c>
      <c r="L25" s="179" t="s">
        <v>113</v>
      </c>
      <c r="M25" s="179" t="s">
        <v>113</v>
      </c>
      <c r="N25" s="104" t="s">
        <v>242</v>
      </c>
      <c r="O25" s="104" t="s">
        <v>243</v>
      </c>
      <c r="P25" s="55" t="s">
        <v>244</v>
      </c>
      <c r="Q25" s="55" t="s">
        <v>245</v>
      </c>
    </row>
    <row r="26" spans="1:17" s="202" customFormat="1" ht="16.5" customHeight="1">
      <c r="A26" s="201">
        <v>21</v>
      </c>
      <c r="B26" s="201" t="s">
        <v>109</v>
      </c>
      <c r="C26" s="201" t="s">
        <v>246</v>
      </c>
      <c r="D26" s="106" t="s">
        <v>247</v>
      </c>
      <c r="E26" s="53" t="s">
        <v>248</v>
      </c>
      <c r="F26" s="103" t="s">
        <v>128</v>
      </c>
      <c r="G26" s="54">
        <v>4</v>
      </c>
      <c r="H26" s="179" t="s">
        <v>1212</v>
      </c>
      <c r="I26" s="179" t="s">
        <v>1135</v>
      </c>
      <c r="J26" s="179" t="s">
        <v>1220</v>
      </c>
      <c r="K26" s="179" t="s">
        <v>114</v>
      </c>
      <c r="L26" s="179" t="s">
        <v>426</v>
      </c>
      <c r="M26" s="179" t="s">
        <v>114</v>
      </c>
      <c r="N26" s="104" t="s">
        <v>249</v>
      </c>
      <c r="O26" s="104" t="s">
        <v>250</v>
      </c>
      <c r="P26" s="55" t="s">
        <v>251</v>
      </c>
      <c r="Q26" s="55" t="s">
        <v>252</v>
      </c>
    </row>
    <row r="27" spans="1:17" s="202" customFormat="1" ht="16.5" customHeight="1">
      <c r="A27" s="201">
        <v>22</v>
      </c>
      <c r="B27" s="201" t="s">
        <v>109</v>
      </c>
      <c r="C27" s="201" t="s">
        <v>253</v>
      </c>
      <c r="D27" s="106" t="s">
        <v>254</v>
      </c>
      <c r="E27" s="53" t="s">
        <v>255</v>
      </c>
      <c r="F27" s="103" t="s">
        <v>128</v>
      </c>
      <c r="G27" s="103">
        <v>5</v>
      </c>
      <c r="H27" s="179" t="s">
        <v>1109</v>
      </c>
      <c r="I27" s="179" t="s">
        <v>1110</v>
      </c>
      <c r="J27" s="179" t="s">
        <v>1221</v>
      </c>
      <c r="K27" s="179" t="s">
        <v>113</v>
      </c>
      <c r="L27" s="179" t="s">
        <v>113</v>
      </c>
      <c r="M27" s="179" t="s">
        <v>113</v>
      </c>
      <c r="N27" s="104" t="s">
        <v>256</v>
      </c>
      <c r="O27" s="104" t="s">
        <v>257</v>
      </c>
      <c r="P27" s="55" t="s">
        <v>258</v>
      </c>
      <c r="Q27" s="55" t="s">
        <v>259</v>
      </c>
    </row>
    <row r="28" spans="1:17" s="202" customFormat="1" ht="16.5" customHeight="1">
      <c r="A28" s="201">
        <v>23</v>
      </c>
      <c r="B28" s="201" t="s">
        <v>109</v>
      </c>
      <c r="C28" s="201" t="s">
        <v>260</v>
      </c>
      <c r="D28" s="106" t="s">
        <v>261</v>
      </c>
      <c r="E28" s="53" t="s">
        <v>262</v>
      </c>
      <c r="F28" s="103" t="s">
        <v>128</v>
      </c>
      <c r="G28" s="103">
        <v>4</v>
      </c>
      <c r="H28" s="179" t="s">
        <v>1150</v>
      </c>
      <c r="I28" s="179" t="s">
        <v>200</v>
      </c>
      <c r="J28" s="179" t="s">
        <v>1218</v>
      </c>
      <c r="K28" s="179" t="s">
        <v>114</v>
      </c>
      <c r="L28" s="179" t="s">
        <v>114</v>
      </c>
      <c r="M28" s="179" t="s">
        <v>114</v>
      </c>
      <c r="N28" s="104" t="s">
        <v>263</v>
      </c>
      <c r="O28" s="104" t="s">
        <v>264</v>
      </c>
      <c r="P28" s="55" t="s">
        <v>265</v>
      </c>
      <c r="Q28" s="55" t="s">
        <v>266</v>
      </c>
    </row>
    <row r="29" spans="1:17" s="202" customFormat="1" ht="16.5" customHeight="1">
      <c r="A29" s="201">
        <v>24</v>
      </c>
      <c r="B29" s="201" t="s">
        <v>109</v>
      </c>
      <c r="C29" s="201" t="s">
        <v>267</v>
      </c>
      <c r="D29" s="106" t="s">
        <v>268</v>
      </c>
      <c r="E29" s="53" t="s">
        <v>269</v>
      </c>
      <c r="F29" s="103" t="s">
        <v>128</v>
      </c>
      <c r="G29" s="103">
        <v>4</v>
      </c>
      <c r="H29" s="179" t="s">
        <v>1082</v>
      </c>
      <c r="I29" s="179" t="s">
        <v>121</v>
      </c>
      <c r="J29" s="179" t="s">
        <v>1215</v>
      </c>
      <c r="K29" s="179" t="s">
        <v>114</v>
      </c>
      <c r="L29" s="179" t="s">
        <v>113</v>
      </c>
      <c r="M29" s="179" t="s">
        <v>113</v>
      </c>
      <c r="N29" s="104" t="s">
        <v>270</v>
      </c>
      <c r="O29" s="104" t="s">
        <v>271</v>
      </c>
      <c r="P29" s="55" t="s">
        <v>272</v>
      </c>
      <c r="Q29" s="55" t="s">
        <v>273</v>
      </c>
    </row>
    <row r="30" spans="1:17" s="202" customFormat="1" ht="16.5" customHeight="1">
      <c r="A30" s="201">
        <v>25</v>
      </c>
      <c r="B30" s="201" t="s">
        <v>109</v>
      </c>
      <c r="C30" s="201" t="s">
        <v>274</v>
      </c>
      <c r="D30" s="106" t="s">
        <v>275</v>
      </c>
      <c r="E30" s="53" t="s">
        <v>276</v>
      </c>
      <c r="F30" s="103" t="s">
        <v>111</v>
      </c>
      <c r="G30" s="54">
        <v>3</v>
      </c>
      <c r="H30" s="179" t="s">
        <v>1082</v>
      </c>
      <c r="I30" s="179" t="s">
        <v>121</v>
      </c>
      <c r="J30" s="179" t="s">
        <v>1215</v>
      </c>
      <c r="K30" s="179" t="s">
        <v>114</v>
      </c>
      <c r="L30" s="179" t="s">
        <v>113</v>
      </c>
      <c r="M30" s="179" t="s">
        <v>113</v>
      </c>
      <c r="N30" s="104" t="s">
        <v>277</v>
      </c>
      <c r="O30" s="104" t="s">
        <v>876</v>
      </c>
      <c r="P30" s="55" t="s">
        <v>278</v>
      </c>
      <c r="Q30" s="55" t="s">
        <v>279</v>
      </c>
    </row>
    <row r="31" spans="1:17" s="202" customFormat="1" ht="16.5" customHeight="1">
      <c r="A31" s="201">
        <v>26</v>
      </c>
      <c r="B31" s="201" t="s">
        <v>109</v>
      </c>
      <c r="C31" s="201" t="s">
        <v>280</v>
      </c>
      <c r="D31" s="106" t="s">
        <v>281</v>
      </c>
      <c r="E31" s="53" t="s">
        <v>282</v>
      </c>
      <c r="F31" s="103" t="s">
        <v>128</v>
      </c>
      <c r="G31" s="54">
        <v>5</v>
      </c>
      <c r="H31" s="179" t="s">
        <v>1150</v>
      </c>
      <c r="I31" s="179" t="s">
        <v>200</v>
      </c>
      <c r="J31" s="179" t="s">
        <v>1218</v>
      </c>
      <c r="K31" s="179" t="s">
        <v>114</v>
      </c>
      <c r="L31" s="179" t="s">
        <v>114</v>
      </c>
      <c r="M31" s="179" t="s">
        <v>114</v>
      </c>
      <c r="N31" s="104" t="s">
        <v>283</v>
      </c>
      <c r="O31" s="104" t="s">
        <v>284</v>
      </c>
      <c r="P31" s="55" t="s">
        <v>285</v>
      </c>
      <c r="Q31" s="55" t="s">
        <v>286</v>
      </c>
    </row>
    <row r="32" spans="1:17" s="202" customFormat="1" ht="16.5" customHeight="1">
      <c r="A32" s="201">
        <v>27</v>
      </c>
      <c r="B32" s="201" t="s">
        <v>109</v>
      </c>
      <c r="C32" s="201" t="s">
        <v>287</v>
      </c>
      <c r="D32" s="106" t="s">
        <v>288</v>
      </c>
      <c r="E32" s="53" t="s">
        <v>289</v>
      </c>
      <c r="F32" s="103" t="s">
        <v>128</v>
      </c>
      <c r="G32" s="54">
        <v>5</v>
      </c>
      <c r="H32" s="179" t="s">
        <v>1057</v>
      </c>
      <c r="I32" s="179" t="s">
        <v>1058</v>
      </c>
      <c r="J32" s="179" t="s">
        <v>1214</v>
      </c>
      <c r="K32" s="179" t="s">
        <v>113</v>
      </c>
      <c r="L32" s="179" t="s">
        <v>113</v>
      </c>
      <c r="M32" s="179" t="s">
        <v>113</v>
      </c>
      <c r="N32" s="104" t="s">
        <v>290</v>
      </c>
      <c r="O32" s="104" t="s">
        <v>291</v>
      </c>
      <c r="P32" s="55" t="s">
        <v>292</v>
      </c>
      <c r="Q32" s="55" t="s">
        <v>293</v>
      </c>
    </row>
    <row r="33" spans="1:17" s="202" customFormat="1" ht="16.5" customHeight="1">
      <c r="A33" s="201">
        <v>28</v>
      </c>
      <c r="B33" s="201" t="s">
        <v>109</v>
      </c>
      <c r="C33" s="201" t="s">
        <v>294</v>
      </c>
      <c r="D33" s="106" t="s">
        <v>295</v>
      </c>
      <c r="E33" s="53" t="s">
        <v>296</v>
      </c>
      <c r="F33" s="103" t="s">
        <v>128</v>
      </c>
      <c r="G33" s="103">
        <v>4</v>
      </c>
      <c r="H33" s="179" t="s">
        <v>1082</v>
      </c>
      <c r="I33" s="179" t="s">
        <v>121</v>
      </c>
      <c r="J33" s="179" t="s">
        <v>1215</v>
      </c>
      <c r="K33" s="179" t="s">
        <v>114</v>
      </c>
      <c r="L33" s="179" t="s">
        <v>113</v>
      </c>
      <c r="M33" s="179" t="s">
        <v>113</v>
      </c>
      <c r="N33" s="104" t="s">
        <v>297</v>
      </c>
      <c r="O33" s="104" t="s">
        <v>298</v>
      </c>
      <c r="P33" s="55" t="s">
        <v>299</v>
      </c>
      <c r="Q33" s="55" t="s">
        <v>300</v>
      </c>
    </row>
    <row r="34" spans="1:17" s="202" customFormat="1" ht="16.5" customHeight="1">
      <c r="A34" s="201">
        <v>29</v>
      </c>
      <c r="B34" s="201" t="s">
        <v>109</v>
      </c>
      <c r="C34" s="201" t="s">
        <v>301</v>
      </c>
      <c r="D34" s="106" t="s">
        <v>302</v>
      </c>
      <c r="E34" s="53" t="s">
        <v>303</v>
      </c>
      <c r="F34" s="103" t="s">
        <v>128</v>
      </c>
      <c r="G34" s="103">
        <v>5</v>
      </c>
      <c r="H34" s="179" t="s">
        <v>1175</v>
      </c>
      <c r="I34" s="179" t="s">
        <v>1176</v>
      </c>
      <c r="J34" s="179" t="s">
        <v>1222</v>
      </c>
      <c r="K34" s="179" t="s">
        <v>113</v>
      </c>
      <c r="L34" s="179" t="s">
        <v>426</v>
      </c>
      <c r="M34" s="179" t="s">
        <v>114</v>
      </c>
      <c r="N34" s="104" t="s">
        <v>304</v>
      </c>
      <c r="O34" s="104" t="s">
        <v>305</v>
      </c>
      <c r="P34" s="55" t="s">
        <v>306</v>
      </c>
      <c r="Q34" s="55" t="s">
        <v>307</v>
      </c>
    </row>
    <row r="35" spans="1:17" s="202" customFormat="1" ht="16.5" customHeight="1">
      <c r="A35" s="201">
        <v>30</v>
      </c>
      <c r="B35" s="201" t="s">
        <v>109</v>
      </c>
      <c r="C35" s="201" t="s">
        <v>308</v>
      </c>
      <c r="D35" s="106" t="s">
        <v>309</v>
      </c>
      <c r="E35" s="53" t="s">
        <v>310</v>
      </c>
      <c r="F35" s="103" t="s">
        <v>128</v>
      </c>
      <c r="G35" s="54">
        <v>5</v>
      </c>
      <c r="H35" s="179" t="s">
        <v>1158</v>
      </c>
      <c r="I35" s="179" t="s">
        <v>112</v>
      </c>
      <c r="J35" s="179" t="s">
        <v>1216</v>
      </c>
      <c r="K35" s="179" t="s">
        <v>113</v>
      </c>
      <c r="L35" s="179" t="s">
        <v>114</v>
      </c>
      <c r="M35" s="179" t="s">
        <v>113</v>
      </c>
      <c r="N35" s="104" t="s">
        <v>311</v>
      </c>
      <c r="O35" s="104" t="s">
        <v>877</v>
      </c>
      <c r="P35" s="55" t="s">
        <v>312</v>
      </c>
      <c r="Q35" s="55"/>
    </row>
    <row r="36" spans="1:17" s="202" customFormat="1" ht="16.5" customHeight="1">
      <c r="A36" s="201">
        <v>31</v>
      </c>
      <c r="B36" s="201" t="s">
        <v>109</v>
      </c>
      <c r="C36" s="201" t="s">
        <v>313</v>
      </c>
      <c r="D36" s="106" t="s">
        <v>314</v>
      </c>
      <c r="E36" s="53" t="s">
        <v>315</v>
      </c>
      <c r="F36" s="103" t="s">
        <v>111</v>
      </c>
      <c r="G36" s="54">
        <v>3</v>
      </c>
      <c r="H36" s="179" t="s">
        <v>1212</v>
      </c>
      <c r="I36" s="179" t="s">
        <v>1135</v>
      </c>
      <c r="J36" s="179" t="s">
        <v>1220</v>
      </c>
      <c r="K36" s="179" t="s">
        <v>114</v>
      </c>
      <c r="L36" s="179" t="s">
        <v>426</v>
      </c>
      <c r="M36" s="179" t="s">
        <v>114</v>
      </c>
      <c r="N36" s="104" t="s">
        <v>316</v>
      </c>
      <c r="O36" s="104" t="s">
        <v>317</v>
      </c>
      <c r="P36" s="55" t="s">
        <v>318</v>
      </c>
      <c r="Q36" s="55"/>
    </row>
    <row r="37" spans="1:17" s="202" customFormat="1" ht="16.5" customHeight="1">
      <c r="A37" s="201">
        <v>32</v>
      </c>
      <c r="B37" s="201" t="s">
        <v>109</v>
      </c>
      <c r="C37" s="201" t="s">
        <v>319</v>
      </c>
      <c r="D37" s="106" t="s">
        <v>320</v>
      </c>
      <c r="E37" s="53" t="s">
        <v>321</v>
      </c>
      <c r="F37" s="103" t="s">
        <v>128</v>
      </c>
      <c r="G37" s="54">
        <v>4</v>
      </c>
      <c r="H37" s="179" t="s">
        <v>1150</v>
      </c>
      <c r="I37" s="179" t="s">
        <v>200</v>
      </c>
      <c r="J37" s="179" t="s">
        <v>1218</v>
      </c>
      <c r="K37" s="179" t="s">
        <v>114</v>
      </c>
      <c r="L37" s="179" t="s">
        <v>114</v>
      </c>
      <c r="M37" s="179" t="s">
        <v>114</v>
      </c>
      <c r="N37" s="104" t="s">
        <v>322</v>
      </c>
      <c r="O37" s="104" t="s">
        <v>323</v>
      </c>
      <c r="P37" s="55" t="s">
        <v>324</v>
      </c>
      <c r="Q37" s="55" t="s">
        <v>325</v>
      </c>
    </row>
    <row r="38" spans="1:17" s="202" customFormat="1" ht="16.5" customHeight="1">
      <c r="A38" s="201">
        <v>33</v>
      </c>
      <c r="B38" s="201" t="s">
        <v>326</v>
      </c>
      <c r="C38" s="201" t="s">
        <v>327</v>
      </c>
      <c r="D38" s="106" t="s">
        <v>328</v>
      </c>
      <c r="E38" s="53" t="s">
        <v>329</v>
      </c>
      <c r="F38" s="103" t="s">
        <v>128</v>
      </c>
      <c r="G38" s="103">
        <v>5</v>
      </c>
      <c r="H38" s="179" t="s">
        <v>1158</v>
      </c>
      <c r="I38" s="179" t="s">
        <v>112</v>
      </c>
      <c r="J38" s="179" t="s">
        <v>1216</v>
      </c>
      <c r="K38" s="179" t="s">
        <v>113</v>
      </c>
      <c r="L38" s="179" t="s">
        <v>114</v>
      </c>
      <c r="M38" s="179" t="s">
        <v>113</v>
      </c>
      <c r="N38" s="104" t="s">
        <v>330</v>
      </c>
      <c r="O38" s="104" t="s">
        <v>331</v>
      </c>
      <c r="P38" s="55" t="s">
        <v>332</v>
      </c>
      <c r="Q38" s="55" t="s">
        <v>333</v>
      </c>
    </row>
    <row r="39" spans="1:17" s="202" customFormat="1" ht="16.5" customHeight="1">
      <c r="A39" s="201">
        <v>34</v>
      </c>
      <c r="B39" s="201" t="s">
        <v>109</v>
      </c>
      <c r="C39" s="201" t="s">
        <v>334</v>
      </c>
      <c r="D39" s="106" t="s">
        <v>335</v>
      </c>
      <c r="E39" s="53" t="s">
        <v>336</v>
      </c>
      <c r="F39" s="103" t="s">
        <v>128</v>
      </c>
      <c r="G39" s="103">
        <v>5</v>
      </c>
      <c r="H39" s="179" t="s">
        <v>1063</v>
      </c>
      <c r="I39" s="179" t="s">
        <v>164</v>
      </c>
      <c r="J39" s="179" t="s">
        <v>1217</v>
      </c>
      <c r="K39" s="179" t="s">
        <v>113</v>
      </c>
      <c r="L39" s="179" t="s">
        <v>114</v>
      </c>
      <c r="M39" s="179" t="s">
        <v>113</v>
      </c>
      <c r="N39" s="104" t="s">
        <v>337</v>
      </c>
      <c r="O39" s="104" t="s">
        <v>338</v>
      </c>
      <c r="P39" s="55" t="s">
        <v>339</v>
      </c>
      <c r="Q39" s="55" t="s">
        <v>340</v>
      </c>
    </row>
    <row r="40" spans="1:17" s="202" customFormat="1" ht="16.5" customHeight="1">
      <c r="A40" s="201">
        <v>35</v>
      </c>
      <c r="B40" s="201" t="s">
        <v>326</v>
      </c>
      <c r="C40" s="201" t="s">
        <v>341</v>
      </c>
      <c r="D40" s="106" t="s">
        <v>342</v>
      </c>
      <c r="E40" s="53" t="s">
        <v>343</v>
      </c>
      <c r="F40" s="103" t="s">
        <v>128</v>
      </c>
      <c r="G40" s="54">
        <v>4</v>
      </c>
      <c r="H40" s="179" t="s">
        <v>1158</v>
      </c>
      <c r="I40" s="179" t="s">
        <v>112</v>
      </c>
      <c r="J40" s="179" t="s">
        <v>1216</v>
      </c>
      <c r="K40" s="179" t="s">
        <v>113</v>
      </c>
      <c r="L40" s="179" t="s">
        <v>114</v>
      </c>
      <c r="M40" s="179" t="s">
        <v>113</v>
      </c>
      <c r="N40" s="104" t="s">
        <v>344</v>
      </c>
      <c r="O40" s="104" t="s">
        <v>345</v>
      </c>
      <c r="P40" s="55" t="s">
        <v>346</v>
      </c>
      <c r="Q40" s="55" t="s">
        <v>347</v>
      </c>
    </row>
    <row r="41" spans="1:17" s="202" customFormat="1" ht="16.5" customHeight="1">
      <c r="A41" s="201">
        <v>36</v>
      </c>
      <c r="B41" s="201" t="s">
        <v>109</v>
      </c>
      <c r="C41" s="201" t="s">
        <v>348</v>
      </c>
      <c r="D41" s="106" t="s">
        <v>349</v>
      </c>
      <c r="E41" s="53" t="s">
        <v>350</v>
      </c>
      <c r="F41" s="103" t="s">
        <v>128</v>
      </c>
      <c r="G41" s="54">
        <v>4</v>
      </c>
      <c r="H41" s="179" t="s">
        <v>1082</v>
      </c>
      <c r="I41" s="179" t="s">
        <v>121</v>
      </c>
      <c r="J41" s="179" t="s">
        <v>1215</v>
      </c>
      <c r="K41" s="179" t="s">
        <v>114</v>
      </c>
      <c r="L41" s="179" t="s">
        <v>113</v>
      </c>
      <c r="M41" s="179" t="s">
        <v>113</v>
      </c>
      <c r="N41" s="104" t="s">
        <v>351</v>
      </c>
      <c r="O41" s="104" t="s">
        <v>352</v>
      </c>
      <c r="P41" s="55" t="s">
        <v>353</v>
      </c>
      <c r="Q41" s="55" t="s">
        <v>354</v>
      </c>
    </row>
    <row r="42" spans="1:17" s="202" customFormat="1" ht="16.5" customHeight="1">
      <c r="A42" s="201">
        <v>37</v>
      </c>
      <c r="B42" s="201" t="s">
        <v>326</v>
      </c>
      <c r="C42" s="201" t="s">
        <v>355</v>
      </c>
      <c r="D42" s="106" t="s">
        <v>356</v>
      </c>
      <c r="E42" s="53" t="s">
        <v>357</v>
      </c>
      <c r="F42" s="103" t="s">
        <v>128</v>
      </c>
      <c r="G42" s="103">
        <v>4</v>
      </c>
      <c r="H42" s="179" t="s">
        <v>1082</v>
      </c>
      <c r="I42" s="179" t="s">
        <v>121</v>
      </c>
      <c r="J42" s="179" t="s">
        <v>1215</v>
      </c>
      <c r="K42" s="179" t="s">
        <v>114</v>
      </c>
      <c r="L42" s="179" t="s">
        <v>113</v>
      </c>
      <c r="M42" s="179" t="s">
        <v>113</v>
      </c>
      <c r="N42" s="104" t="s">
        <v>878</v>
      </c>
      <c r="O42" s="104" t="s">
        <v>358</v>
      </c>
      <c r="P42" s="55" t="s">
        <v>359</v>
      </c>
      <c r="Q42" s="55" t="s">
        <v>360</v>
      </c>
    </row>
    <row r="43" spans="1:17" s="202" customFormat="1" ht="16.5" customHeight="1">
      <c r="A43" s="201">
        <v>38</v>
      </c>
      <c r="B43" s="201" t="s">
        <v>326</v>
      </c>
      <c r="C43" s="201" t="s">
        <v>361</v>
      </c>
      <c r="D43" s="106" t="s">
        <v>362</v>
      </c>
      <c r="E43" s="53" t="s">
        <v>363</v>
      </c>
      <c r="F43" s="103" t="s">
        <v>128</v>
      </c>
      <c r="G43" s="54">
        <v>5</v>
      </c>
      <c r="H43" s="179" t="s">
        <v>1158</v>
      </c>
      <c r="I43" s="179" t="s">
        <v>112</v>
      </c>
      <c r="J43" s="179" t="s">
        <v>1216</v>
      </c>
      <c r="K43" s="179" t="s">
        <v>113</v>
      </c>
      <c r="L43" s="179" t="s">
        <v>114</v>
      </c>
      <c r="M43" s="179" t="s">
        <v>113</v>
      </c>
      <c r="N43" s="104" t="s">
        <v>364</v>
      </c>
      <c r="O43" s="104" t="s">
        <v>365</v>
      </c>
      <c r="P43" s="55" t="s">
        <v>366</v>
      </c>
      <c r="Q43" s="55"/>
    </row>
    <row r="44" spans="1:17" s="202" customFormat="1" ht="16.5" customHeight="1">
      <c r="A44" s="201">
        <v>39</v>
      </c>
      <c r="B44" s="201" t="s">
        <v>326</v>
      </c>
      <c r="C44" s="201" t="s">
        <v>367</v>
      </c>
      <c r="D44" s="106" t="s">
        <v>368</v>
      </c>
      <c r="E44" s="53" t="s">
        <v>369</v>
      </c>
      <c r="F44" s="103" t="s">
        <v>128</v>
      </c>
      <c r="G44" s="54">
        <v>4</v>
      </c>
      <c r="H44" s="179" t="s">
        <v>1082</v>
      </c>
      <c r="I44" s="179" t="s">
        <v>121</v>
      </c>
      <c r="J44" s="179" t="s">
        <v>1215</v>
      </c>
      <c r="K44" s="179" t="s">
        <v>114</v>
      </c>
      <c r="L44" s="179" t="s">
        <v>113</v>
      </c>
      <c r="M44" s="179" t="s">
        <v>113</v>
      </c>
      <c r="N44" s="104" t="s">
        <v>370</v>
      </c>
      <c r="O44" s="104" t="s">
        <v>371</v>
      </c>
      <c r="P44" s="55" t="s">
        <v>372</v>
      </c>
      <c r="Q44" s="55" t="s">
        <v>373</v>
      </c>
    </row>
    <row r="45" spans="1:17" s="202" customFormat="1" ht="16.5" customHeight="1">
      <c r="A45" s="201">
        <v>40</v>
      </c>
      <c r="B45" s="201" t="s">
        <v>109</v>
      </c>
      <c r="C45" s="201" t="s">
        <v>374</v>
      </c>
      <c r="D45" s="106" t="s">
        <v>375</v>
      </c>
      <c r="E45" s="53" t="s">
        <v>376</v>
      </c>
      <c r="F45" s="103" t="s">
        <v>128</v>
      </c>
      <c r="G45" s="103">
        <v>5</v>
      </c>
      <c r="H45" s="179" t="s">
        <v>1057</v>
      </c>
      <c r="I45" s="179" t="s">
        <v>1058</v>
      </c>
      <c r="J45" s="179" t="s">
        <v>1214</v>
      </c>
      <c r="K45" s="179" t="s">
        <v>113</v>
      </c>
      <c r="L45" s="179" t="s">
        <v>113</v>
      </c>
      <c r="M45" s="179" t="s">
        <v>113</v>
      </c>
      <c r="N45" s="104" t="s">
        <v>377</v>
      </c>
      <c r="O45" s="104" t="s">
        <v>378</v>
      </c>
      <c r="P45" s="55" t="s">
        <v>379</v>
      </c>
      <c r="Q45" s="55" t="s">
        <v>380</v>
      </c>
    </row>
    <row r="46" spans="1:17" s="202" customFormat="1" ht="16.5" customHeight="1">
      <c r="A46" s="201">
        <v>41</v>
      </c>
      <c r="B46" s="201" t="s">
        <v>109</v>
      </c>
      <c r="C46" s="201" t="s">
        <v>381</v>
      </c>
      <c r="D46" s="106" t="s">
        <v>382</v>
      </c>
      <c r="E46" s="53" t="s">
        <v>383</v>
      </c>
      <c r="F46" s="103" t="s">
        <v>111</v>
      </c>
      <c r="G46" s="103">
        <v>3</v>
      </c>
      <c r="H46" s="179" t="s">
        <v>1109</v>
      </c>
      <c r="I46" s="179" t="s">
        <v>1110</v>
      </c>
      <c r="J46" s="179" t="s">
        <v>1221</v>
      </c>
      <c r="K46" s="179" t="s">
        <v>113</v>
      </c>
      <c r="L46" s="179" t="s">
        <v>113</v>
      </c>
      <c r="M46" s="179" t="s">
        <v>113</v>
      </c>
      <c r="N46" s="104" t="s">
        <v>384</v>
      </c>
      <c r="O46" s="104" t="s">
        <v>385</v>
      </c>
      <c r="P46" s="55" t="s">
        <v>386</v>
      </c>
      <c r="Q46" s="55" t="s">
        <v>387</v>
      </c>
    </row>
    <row r="47" spans="1:17" s="202" customFormat="1" ht="16.5" customHeight="1">
      <c r="A47" s="201">
        <v>42</v>
      </c>
      <c r="B47" s="201" t="s">
        <v>109</v>
      </c>
      <c r="C47" s="201" t="s">
        <v>388</v>
      </c>
      <c r="D47" s="106" t="s">
        <v>389</v>
      </c>
      <c r="E47" s="53" t="s">
        <v>390</v>
      </c>
      <c r="F47" s="103" t="s">
        <v>128</v>
      </c>
      <c r="G47" s="54">
        <v>4</v>
      </c>
      <c r="H47" s="179" t="s">
        <v>1057</v>
      </c>
      <c r="I47" s="179" t="s">
        <v>1058</v>
      </c>
      <c r="J47" s="179" t="s">
        <v>1214</v>
      </c>
      <c r="K47" s="179" t="s">
        <v>113</v>
      </c>
      <c r="L47" s="179" t="s">
        <v>113</v>
      </c>
      <c r="M47" s="179" t="s">
        <v>113</v>
      </c>
      <c r="N47" s="104" t="s">
        <v>391</v>
      </c>
      <c r="O47" s="104" t="s">
        <v>392</v>
      </c>
      <c r="P47" s="55" t="s">
        <v>393</v>
      </c>
      <c r="Q47" s="55" t="s">
        <v>394</v>
      </c>
    </row>
    <row r="48" spans="1:17" s="202" customFormat="1" ht="16.5" customHeight="1">
      <c r="A48" s="201">
        <v>43</v>
      </c>
      <c r="B48" s="201" t="s">
        <v>109</v>
      </c>
      <c r="C48" s="201" t="s">
        <v>395</v>
      </c>
      <c r="D48" s="106" t="s">
        <v>396</v>
      </c>
      <c r="E48" s="53" t="s">
        <v>397</v>
      </c>
      <c r="F48" s="103" t="s">
        <v>128</v>
      </c>
      <c r="G48" s="103">
        <v>5</v>
      </c>
      <c r="H48" s="179" t="s">
        <v>1057</v>
      </c>
      <c r="I48" s="179" t="s">
        <v>1058</v>
      </c>
      <c r="J48" s="179" t="s">
        <v>1214</v>
      </c>
      <c r="K48" s="179" t="s">
        <v>113</v>
      </c>
      <c r="L48" s="179" t="s">
        <v>113</v>
      </c>
      <c r="M48" s="179" t="s">
        <v>113</v>
      </c>
      <c r="N48" s="104" t="s">
        <v>398</v>
      </c>
      <c r="O48" s="104" t="s">
        <v>399</v>
      </c>
      <c r="P48" s="55" t="s">
        <v>400</v>
      </c>
      <c r="Q48" s="55" t="s">
        <v>401</v>
      </c>
    </row>
    <row r="49" spans="1:17" s="202" customFormat="1" ht="16.5" customHeight="1">
      <c r="A49" s="201">
        <v>44</v>
      </c>
      <c r="B49" s="201" t="s">
        <v>109</v>
      </c>
      <c r="C49" s="201" t="s">
        <v>402</v>
      </c>
      <c r="D49" s="106" t="s">
        <v>403</v>
      </c>
      <c r="E49" s="56" t="s">
        <v>404</v>
      </c>
      <c r="F49" s="103" t="s">
        <v>128</v>
      </c>
      <c r="G49" s="103">
        <v>5</v>
      </c>
      <c r="H49" s="179" t="s">
        <v>1082</v>
      </c>
      <c r="I49" s="179" t="s">
        <v>121</v>
      </c>
      <c r="J49" s="179" t="s">
        <v>1215</v>
      </c>
      <c r="K49" s="179" t="s">
        <v>114</v>
      </c>
      <c r="L49" s="179" t="s">
        <v>113</v>
      </c>
      <c r="M49" s="179" t="s">
        <v>113</v>
      </c>
      <c r="N49" s="104" t="s">
        <v>405</v>
      </c>
      <c r="O49" s="104" t="s">
        <v>406</v>
      </c>
      <c r="P49" s="55" t="s">
        <v>407</v>
      </c>
      <c r="Q49" s="55" t="s">
        <v>408</v>
      </c>
    </row>
    <row r="50" spans="1:17" s="202" customFormat="1" ht="16.5" customHeight="1">
      <c r="A50" s="201">
        <v>45</v>
      </c>
      <c r="B50" s="201" t="s">
        <v>109</v>
      </c>
      <c r="C50" s="201" t="s">
        <v>409</v>
      </c>
      <c r="D50" s="106" t="s">
        <v>410</v>
      </c>
      <c r="E50" s="53" t="s">
        <v>411</v>
      </c>
      <c r="F50" s="103" t="s">
        <v>128</v>
      </c>
      <c r="G50" s="103">
        <v>4</v>
      </c>
      <c r="H50" s="179" t="s">
        <v>1057</v>
      </c>
      <c r="I50" s="179" t="s">
        <v>1058</v>
      </c>
      <c r="J50" s="179" t="s">
        <v>1214</v>
      </c>
      <c r="K50" s="179" t="s">
        <v>113</v>
      </c>
      <c r="L50" s="179" t="s">
        <v>113</v>
      </c>
      <c r="M50" s="179" t="s">
        <v>113</v>
      </c>
      <c r="N50" s="104" t="s">
        <v>412</v>
      </c>
      <c r="O50" s="104" t="s">
        <v>413</v>
      </c>
      <c r="P50" s="55" t="s">
        <v>414</v>
      </c>
      <c r="Q50" s="55" t="s">
        <v>415</v>
      </c>
    </row>
    <row r="51" spans="1:17" s="202" customFormat="1" ht="16.5" customHeight="1">
      <c r="A51" s="201">
        <v>46</v>
      </c>
      <c r="B51" s="201" t="s">
        <v>109</v>
      </c>
      <c r="C51" s="201" t="s">
        <v>416</v>
      </c>
      <c r="D51" s="106" t="s">
        <v>417</v>
      </c>
      <c r="E51" s="53" t="s">
        <v>418</v>
      </c>
      <c r="F51" s="103" t="s">
        <v>128</v>
      </c>
      <c r="G51" s="54">
        <v>4</v>
      </c>
      <c r="H51" s="179" t="s">
        <v>1057</v>
      </c>
      <c r="I51" s="179" t="s">
        <v>1058</v>
      </c>
      <c r="J51" s="179" t="s">
        <v>1214</v>
      </c>
      <c r="K51" s="179" t="s">
        <v>113</v>
      </c>
      <c r="L51" s="179" t="s">
        <v>113</v>
      </c>
      <c r="M51" s="179" t="s">
        <v>113</v>
      </c>
      <c r="N51" s="104" t="s">
        <v>419</v>
      </c>
      <c r="O51" s="104" t="s">
        <v>420</v>
      </c>
      <c r="P51" s="55" t="s">
        <v>421</v>
      </c>
      <c r="Q51" s="55" t="s">
        <v>422</v>
      </c>
    </row>
    <row r="52" spans="1:17" s="202" customFormat="1" ht="16.5" customHeight="1">
      <c r="A52" s="201">
        <v>47</v>
      </c>
      <c r="B52" s="201" t="s">
        <v>109</v>
      </c>
      <c r="C52" s="201" t="s">
        <v>423</v>
      </c>
      <c r="D52" s="106" t="s">
        <v>424</v>
      </c>
      <c r="E52" s="53" t="s">
        <v>425</v>
      </c>
      <c r="F52" s="103" t="s">
        <v>111</v>
      </c>
      <c r="G52" s="54">
        <v>3</v>
      </c>
      <c r="H52" s="179" t="s">
        <v>1082</v>
      </c>
      <c r="I52" s="179" t="s">
        <v>121</v>
      </c>
      <c r="J52" s="179" t="s">
        <v>1215</v>
      </c>
      <c r="K52" s="179" t="s">
        <v>114</v>
      </c>
      <c r="L52" s="179" t="s">
        <v>113</v>
      </c>
      <c r="M52" s="179" t="s">
        <v>113</v>
      </c>
      <c r="N52" s="104" t="s">
        <v>427</v>
      </c>
      <c r="O52" s="104" t="s">
        <v>428</v>
      </c>
      <c r="P52" s="55" t="s">
        <v>429</v>
      </c>
      <c r="Q52" s="55" t="s">
        <v>430</v>
      </c>
    </row>
    <row r="53" spans="1:17" s="202" customFormat="1" ht="16.5" customHeight="1">
      <c r="A53" s="201">
        <v>48</v>
      </c>
      <c r="B53" s="201" t="s">
        <v>109</v>
      </c>
      <c r="C53" s="201" t="s">
        <v>431</v>
      </c>
      <c r="D53" s="106" t="s">
        <v>432</v>
      </c>
      <c r="E53" s="53" t="s">
        <v>433</v>
      </c>
      <c r="F53" s="103" t="s">
        <v>111</v>
      </c>
      <c r="G53" s="54">
        <v>3</v>
      </c>
      <c r="H53" s="179" t="s">
        <v>1165</v>
      </c>
      <c r="I53" s="179" t="s">
        <v>1166</v>
      </c>
      <c r="J53" s="179" t="s">
        <v>1223</v>
      </c>
      <c r="K53" s="179" t="s">
        <v>113</v>
      </c>
      <c r="L53" s="179" t="s">
        <v>114</v>
      </c>
      <c r="M53" s="179" t="s">
        <v>113</v>
      </c>
      <c r="N53" s="104" t="s">
        <v>434</v>
      </c>
      <c r="O53" s="104" t="s">
        <v>435</v>
      </c>
      <c r="P53" s="55" t="s">
        <v>436</v>
      </c>
      <c r="Q53" s="55" t="s">
        <v>437</v>
      </c>
    </row>
    <row r="54" spans="1:17" s="202" customFormat="1" ht="16.5" customHeight="1">
      <c r="A54" s="201">
        <v>49</v>
      </c>
      <c r="B54" s="201" t="s">
        <v>109</v>
      </c>
      <c r="C54" s="201" t="s">
        <v>438</v>
      </c>
      <c r="D54" s="106" t="s">
        <v>439</v>
      </c>
      <c r="E54" s="53" t="s">
        <v>440</v>
      </c>
      <c r="F54" s="103" t="s">
        <v>111</v>
      </c>
      <c r="G54" s="54">
        <v>3</v>
      </c>
      <c r="H54" s="179" t="s">
        <v>1063</v>
      </c>
      <c r="I54" s="179" t="s">
        <v>164</v>
      </c>
      <c r="J54" s="179" t="s">
        <v>1217</v>
      </c>
      <c r="K54" s="179" t="s">
        <v>113</v>
      </c>
      <c r="L54" s="179" t="s">
        <v>114</v>
      </c>
      <c r="M54" s="179" t="s">
        <v>113</v>
      </c>
      <c r="N54" s="104" t="s">
        <v>441</v>
      </c>
      <c r="O54" s="104" t="s">
        <v>442</v>
      </c>
      <c r="P54" s="55" t="s">
        <v>443</v>
      </c>
      <c r="Q54" s="55" t="s">
        <v>444</v>
      </c>
    </row>
    <row r="55" spans="1:17" s="202" customFormat="1" ht="16.5" customHeight="1">
      <c r="A55" s="201">
        <v>50</v>
      </c>
      <c r="B55" s="201" t="s">
        <v>109</v>
      </c>
      <c r="C55" s="201" t="s">
        <v>445</v>
      </c>
      <c r="D55" s="106" t="s">
        <v>446</v>
      </c>
      <c r="E55" s="53" t="s">
        <v>447</v>
      </c>
      <c r="F55" s="103" t="s">
        <v>111</v>
      </c>
      <c r="G55" s="54">
        <v>3</v>
      </c>
      <c r="H55" s="179" t="s">
        <v>1082</v>
      </c>
      <c r="I55" s="179" t="s">
        <v>121</v>
      </c>
      <c r="J55" s="179" t="s">
        <v>1215</v>
      </c>
      <c r="K55" s="179" t="s">
        <v>114</v>
      </c>
      <c r="L55" s="179" t="s">
        <v>113</v>
      </c>
      <c r="M55" s="179" t="s">
        <v>113</v>
      </c>
      <c r="N55" s="104" t="s">
        <v>448</v>
      </c>
      <c r="O55" s="104" t="s">
        <v>449</v>
      </c>
      <c r="P55" s="55" t="s">
        <v>450</v>
      </c>
      <c r="Q55" s="55" t="s">
        <v>451</v>
      </c>
    </row>
    <row r="56" spans="1:17" s="202" customFormat="1" ht="16.5" customHeight="1">
      <c r="A56" s="201">
        <v>51</v>
      </c>
      <c r="B56" s="201" t="s">
        <v>109</v>
      </c>
      <c r="C56" s="201" t="s">
        <v>452</v>
      </c>
      <c r="D56" s="106" t="s">
        <v>453</v>
      </c>
      <c r="E56" s="53" t="s">
        <v>454</v>
      </c>
      <c r="F56" s="103" t="s">
        <v>111</v>
      </c>
      <c r="G56" s="103">
        <v>3</v>
      </c>
      <c r="H56" s="179" t="s">
        <v>1057</v>
      </c>
      <c r="I56" s="179" t="s">
        <v>1058</v>
      </c>
      <c r="J56" s="179" t="s">
        <v>1214</v>
      </c>
      <c r="K56" s="179" t="s">
        <v>113</v>
      </c>
      <c r="L56" s="179" t="s">
        <v>113</v>
      </c>
      <c r="M56" s="179" t="s">
        <v>113</v>
      </c>
      <c r="N56" s="104" t="s">
        <v>455</v>
      </c>
      <c r="O56" s="104" t="s">
        <v>456</v>
      </c>
      <c r="P56" s="55" t="s">
        <v>457</v>
      </c>
      <c r="Q56" s="55" t="s">
        <v>458</v>
      </c>
    </row>
    <row r="57" spans="1:17" s="202" customFormat="1" ht="16.5" customHeight="1">
      <c r="A57" s="201">
        <v>52</v>
      </c>
      <c r="B57" s="201" t="s">
        <v>109</v>
      </c>
      <c r="C57" s="201" t="s">
        <v>459</v>
      </c>
      <c r="D57" s="106" t="s">
        <v>460</v>
      </c>
      <c r="E57" s="53" t="s">
        <v>461</v>
      </c>
      <c r="F57" s="103" t="s">
        <v>111</v>
      </c>
      <c r="G57" s="103">
        <v>3</v>
      </c>
      <c r="H57" s="179" t="s">
        <v>1060</v>
      </c>
      <c r="I57" s="179" t="s">
        <v>1224</v>
      </c>
      <c r="J57" s="179" t="s">
        <v>1225</v>
      </c>
      <c r="K57" s="179" t="s">
        <v>114</v>
      </c>
      <c r="L57" s="179" t="s">
        <v>114</v>
      </c>
      <c r="M57" s="179" t="s">
        <v>114</v>
      </c>
      <c r="N57" s="104" t="s">
        <v>462</v>
      </c>
      <c r="O57" s="104" t="s">
        <v>463</v>
      </c>
      <c r="P57" s="55" t="s">
        <v>464</v>
      </c>
      <c r="Q57" s="55" t="s">
        <v>465</v>
      </c>
    </row>
    <row r="58" spans="1:17" s="202" customFormat="1" ht="16.5" customHeight="1">
      <c r="A58" s="201">
        <v>53</v>
      </c>
      <c r="B58" s="201" t="s">
        <v>109</v>
      </c>
      <c r="C58" s="201" t="s">
        <v>466</v>
      </c>
      <c r="D58" s="106" t="s">
        <v>467</v>
      </c>
      <c r="E58" s="53" t="s">
        <v>468</v>
      </c>
      <c r="F58" s="103" t="s">
        <v>128</v>
      </c>
      <c r="G58" s="54">
        <v>4</v>
      </c>
      <c r="H58" s="179" t="s">
        <v>1093</v>
      </c>
      <c r="I58" s="179" t="s">
        <v>1226</v>
      </c>
      <c r="J58" s="179" t="s">
        <v>1227</v>
      </c>
      <c r="K58" s="179" t="s">
        <v>114</v>
      </c>
      <c r="L58" s="179" t="s">
        <v>114</v>
      </c>
      <c r="M58" s="179" t="s">
        <v>114</v>
      </c>
      <c r="N58" s="104" t="s">
        <v>469</v>
      </c>
      <c r="O58" s="104" t="s">
        <v>470</v>
      </c>
      <c r="P58" s="55" t="s">
        <v>471</v>
      </c>
      <c r="Q58" s="55" t="s">
        <v>472</v>
      </c>
    </row>
    <row r="59" spans="1:17" s="202" customFormat="1" ht="16.5" customHeight="1">
      <c r="A59" s="201">
        <v>54</v>
      </c>
      <c r="B59" s="201" t="s">
        <v>109</v>
      </c>
      <c r="C59" s="201" t="s">
        <v>473</v>
      </c>
      <c r="D59" s="106" t="s">
        <v>474</v>
      </c>
      <c r="E59" s="53" t="s">
        <v>475</v>
      </c>
      <c r="F59" s="103" t="s">
        <v>128</v>
      </c>
      <c r="G59" s="103">
        <v>5</v>
      </c>
      <c r="H59" s="179" t="s">
        <v>1093</v>
      </c>
      <c r="I59" s="179" t="s">
        <v>1226</v>
      </c>
      <c r="J59" s="179" t="s">
        <v>1227</v>
      </c>
      <c r="K59" s="179" t="s">
        <v>114</v>
      </c>
      <c r="L59" s="179" t="s">
        <v>114</v>
      </c>
      <c r="M59" s="179" t="s">
        <v>114</v>
      </c>
      <c r="N59" s="104" t="s">
        <v>476</v>
      </c>
      <c r="O59" s="104" t="s">
        <v>477</v>
      </c>
      <c r="P59" s="55" t="s">
        <v>478</v>
      </c>
      <c r="Q59" s="55" t="s">
        <v>479</v>
      </c>
    </row>
    <row r="60" spans="1:17" s="202" customFormat="1" ht="16.5" customHeight="1">
      <c r="A60" s="201">
        <v>55</v>
      </c>
      <c r="B60" s="201" t="s">
        <v>480</v>
      </c>
      <c r="C60" s="201" t="s">
        <v>481</v>
      </c>
      <c r="D60" s="106" t="s">
        <v>482</v>
      </c>
      <c r="E60" s="53" t="s">
        <v>871</v>
      </c>
      <c r="F60" s="103" t="s">
        <v>128</v>
      </c>
      <c r="G60" s="103">
        <v>5</v>
      </c>
      <c r="H60" s="179" t="s">
        <v>1077</v>
      </c>
      <c r="I60" s="179" t="s">
        <v>483</v>
      </c>
      <c r="J60" s="179" t="s">
        <v>1228</v>
      </c>
      <c r="K60" s="179" t="s">
        <v>114</v>
      </c>
      <c r="L60" s="179" t="s">
        <v>114</v>
      </c>
      <c r="M60" s="179" t="s">
        <v>114</v>
      </c>
      <c r="N60" s="104" t="s">
        <v>484</v>
      </c>
      <c r="O60" s="104" t="s">
        <v>886</v>
      </c>
      <c r="P60" s="55" t="s">
        <v>485</v>
      </c>
      <c r="Q60" s="55" t="s">
        <v>486</v>
      </c>
    </row>
    <row r="61" spans="1:17" s="202" customFormat="1" ht="16.5" customHeight="1">
      <c r="A61" s="201">
        <v>56</v>
      </c>
      <c r="B61" s="201" t="s">
        <v>480</v>
      </c>
      <c r="C61" s="201" t="s">
        <v>487</v>
      </c>
      <c r="D61" s="106" t="s">
        <v>488</v>
      </c>
      <c r="E61" s="53" t="s">
        <v>489</v>
      </c>
      <c r="F61" s="103" t="s">
        <v>128</v>
      </c>
      <c r="G61" s="54">
        <v>5</v>
      </c>
      <c r="H61" s="179" t="s">
        <v>1138</v>
      </c>
      <c r="I61" s="179" t="s">
        <v>625</v>
      </c>
      <c r="J61" s="179" t="s">
        <v>1229</v>
      </c>
      <c r="K61" s="179" t="s">
        <v>113</v>
      </c>
      <c r="L61" s="179" t="s">
        <v>114</v>
      </c>
      <c r="M61" s="179" t="s">
        <v>113</v>
      </c>
      <c r="N61" s="104" t="s">
        <v>490</v>
      </c>
      <c r="O61" s="104" t="s">
        <v>491</v>
      </c>
      <c r="P61" s="55" t="s">
        <v>492</v>
      </c>
      <c r="Q61" s="55" t="s">
        <v>493</v>
      </c>
    </row>
    <row r="62" spans="1:17" s="202" customFormat="1" ht="16.5" customHeight="1">
      <c r="A62" s="201">
        <v>57</v>
      </c>
      <c r="B62" s="201" t="s">
        <v>109</v>
      </c>
      <c r="C62" s="201" t="s">
        <v>494</v>
      </c>
      <c r="D62" s="106" t="s">
        <v>495</v>
      </c>
      <c r="E62" s="53" t="s">
        <v>496</v>
      </c>
      <c r="F62" s="103" t="s">
        <v>111</v>
      </c>
      <c r="G62" s="103">
        <v>3</v>
      </c>
      <c r="H62" s="179" t="s">
        <v>1150</v>
      </c>
      <c r="I62" s="179" t="s">
        <v>200</v>
      </c>
      <c r="J62" s="179" t="s">
        <v>1218</v>
      </c>
      <c r="K62" s="179" t="s">
        <v>114</v>
      </c>
      <c r="L62" s="179" t="s">
        <v>114</v>
      </c>
      <c r="M62" s="179" t="s">
        <v>114</v>
      </c>
      <c r="N62" s="104" t="s">
        <v>497</v>
      </c>
      <c r="O62" s="104" t="s">
        <v>498</v>
      </c>
      <c r="P62" s="55" t="s">
        <v>499</v>
      </c>
      <c r="Q62" s="55" t="s">
        <v>500</v>
      </c>
    </row>
    <row r="63" spans="1:17" s="202" customFormat="1" ht="16.5" customHeight="1">
      <c r="A63" s="201">
        <v>58</v>
      </c>
      <c r="B63" s="201" t="s">
        <v>109</v>
      </c>
      <c r="C63" s="201" t="s">
        <v>501</v>
      </c>
      <c r="D63" s="106" t="s">
        <v>502</v>
      </c>
      <c r="E63" s="53" t="s">
        <v>503</v>
      </c>
      <c r="F63" s="103" t="s">
        <v>128</v>
      </c>
      <c r="G63" s="54">
        <v>4</v>
      </c>
      <c r="H63" s="179" t="s">
        <v>996</v>
      </c>
      <c r="I63" s="179" t="s">
        <v>997</v>
      </c>
      <c r="J63" s="179" t="s">
        <v>1230</v>
      </c>
      <c r="K63" s="179" t="s">
        <v>113</v>
      </c>
      <c r="L63" s="179" t="s">
        <v>113</v>
      </c>
      <c r="M63" s="179" t="s">
        <v>113</v>
      </c>
      <c r="N63" s="104" t="s">
        <v>504</v>
      </c>
      <c r="O63" s="104" t="s">
        <v>505</v>
      </c>
      <c r="P63" s="55" t="s">
        <v>506</v>
      </c>
      <c r="Q63" s="55" t="s">
        <v>883</v>
      </c>
    </row>
    <row r="64" spans="1:17" s="202" customFormat="1" ht="16.5" customHeight="1">
      <c r="A64" s="201">
        <v>59</v>
      </c>
      <c r="B64" s="201" t="s">
        <v>326</v>
      </c>
      <c r="C64" s="201" t="s">
        <v>507</v>
      </c>
      <c r="D64" s="106" t="s">
        <v>508</v>
      </c>
      <c r="E64" s="53" t="s">
        <v>509</v>
      </c>
      <c r="F64" s="103" t="s">
        <v>128</v>
      </c>
      <c r="G64" s="103">
        <v>4</v>
      </c>
      <c r="H64" s="179" t="s">
        <v>1165</v>
      </c>
      <c r="I64" s="179" t="s">
        <v>1166</v>
      </c>
      <c r="J64" s="179" t="s">
        <v>1223</v>
      </c>
      <c r="K64" s="179" t="s">
        <v>113</v>
      </c>
      <c r="L64" s="179" t="s">
        <v>114</v>
      </c>
      <c r="M64" s="179" t="s">
        <v>113</v>
      </c>
      <c r="N64" s="104" t="s">
        <v>510</v>
      </c>
      <c r="O64" s="104" t="s">
        <v>511</v>
      </c>
      <c r="P64" s="55" t="s">
        <v>512</v>
      </c>
      <c r="Q64" s="55" t="s">
        <v>513</v>
      </c>
    </row>
    <row r="65" spans="1:17" s="202" customFormat="1" ht="16.5" customHeight="1">
      <c r="A65" s="201">
        <v>60</v>
      </c>
      <c r="B65" s="201" t="s">
        <v>326</v>
      </c>
      <c r="C65" s="201" t="s">
        <v>514</v>
      </c>
      <c r="D65" s="106" t="s">
        <v>515</v>
      </c>
      <c r="E65" s="53" t="s">
        <v>516</v>
      </c>
      <c r="F65" s="103" t="s">
        <v>128</v>
      </c>
      <c r="G65" s="103">
        <v>4</v>
      </c>
      <c r="H65" s="179" t="s">
        <v>1158</v>
      </c>
      <c r="I65" s="179" t="s">
        <v>112</v>
      </c>
      <c r="J65" s="179" t="s">
        <v>1216</v>
      </c>
      <c r="K65" s="179" t="s">
        <v>113</v>
      </c>
      <c r="L65" s="179" t="s">
        <v>114</v>
      </c>
      <c r="M65" s="179" t="s">
        <v>113</v>
      </c>
      <c r="N65" s="104" t="s">
        <v>517</v>
      </c>
      <c r="O65" s="104" t="s">
        <v>518</v>
      </c>
      <c r="P65" s="55" t="s">
        <v>519</v>
      </c>
      <c r="Q65" s="55" t="s">
        <v>520</v>
      </c>
    </row>
    <row r="66" spans="1:17" s="202" customFormat="1" ht="16.5" customHeight="1">
      <c r="A66" s="201">
        <v>61</v>
      </c>
      <c r="B66" s="201" t="s">
        <v>109</v>
      </c>
      <c r="C66" s="201" t="s">
        <v>521</v>
      </c>
      <c r="D66" s="106" t="s">
        <v>522</v>
      </c>
      <c r="E66" s="53" t="s">
        <v>523</v>
      </c>
      <c r="F66" s="103" t="s">
        <v>111</v>
      </c>
      <c r="G66" s="103">
        <v>3</v>
      </c>
      <c r="H66" s="179" t="s">
        <v>1057</v>
      </c>
      <c r="I66" s="179" t="s">
        <v>1058</v>
      </c>
      <c r="J66" s="179" t="s">
        <v>1214</v>
      </c>
      <c r="K66" s="179" t="s">
        <v>113</v>
      </c>
      <c r="L66" s="179" t="s">
        <v>113</v>
      </c>
      <c r="M66" s="179" t="s">
        <v>113</v>
      </c>
      <c r="N66" s="104" t="s">
        <v>524</v>
      </c>
      <c r="O66" s="104" t="s">
        <v>525</v>
      </c>
      <c r="P66" s="55" t="s">
        <v>526</v>
      </c>
      <c r="Q66" s="55" t="s">
        <v>527</v>
      </c>
    </row>
    <row r="67" spans="1:17" s="202" customFormat="1" ht="16.5" customHeight="1">
      <c r="A67" s="201">
        <v>62</v>
      </c>
      <c r="B67" s="201" t="s">
        <v>109</v>
      </c>
      <c r="C67" s="201" t="s">
        <v>528</v>
      </c>
      <c r="D67" s="106" t="s">
        <v>529</v>
      </c>
      <c r="E67" s="53" t="s">
        <v>530</v>
      </c>
      <c r="F67" s="103" t="s">
        <v>128</v>
      </c>
      <c r="G67" s="54">
        <v>5</v>
      </c>
      <c r="H67" s="179" t="s">
        <v>1138</v>
      </c>
      <c r="I67" s="179" t="s">
        <v>625</v>
      </c>
      <c r="J67" s="179" t="s">
        <v>1229</v>
      </c>
      <c r="K67" s="179" t="s">
        <v>113</v>
      </c>
      <c r="L67" s="179" t="s">
        <v>114</v>
      </c>
      <c r="M67" s="179" t="s">
        <v>113</v>
      </c>
      <c r="N67" s="104" t="s">
        <v>531</v>
      </c>
      <c r="O67" s="104" t="s">
        <v>532</v>
      </c>
      <c r="P67" s="55" t="s">
        <v>533</v>
      </c>
      <c r="Q67" s="55" t="s">
        <v>534</v>
      </c>
    </row>
    <row r="68" spans="1:17" s="202" customFormat="1" ht="16.5" customHeight="1">
      <c r="A68" s="201">
        <v>63</v>
      </c>
      <c r="B68" s="201" t="s">
        <v>109</v>
      </c>
      <c r="C68" s="201" t="s">
        <v>535</v>
      </c>
      <c r="D68" s="106" t="s">
        <v>536</v>
      </c>
      <c r="E68" s="53" t="s">
        <v>537</v>
      </c>
      <c r="F68" s="54" t="s">
        <v>185</v>
      </c>
      <c r="G68" s="54">
        <v>2</v>
      </c>
      <c r="H68" s="179" t="s">
        <v>1212</v>
      </c>
      <c r="I68" s="179" t="s">
        <v>1135</v>
      </c>
      <c r="J68" s="179" t="s">
        <v>1220</v>
      </c>
      <c r="K68" s="179" t="s">
        <v>114</v>
      </c>
      <c r="L68" s="179" t="s">
        <v>426</v>
      </c>
      <c r="M68" s="179" t="s">
        <v>114</v>
      </c>
      <c r="N68" s="104" t="s">
        <v>538</v>
      </c>
      <c r="O68" s="104" t="s">
        <v>539</v>
      </c>
      <c r="P68" s="55" t="s">
        <v>540</v>
      </c>
      <c r="Q68" s="55" t="s">
        <v>541</v>
      </c>
    </row>
    <row r="69" spans="1:17" s="202" customFormat="1" ht="16.5" customHeight="1">
      <c r="A69" s="201">
        <v>64</v>
      </c>
      <c r="B69" s="201" t="s">
        <v>109</v>
      </c>
      <c r="C69" s="201" t="s">
        <v>542</v>
      </c>
      <c r="D69" s="106" t="s">
        <v>543</v>
      </c>
      <c r="E69" s="53" t="s">
        <v>544</v>
      </c>
      <c r="F69" s="103" t="s">
        <v>128</v>
      </c>
      <c r="G69" s="54">
        <v>5</v>
      </c>
      <c r="H69" s="179" t="s">
        <v>1109</v>
      </c>
      <c r="I69" s="179" t="s">
        <v>1110</v>
      </c>
      <c r="J69" s="179" t="s">
        <v>1221</v>
      </c>
      <c r="K69" s="179" t="s">
        <v>113</v>
      </c>
      <c r="L69" s="179" t="s">
        <v>113</v>
      </c>
      <c r="M69" s="179" t="s">
        <v>113</v>
      </c>
      <c r="N69" s="104" t="s">
        <v>545</v>
      </c>
      <c r="O69" s="104" t="s">
        <v>546</v>
      </c>
      <c r="P69" s="55" t="s">
        <v>547</v>
      </c>
      <c r="Q69" s="55" t="s">
        <v>548</v>
      </c>
    </row>
    <row r="70" spans="1:17" s="202" customFormat="1" ht="16.5" customHeight="1">
      <c r="A70" s="201">
        <v>65</v>
      </c>
      <c r="B70" s="201" t="s">
        <v>109</v>
      </c>
      <c r="C70" s="201" t="s">
        <v>549</v>
      </c>
      <c r="D70" s="106" t="s">
        <v>550</v>
      </c>
      <c r="E70" s="53" t="s">
        <v>551</v>
      </c>
      <c r="F70" s="103" t="s">
        <v>111</v>
      </c>
      <c r="G70" s="103">
        <v>3</v>
      </c>
      <c r="H70" s="179" t="s">
        <v>1057</v>
      </c>
      <c r="I70" s="179" t="s">
        <v>1058</v>
      </c>
      <c r="J70" s="179" t="s">
        <v>1214</v>
      </c>
      <c r="K70" s="179" t="s">
        <v>113</v>
      </c>
      <c r="L70" s="179" t="s">
        <v>113</v>
      </c>
      <c r="M70" s="179" t="s">
        <v>113</v>
      </c>
      <c r="N70" s="104" t="s">
        <v>552</v>
      </c>
      <c r="O70" s="104" t="s">
        <v>553</v>
      </c>
      <c r="P70" s="55" t="s">
        <v>554</v>
      </c>
      <c r="Q70" s="55"/>
    </row>
    <row r="71" spans="1:17" s="202" customFormat="1" ht="16.5" customHeight="1">
      <c r="A71" s="201">
        <v>66</v>
      </c>
      <c r="B71" s="201" t="s">
        <v>109</v>
      </c>
      <c r="C71" s="201" t="s">
        <v>555</v>
      </c>
      <c r="D71" s="106" t="s">
        <v>556</v>
      </c>
      <c r="E71" s="53" t="s">
        <v>557</v>
      </c>
      <c r="F71" s="54" t="s">
        <v>185</v>
      </c>
      <c r="G71" s="103">
        <v>2</v>
      </c>
      <c r="H71" s="179" t="s">
        <v>1068</v>
      </c>
      <c r="I71" s="179" t="s">
        <v>1231</v>
      </c>
      <c r="J71" s="179" t="s">
        <v>1232</v>
      </c>
      <c r="K71" s="179" t="s">
        <v>114</v>
      </c>
      <c r="L71" s="179" t="s">
        <v>114</v>
      </c>
      <c r="M71" s="179" t="s">
        <v>114</v>
      </c>
      <c r="N71" s="104" t="s">
        <v>558</v>
      </c>
      <c r="O71" s="104" t="s">
        <v>559</v>
      </c>
      <c r="P71" s="55" t="s">
        <v>560</v>
      </c>
      <c r="Q71" s="55"/>
    </row>
    <row r="72" spans="1:17" s="202" customFormat="1" ht="16.5" customHeight="1">
      <c r="A72" s="201">
        <v>67</v>
      </c>
      <c r="B72" s="201" t="s">
        <v>109</v>
      </c>
      <c r="C72" s="201" t="s">
        <v>561</v>
      </c>
      <c r="D72" s="106" t="s">
        <v>562</v>
      </c>
      <c r="E72" s="53" t="s">
        <v>563</v>
      </c>
      <c r="F72" s="103" t="s">
        <v>111</v>
      </c>
      <c r="G72" s="54">
        <v>3</v>
      </c>
      <c r="H72" s="179" t="s">
        <v>1109</v>
      </c>
      <c r="I72" s="179" t="s">
        <v>1110</v>
      </c>
      <c r="J72" s="179" t="s">
        <v>1221</v>
      </c>
      <c r="K72" s="179" t="s">
        <v>113</v>
      </c>
      <c r="L72" s="179" t="s">
        <v>113</v>
      </c>
      <c r="M72" s="179" t="s">
        <v>113</v>
      </c>
      <c r="N72" s="104" t="s">
        <v>564</v>
      </c>
      <c r="O72" s="104" t="s">
        <v>565</v>
      </c>
      <c r="P72" s="55" t="s">
        <v>560</v>
      </c>
      <c r="Q72" s="55"/>
    </row>
    <row r="73" spans="1:17" s="202" customFormat="1" ht="16.5" customHeight="1">
      <c r="A73" s="201">
        <v>68</v>
      </c>
      <c r="B73" s="201" t="s">
        <v>109</v>
      </c>
      <c r="C73" s="201" t="s">
        <v>566</v>
      </c>
      <c r="D73" s="106" t="s">
        <v>567</v>
      </c>
      <c r="E73" s="53" t="s">
        <v>568</v>
      </c>
      <c r="F73" s="103" t="s">
        <v>128</v>
      </c>
      <c r="G73" s="54">
        <v>4</v>
      </c>
      <c r="H73" s="179" t="s">
        <v>1074</v>
      </c>
      <c r="I73" s="179" t="s">
        <v>1075</v>
      </c>
      <c r="J73" s="179" t="s">
        <v>1233</v>
      </c>
      <c r="K73" s="179" t="s">
        <v>113</v>
      </c>
      <c r="L73" s="179" t="s">
        <v>114</v>
      </c>
      <c r="M73" s="179" t="s">
        <v>113</v>
      </c>
      <c r="N73" s="104" t="s">
        <v>569</v>
      </c>
      <c r="O73" s="104" t="s">
        <v>570</v>
      </c>
      <c r="P73" s="55" t="s">
        <v>571</v>
      </c>
      <c r="Q73" s="55" t="s">
        <v>572</v>
      </c>
    </row>
    <row r="74" spans="1:17" s="202" customFormat="1" ht="16.5" customHeight="1">
      <c r="A74" s="201">
        <v>69</v>
      </c>
      <c r="B74" s="201" t="s">
        <v>109</v>
      </c>
      <c r="C74" s="201" t="s">
        <v>573</v>
      </c>
      <c r="D74" s="106" t="s">
        <v>866</v>
      </c>
      <c r="E74" s="53" t="s">
        <v>872</v>
      </c>
      <c r="F74" s="103" t="s">
        <v>111</v>
      </c>
      <c r="G74" s="54">
        <v>3</v>
      </c>
      <c r="H74" s="179" t="s">
        <v>1082</v>
      </c>
      <c r="I74" s="179" t="s">
        <v>121</v>
      </c>
      <c r="J74" s="179" t="s">
        <v>1215</v>
      </c>
      <c r="K74" s="179" t="s">
        <v>114</v>
      </c>
      <c r="L74" s="179" t="s">
        <v>113</v>
      </c>
      <c r="M74" s="179" t="s">
        <v>113</v>
      </c>
      <c r="N74" s="104" t="s">
        <v>898</v>
      </c>
      <c r="O74" s="104" t="s">
        <v>879</v>
      </c>
      <c r="P74" s="55" t="s">
        <v>899</v>
      </c>
      <c r="Q74" s="55" t="s">
        <v>575</v>
      </c>
    </row>
    <row r="75" spans="1:17" s="202" customFormat="1" ht="16.5" customHeight="1">
      <c r="A75" s="201">
        <v>70</v>
      </c>
      <c r="B75" s="201" t="s">
        <v>109</v>
      </c>
      <c r="C75" s="201" t="s">
        <v>576</v>
      </c>
      <c r="D75" s="106" t="s">
        <v>577</v>
      </c>
      <c r="E75" s="53" t="s">
        <v>578</v>
      </c>
      <c r="F75" s="103" t="s">
        <v>111</v>
      </c>
      <c r="G75" s="103">
        <v>3</v>
      </c>
      <c r="H75" s="179" t="s">
        <v>1150</v>
      </c>
      <c r="I75" s="179" t="s">
        <v>200</v>
      </c>
      <c r="J75" s="179" t="s">
        <v>1218</v>
      </c>
      <c r="K75" s="179" t="s">
        <v>114</v>
      </c>
      <c r="L75" s="179" t="s">
        <v>114</v>
      </c>
      <c r="M75" s="179" t="s">
        <v>114</v>
      </c>
      <c r="N75" s="104" t="s">
        <v>880</v>
      </c>
      <c r="O75" s="104" t="s">
        <v>881</v>
      </c>
      <c r="P75" s="55" t="s">
        <v>579</v>
      </c>
      <c r="Q75" s="55" t="s">
        <v>580</v>
      </c>
    </row>
    <row r="76" spans="1:17" s="202" customFormat="1" ht="16.5" customHeight="1">
      <c r="A76" s="201">
        <v>71</v>
      </c>
      <c r="B76" s="201" t="s">
        <v>109</v>
      </c>
      <c r="C76" s="201" t="s">
        <v>581</v>
      </c>
      <c r="D76" s="106" t="s">
        <v>582</v>
      </c>
      <c r="E76" s="53" t="s">
        <v>583</v>
      </c>
      <c r="F76" s="103" t="s">
        <v>128</v>
      </c>
      <c r="G76" s="103">
        <v>4</v>
      </c>
      <c r="H76" s="179" t="s">
        <v>1063</v>
      </c>
      <c r="I76" s="179" t="s">
        <v>164</v>
      </c>
      <c r="J76" s="179" t="s">
        <v>1217</v>
      </c>
      <c r="K76" s="179" t="s">
        <v>113</v>
      </c>
      <c r="L76" s="179" t="s">
        <v>114</v>
      </c>
      <c r="M76" s="179" t="s">
        <v>113</v>
      </c>
      <c r="N76" s="104" t="s">
        <v>584</v>
      </c>
      <c r="O76" s="104" t="s">
        <v>585</v>
      </c>
      <c r="P76" s="55" t="s">
        <v>586</v>
      </c>
      <c r="Q76" s="55" t="s">
        <v>587</v>
      </c>
    </row>
    <row r="77" spans="1:17" s="202" customFormat="1" ht="16.5" customHeight="1">
      <c r="A77" s="201">
        <v>72</v>
      </c>
      <c r="B77" s="201" t="s">
        <v>326</v>
      </c>
      <c r="C77" s="201" t="s">
        <v>588</v>
      </c>
      <c r="D77" s="106" t="s">
        <v>589</v>
      </c>
      <c r="E77" s="53" t="s">
        <v>590</v>
      </c>
      <c r="F77" s="103" t="s">
        <v>111</v>
      </c>
      <c r="G77" s="54">
        <v>3</v>
      </c>
      <c r="H77" s="179" t="s">
        <v>996</v>
      </c>
      <c r="I77" s="179" t="s">
        <v>997</v>
      </c>
      <c r="J77" s="179" t="s">
        <v>1230</v>
      </c>
      <c r="K77" s="179" t="s">
        <v>113</v>
      </c>
      <c r="L77" s="179" t="s">
        <v>113</v>
      </c>
      <c r="M77" s="179" t="s">
        <v>113</v>
      </c>
      <c r="N77" s="104" t="s">
        <v>591</v>
      </c>
      <c r="O77" s="104" t="s">
        <v>592</v>
      </c>
      <c r="P77" s="55" t="s">
        <v>593</v>
      </c>
      <c r="Q77" s="55" t="s">
        <v>594</v>
      </c>
    </row>
    <row r="78" spans="1:17" s="202" customFormat="1" ht="16.5" customHeight="1">
      <c r="A78" s="201">
        <v>73</v>
      </c>
      <c r="B78" s="201" t="s">
        <v>109</v>
      </c>
      <c r="C78" s="201" t="s">
        <v>595</v>
      </c>
      <c r="D78" s="106" t="s">
        <v>596</v>
      </c>
      <c r="E78" s="53" t="s">
        <v>597</v>
      </c>
      <c r="F78" s="103" t="s">
        <v>111</v>
      </c>
      <c r="G78" s="54">
        <v>3</v>
      </c>
      <c r="H78" s="179" t="s">
        <v>1165</v>
      </c>
      <c r="I78" s="179" t="s">
        <v>1166</v>
      </c>
      <c r="J78" s="179" t="s">
        <v>1223</v>
      </c>
      <c r="K78" s="179" t="s">
        <v>113</v>
      </c>
      <c r="L78" s="179" t="s">
        <v>114</v>
      </c>
      <c r="M78" s="179" t="s">
        <v>113</v>
      </c>
      <c r="N78" s="104" t="s">
        <v>598</v>
      </c>
      <c r="O78" s="104" t="s">
        <v>599</v>
      </c>
      <c r="P78" s="55" t="s">
        <v>600</v>
      </c>
      <c r="Q78" s="55" t="s">
        <v>601</v>
      </c>
    </row>
    <row r="79" spans="1:17" s="202" customFormat="1" ht="16.5" customHeight="1">
      <c r="A79" s="201">
        <v>74</v>
      </c>
      <c r="B79" s="201" t="s">
        <v>109</v>
      </c>
      <c r="C79" s="201" t="s">
        <v>602</v>
      </c>
      <c r="D79" s="106" t="s">
        <v>603</v>
      </c>
      <c r="E79" s="53" t="s">
        <v>604</v>
      </c>
      <c r="F79" s="103" t="s">
        <v>111</v>
      </c>
      <c r="G79" s="103">
        <v>3</v>
      </c>
      <c r="H79" s="179" t="s">
        <v>1057</v>
      </c>
      <c r="I79" s="179" t="s">
        <v>1058</v>
      </c>
      <c r="J79" s="179" t="s">
        <v>1214</v>
      </c>
      <c r="K79" s="179" t="s">
        <v>113</v>
      </c>
      <c r="L79" s="179" t="s">
        <v>113</v>
      </c>
      <c r="M79" s="179" t="s">
        <v>113</v>
      </c>
      <c r="N79" s="104" t="s">
        <v>605</v>
      </c>
      <c r="O79" s="104" t="s">
        <v>606</v>
      </c>
      <c r="P79" s="55" t="s">
        <v>607</v>
      </c>
      <c r="Q79" s="55" t="s">
        <v>608</v>
      </c>
    </row>
    <row r="80" spans="1:17" s="202" customFormat="1" ht="16.5" customHeight="1">
      <c r="A80" s="201">
        <v>75</v>
      </c>
      <c r="B80" s="201" t="s">
        <v>109</v>
      </c>
      <c r="C80" s="201" t="s">
        <v>609</v>
      </c>
      <c r="D80" s="106" t="s">
        <v>610</v>
      </c>
      <c r="E80" s="53" t="s">
        <v>611</v>
      </c>
      <c r="F80" s="103" t="s">
        <v>111</v>
      </c>
      <c r="G80" s="54">
        <v>3</v>
      </c>
      <c r="H80" s="179" t="s">
        <v>1082</v>
      </c>
      <c r="I80" s="179" t="s">
        <v>121</v>
      </c>
      <c r="J80" s="179" t="s">
        <v>1215</v>
      </c>
      <c r="K80" s="179" t="s">
        <v>114</v>
      </c>
      <c r="L80" s="179" t="s">
        <v>113</v>
      </c>
      <c r="M80" s="179" t="s">
        <v>113</v>
      </c>
      <c r="N80" s="104" t="s">
        <v>612</v>
      </c>
      <c r="O80" s="104" t="s">
        <v>613</v>
      </c>
      <c r="P80" s="55" t="s">
        <v>614</v>
      </c>
      <c r="Q80" s="55"/>
    </row>
    <row r="81" spans="1:17" s="202" customFormat="1" ht="16.5" customHeight="1">
      <c r="A81" s="201">
        <v>76</v>
      </c>
      <c r="B81" s="201" t="s">
        <v>109</v>
      </c>
      <c r="C81" s="201" t="s">
        <v>615</v>
      </c>
      <c r="D81" s="106" t="s">
        <v>616</v>
      </c>
      <c r="E81" s="53" t="s">
        <v>617</v>
      </c>
      <c r="F81" s="54" t="s">
        <v>185</v>
      </c>
      <c r="G81" s="54">
        <v>1</v>
      </c>
      <c r="H81" s="179" t="s">
        <v>1003</v>
      </c>
      <c r="I81" s="179" t="s">
        <v>1004</v>
      </c>
      <c r="J81" s="179" t="s">
        <v>1234</v>
      </c>
      <c r="K81" s="179" t="s">
        <v>114</v>
      </c>
      <c r="L81" s="179" t="s">
        <v>114</v>
      </c>
      <c r="M81" s="179" t="s">
        <v>114</v>
      </c>
      <c r="N81" s="104" t="s">
        <v>618</v>
      </c>
      <c r="O81" s="104" t="s">
        <v>619</v>
      </c>
      <c r="P81" s="55" t="s">
        <v>620</v>
      </c>
      <c r="Q81" s="55" t="s">
        <v>621</v>
      </c>
    </row>
    <row r="82" spans="1:17" s="202" customFormat="1" ht="16.5" customHeight="1">
      <c r="A82" s="201">
        <v>77</v>
      </c>
      <c r="B82" s="201" t="s">
        <v>109</v>
      </c>
      <c r="C82" s="201" t="s">
        <v>622</v>
      </c>
      <c r="D82" s="106" t="s">
        <v>623</v>
      </c>
      <c r="E82" s="53" t="s">
        <v>624</v>
      </c>
      <c r="F82" s="54" t="s">
        <v>185</v>
      </c>
      <c r="G82" s="54">
        <v>1</v>
      </c>
      <c r="H82" s="179" t="s">
        <v>1082</v>
      </c>
      <c r="I82" s="179" t="s">
        <v>121</v>
      </c>
      <c r="J82" s="179" t="s">
        <v>1215</v>
      </c>
      <c r="K82" s="179" t="s">
        <v>114</v>
      </c>
      <c r="L82" s="179" t="s">
        <v>113</v>
      </c>
      <c r="M82" s="179" t="s">
        <v>113</v>
      </c>
      <c r="N82" s="104" t="s">
        <v>882</v>
      </c>
      <c r="O82" s="104" t="s">
        <v>626</v>
      </c>
      <c r="P82" s="55" t="s">
        <v>627</v>
      </c>
      <c r="Q82" s="55"/>
    </row>
    <row r="83" spans="1:17" s="202" customFormat="1" ht="16.5" customHeight="1">
      <c r="A83" s="201">
        <v>78</v>
      </c>
      <c r="B83" s="201" t="s">
        <v>109</v>
      </c>
      <c r="C83" s="201" t="s">
        <v>628</v>
      </c>
      <c r="D83" s="106" t="s">
        <v>629</v>
      </c>
      <c r="E83" s="53" t="s">
        <v>630</v>
      </c>
      <c r="F83" s="54" t="s">
        <v>185</v>
      </c>
      <c r="G83" s="103">
        <v>1</v>
      </c>
      <c r="H83" s="179" t="s">
        <v>1150</v>
      </c>
      <c r="I83" s="179" t="s">
        <v>200</v>
      </c>
      <c r="J83" s="179" t="s">
        <v>1218</v>
      </c>
      <c r="K83" s="179" t="s">
        <v>114</v>
      </c>
      <c r="L83" s="179" t="s">
        <v>114</v>
      </c>
      <c r="M83" s="179" t="s">
        <v>114</v>
      </c>
      <c r="N83" s="104" t="s">
        <v>631</v>
      </c>
      <c r="O83" s="104" t="s">
        <v>632</v>
      </c>
      <c r="P83" s="55" t="s">
        <v>633</v>
      </c>
      <c r="Q83" s="55" t="s">
        <v>634</v>
      </c>
    </row>
    <row r="84" spans="1:17" s="202" customFormat="1" ht="16.5" customHeight="1">
      <c r="A84" s="201">
        <v>79</v>
      </c>
      <c r="B84" s="201" t="s">
        <v>109</v>
      </c>
      <c r="C84" s="201" t="s">
        <v>635</v>
      </c>
      <c r="D84" s="106" t="s">
        <v>636</v>
      </c>
      <c r="E84" s="53" t="s">
        <v>637</v>
      </c>
      <c r="F84" s="54" t="s">
        <v>185</v>
      </c>
      <c r="G84" s="54">
        <v>1</v>
      </c>
      <c r="H84" s="179" t="s">
        <v>1150</v>
      </c>
      <c r="I84" s="179" t="s">
        <v>200</v>
      </c>
      <c r="J84" s="179" t="s">
        <v>1218</v>
      </c>
      <c r="K84" s="179" t="s">
        <v>114</v>
      </c>
      <c r="L84" s="179" t="s">
        <v>114</v>
      </c>
      <c r="M84" s="179" t="s">
        <v>114</v>
      </c>
      <c r="N84" s="104" t="s">
        <v>638</v>
      </c>
      <c r="O84" s="104" t="s">
        <v>639</v>
      </c>
      <c r="P84" s="55" t="s">
        <v>640</v>
      </c>
      <c r="Q84" s="55" t="s">
        <v>634</v>
      </c>
    </row>
    <row r="85" spans="1:17" s="202" customFormat="1" ht="16.5" customHeight="1">
      <c r="A85" s="201">
        <v>80</v>
      </c>
      <c r="B85" s="201" t="s">
        <v>109</v>
      </c>
      <c r="C85" s="201" t="s">
        <v>641</v>
      </c>
      <c r="D85" s="106" t="s">
        <v>642</v>
      </c>
      <c r="E85" s="53" t="s">
        <v>643</v>
      </c>
      <c r="F85" s="103" t="s">
        <v>111</v>
      </c>
      <c r="G85" s="54">
        <v>3</v>
      </c>
      <c r="H85" s="179" t="s">
        <v>1082</v>
      </c>
      <c r="I85" s="179" t="s">
        <v>121</v>
      </c>
      <c r="J85" s="179" t="s">
        <v>1215</v>
      </c>
      <c r="K85" s="179" t="s">
        <v>114</v>
      </c>
      <c r="L85" s="179" t="s">
        <v>113</v>
      </c>
      <c r="M85" s="179" t="s">
        <v>113</v>
      </c>
      <c r="N85" s="104" t="s">
        <v>644</v>
      </c>
      <c r="O85" s="104" t="s">
        <v>645</v>
      </c>
      <c r="P85" s="55" t="s">
        <v>646</v>
      </c>
      <c r="Q85" s="55"/>
    </row>
    <row r="86" spans="1:17" s="202" customFormat="1" ht="16.5" customHeight="1">
      <c r="A86" s="201">
        <v>81</v>
      </c>
      <c r="B86" s="201" t="s">
        <v>109</v>
      </c>
      <c r="C86" s="201" t="s">
        <v>647</v>
      </c>
      <c r="D86" s="106" t="s">
        <v>648</v>
      </c>
      <c r="E86" s="53" t="s">
        <v>649</v>
      </c>
      <c r="F86" s="103" t="s">
        <v>111</v>
      </c>
      <c r="G86" s="103">
        <v>3</v>
      </c>
      <c r="H86" s="179" t="s">
        <v>1057</v>
      </c>
      <c r="I86" s="179" t="s">
        <v>1058</v>
      </c>
      <c r="J86" s="179" t="s">
        <v>1214</v>
      </c>
      <c r="K86" s="179" t="s">
        <v>113</v>
      </c>
      <c r="L86" s="179" t="s">
        <v>113</v>
      </c>
      <c r="M86" s="179" t="s">
        <v>113</v>
      </c>
      <c r="N86" s="104" t="s">
        <v>650</v>
      </c>
      <c r="O86" s="104" t="s">
        <v>651</v>
      </c>
      <c r="P86" s="55" t="s">
        <v>652</v>
      </c>
      <c r="Q86" s="55" t="s">
        <v>653</v>
      </c>
    </row>
    <row r="87" spans="1:17" s="202" customFormat="1" ht="16.5" customHeight="1">
      <c r="A87" s="201">
        <v>82</v>
      </c>
      <c r="B87" s="201" t="s">
        <v>109</v>
      </c>
      <c r="C87" s="201" t="s">
        <v>654</v>
      </c>
      <c r="D87" s="106" t="s">
        <v>655</v>
      </c>
      <c r="E87" s="53" t="s">
        <v>656</v>
      </c>
      <c r="F87" s="103" t="s">
        <v>111</v>
      </c>
      <c r="G87" s="103">
        <v>3</v>
      </c>
      <c r="H87" s="179" t="s">
        <v>1082</v>
      </c>
      <c r="I87" s="179" t="s">
        <v>121</v>
      </c>
      <c r="J87" s="179" t="s">
        <v>1215</v>
      </c>
      <c r="K87" s="179" t="s">
        <v>114</v>
      </c>
      <c r="L87" s="179" t="s">
        <v>113</v>
      </c>
      <c r="M87" s="179" t="s">
        <v>113</v>
      </c>
      <c r="N87" s="104" t="s">
        <v>657</v>
      </c>
      <c r="O87" s="104" t="s">
        <v>658</v>
      </c>
      <c r="P87" s="55" t="s">
        <v>659</v>
      </c>
      <c r="Q87" s="55"/>
    </row>
    <row r="88" spans="1:17" s="202" customFormat="1" ht="16.5" customHeight="1">
      <c r="A88" s="201">
        <v>83</v>
      </c>
      <c r="B88" s="201" t="s">
        <v>109</v>
      </c>
      <c r="C88" s="201" t="s">
        <v>660</v>
      </c>
      <c r="D88" s="106" t="s">
        <v>661</v>
      </c>
      <c r="E88" s="53" t="s">
        <v>873</v>
      </c>
      <c r="F88" s="54" t="s">
        <v>185</v>
      </c>
      <c r="G88" s="54">
        <v>2</v>
      </c>
      <c r="H88" s="179" t="s">
        <v>1060</v>
      </c>
      <c r="I88" s="179" t="s">
        <v>1224</v>
      </c>
      <c r="J88" s="179" t="s">
        <v>1225</v>
      </c>
      <c r="K88" s="179" t="s">
        <v>114</v>
      </c>
      <c r="L88" s="179" t="s">
        <v>114</v>
      </c>
      <c r="M88" s="179" t="s">
        <v>114</v>
      </c>
      <c r="N88" s="104" t="s">
        <v>662</v>
      </c>
      <c r="O88" s="104" t="s">
        <v>663</v>
      </c>
      <c r="P88" s="55" t="s">
        <v>664</v>
      </c>
      <c r="Q88" s="55"/>
    </row>
  </sheetData>
  <autoFilter ref="A5:Q88" xr:uid="{00000000-0009-0000-0000-000001000000}"/>
  <mergeCells count="4">
    <mergeCell ref="N4:Q4"/>
    <mergeCell ref="A4:A5"/>
    <mergeCell ref="B4:G4"/>
    <mergeCell ref="H4:M4"/>
  </mergeCells>
  <phoneticPr fontId="1" type="noConversion"/>
  <printOptions horizontalCentered="1"/>
  <pageMargins left="0.39370078740157483" right="0.39370078740157483" top="0.59055118110236215" bottom="0.59055118110236215" header="0.19685039370078741" footer="0.19685039370078741"/>
  <pageSetup paperSize="9" scale="34" orientation="landscape" r:id="rId1"/>
  <rowBreaks count="1" manualBreakCount="1">
    <brk id="58" max="16383" man="1"/>
  </rowBreaks>
  <colBreaks count="1" manualBreakCount="1">
    <brk id="15"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54BCC5"/>
    <pageSetUpPr fitToPage="1"/>
  </sheetPr>
  <dimension ref="A1:M97"/>
  <sheetViews>
    <sheetView view="pageBreakPreview" zoomScale="85" zoomScaleNormal="100" zoomScaleSheetLayoutView="85" workbookViewId="0">
      <pane ySplit="2" topLeftCell="A3" activePane="bottomLeft" state="frozen"/>
      <selection pane="bottomLeft"/>
    </sheetView>
  </sheetViews>
  <sheetFormatPr defaultRowHeight="16.5"/>
  <cols>
    <col min="1" max="1" width="1.625" customWidth="1"/>
    <col min="2" max="2" width="25.25" customWidth="1"/>
    <col min="3" max="3" width="9.125" customWidth="1"/>
    <col min="4" max="4" width="28.125" customWidth="1"/>
    <col min="5" max="5" width="90.625" customWidth="1"/>
    <col min="6" max="12" width="15.625" customWidth="1"/>
    <col min="13" max="13" width="1.625" customWidth="1"/>
  </cols>
  <sheetData>
    <row r="1" spans="1:13" ht="21" thickBot="1">
      <c r="A1" s="236"/>
      <c r="B1" s="325" t="s">
        <v>901</v>
      </c>
      <c r="C1" s="326"/>
      <c r="D1" s="326"/>
      <c r="E1" s="237"/>
      <c r="F1" s="237"/>
      <c r="G1" s="237"/>
      <c r="H1" s="237"/>
      <c r="I1" s="237"/>
      <c r="J1" s="237"/>
      <c r="K1" s="237"/>
      <c r="L1" s="237"/>
      <c r="M1" s="238"/>
    </row>
    <row r="2" spans="1:13" ht="33.75" thickBot="1">
      <c r="A2" s="236"/>
      <c r="B2" s="239" t="s">
        <v>902</v>
      </c>
      <c r="C2" s="240" t="s">
        <v>903</v>
      </c>
      <c r="D2" s="241" t="s">
        <v>904</v>
      </c>
      <c r="E2" s="241" t="s">
        <v>905</v>
      </c>
      <c r="F2" s="240" t="s">
        <v>906</v>
      </c>
      <c r="G2" s="240" t="s">
        <v>907</v>
      </c>
      <c r="H2" s="240" t="s">
        <v>908</v>
      </c>
      <c r="I2" s="240" t="s">
        <v>909</v>
      </c>
      <c r="J2" s="240" t="s">
        <v>910</v>
      </c>
      <c r="K2" s="240" t="s">
        <v>911</v>
      </c>
      <c r="L2" s="242" t="s">
        <v>912</v>
      </c>
      <c r="M2" s="243"/>
    </row>
    <row r="3" spans="1:13" ht="60" customHeight="1">
      <c r="A3" s="236"/>
      <c r="B3" s="244" t="s">
        <v>914</v>
      </c>
      <c r="C3" s="245" t="s">
        <v>915</v>
      </c>
      <c r="D3" s="246" t="s">
        <v>916</v>
      </c>
      <c r="E3" s="247" t="s">
        <v>917</v>
      </c>
      <c r="F3" s="248" t="s">
        <v>113</v>
      </c>
      <c r="G3" s="248" t="s">
        <v>113</v>
      </c>
      <c r="H3" s="249">
        <f>IF(F3="H",3,IF(F3="M",2,IF(F3="L",1)))</f>
        <v>3</v>
      </c>
      <c r="I3" s="249">
        <f>IF(G3="H",3,IF(G3="M",2,IF(G3="L",1)))</f>
        <v>3</v>
      </c>
      <c r="J3" s="249">
        <f>SUM(H3:I3)</f>
        <v>6</v>
      </c>
      <c r="K3" s="249" t="str">
        <f>IF(SUM(J3)&gt;=5,"H",IF(SUM(J3)&gt;=3,"M","L"))</f>
        <v>H</v>
      </c>
      <c r="L3" s="250" t="str">
        <f>IF(SUM(J3)&gt;=5,"3",IF(SUM(J3)&gt;=3,"2","1"))</f>
        <v>3</v>
      </c>
      <c r="M3" s="238"/>
    </row>
    <row r="4" spans="1:13" ht="60" customHeight="1">
      <c r="A4" s="236"/>
      <c r="B4" s="251" t="s">
        <v>914</v>
      </c>
      <c r="C4" s="252" t="s">
        <v>918</v>
      </c>
      <c r="D4" s="253" t="s">
        <v>919</v>
      </c>
      <c r="E4" s="254" t="s">
        <v>920</v>
      </c>
      <c r="F4" s="255" t="s">
        <v>113</v>
      </c>
      <c r="G4" s="255" t="s">
        <v>113</v>
      </c>
      <c r="H4" s="256">
        <f t="shared" ref="H4:I72" si="0">IF(F4="H",3,IF(F4="M",2,IF(F4="L",1)))</f>
        <v>3</v>
      </c>
      <c r="I4" s="256">
        <f t="shared" si="0"/>
        <v>3</v>
      </c>
      <c r="J4" s="256">
        <f t="shared" ref="J4:J72" si="1">SUM(H4:I4)</f>
        <v>6</v>
      </c>
      <c r="K4" s="249" t="str">
        <f t="shared" ref="K4:K27" si="2">IF(SUM(J4)&gt;=5,"H",IF(SUM(J4)&gt;=3,"M","L"))</f>
        <v>H</v>
      </c>
      <c r="L4" s="250" t="str">
        <f t="shared" ref="L4:L27" si="3">IF(SUM(J4)&gt;=5,"3",IF(SUM(J4)&gt;=3,"2","1"))</f>
        <v>3</v>
      </c>
      <c r="M4" s="238"/>
    </row>
    <row r="5" spans="1:13" ht="60" customHeight="1">
      <c r="A5" s="236"/>
      <c r="B5" s="251" t="s">
        <v>921</v>
      </c>
      <c r="C5" s="252" t="s">
        <v>922</v>
      </c>
      <c r="D5" s="253" t="s">
        <v>923</v>
      </c>
      <c r="E5" s="254" t="s">
        <v>924</v>
      </c>
      <c r="F5" s="255" t="s">
        <v>113</v>
      </c>
      <c r="G5" s="255" t="s">
        <v>113</v>
      </c>
      <c r="H5" s="256">
        <f t="shared" si="0"/>
        <v>3</v>
      </c>
      <c r="I5" s="256">
        <f t="shared" si="0"/>
        <v>3</v>
      </c>
      <c r="J5" s="256">
        <f t="shared" si="1"/>
        <v>6</v>
      </c>
      <c r="K5" s="249" t="str">
        <f t="shared" si="2"/>
        <v>H</v>
      </c>
      <c r="L5" s="250" t="str">
        <f t="shared" si="3"/>
        <v>3</v>
      </c>
      <c r="M5" s="238"/>
    </row>
    <row r="6" spans="1:13" ht="60" customHeight="1">
      <c r="A6" s="236"/>
      <c r="B6" s="251" t="s">
        <v>914</v>
      </c>
      <c r="C6" s="252" t="s">
        <v>925</v>
      </c>
      <c r="D6" s="253" t="s">
        <v>926</v>
      </c>
      <c r="E6" s="254" t="s">
        <v>927</v>
      </c>
      <c r="F6" s="255" t="s">
        <v>113</v>
      </c>
      <c r="G6" s="255" t="s">
        <v>114</v>
      </c>
      <c r="H6" s="256">
        <f t="shared" si="0"/>
        <v>3</v>
      </c>
      <c r="I6" s="256">
        <f t="shared" si="0"/>
        <v>2</v>
      </c>
      <c r="J6" s="256">
        <f t="shared" si="1"/>
        <v>5</v>
      </c>
      <c r="K6" s="249" t="str">
        <f t="shared" si="2"/>
        <v>H</v>
      </c>
      <c r="L6" s="250" t="str">
        <f t="shared" si="3"/>
        <v>3</v>
      </c>
      <c r="M6" s="238"/>
    </row>
    <row r="7" spans="1:13" ht="60" customHeight="1">
      <c r="A7" s="236"/>
      <c r="B7" s="251" t="s">
        <v>914</v>
      </c>
      <c r="C7" s="252" t="s">
        <v>928</v>
      </c>
      <c r="D7" s="253" t="s">
        <v>929</v>
      </c>
      <c r="E7" s="254" t="s">
        <v>930</v>
      </c>
      <c r="F7" s="255" t="s">
        <v>113</v>
      </c>
      <c r="G7" s="255" t="s">
        <v>113</v>
      </c>
      <c r="H7" s="256">
        <f t="shared" si="0"/>
        <v>3</v>
      </c>
      <c r="I7" s="256">
        <f t="shared" si="0"/>
        <v>3</v>
      </c>
      <c r="J7" s="256">
        <f t="shared" si="1"/>
        <v>6</v>
      </c>
      <c r="K7" s="249" t="str">
        <f t="shared" si="2"/>
        <v>H</v>
      </c>
      <c r="L7" s="250" t="str">
        <f t="shared" si="3"/>
        <v>3</v>
      </c>
      <c r="M7" s="238"/>
    </row>
    <row r="8" spans="1:13" ht="60" customHeight="1">
      <c r="A8" s="236"/>
      <c r="B8" s="251" t="s">
        <v>914</v>
      </c>
      <c r="C8" s="252" t="s">
        <v>931</v>
      </c>
      <c r="D8" s="253" t="s">
        <v>932</v>
      </c>
      <c r="E8" s="254" t="s">
        <v>933</v>
      </c>
      <c r="F8" s="255" t="s">
        <v>113</v>
      </c>
      <c r="G8" s="255" t="s">
        <v>426</v>
      </c>
      <c r="H8" s="256">
        <f t="shared" si="0"/>
        <v>3</v>
      </c>
      <c r="I8" s="256">
        <f t="shared" si="0"/>
        <v>1</v>
      </c>
      <c r="J8" s="256">
        <f t="shared" si="1"/>
        <v>4</v>
      </c>
      <c r="K8" s="249" t="str">
        <f t="shared" si="2"/>
        <v>M</v>
      </c>
      <c r="L8" s="250" t="str">
        <f t="shared" si="3"/>
        <v>2</v>
      </c>
      <c r="M8" s="238"/>
    </row>
    <row r="9" spans="1:13" ht="60" customHeight="1">
      <c r="A9" s="236"/>
      <c r="B9" s="251" t="s">
        <v>914</v>
      </c>
      <c r="C9" s="252" t="s">
        <v>934</v>
      </c>
      <c r="D9" s="253" t="s">
        <v>935</v>
      </c>
      <c r="E9" s="254" t="s">
        <v>936</v>
      </c>
      <c r="F9" s="255" t="s">
        <v>114</v>
      </c>
      <c r="G9" s="255" t="s">
        <v>114</v>
      </c>
      <c r="H9" s="256">
        <f t="shared" si="0"/>
        <v>2</v>
      </c>
      <c r="I9" s="256">
        <f t="shared" si="0"/>
        <v>2</v>
      </c>
      <c r="J9" s="256">
        <f t="shared" si="1"/>
        <v>4</v>
      </c>
      <c r="K9" s="249" t="str">
        <f t="shared" si="2"/>
        <v>M</v>
      </c>
      <c r="L9" s="250" t="str">
        <f t="shared" si="3"/>
        <v>2</v>
      </c>
      <c r="M9" s="238"/>
    </row>
    <row r="10" spans="1:13" ht="60" customHeight="1">
      <c r="A10" s="236"/>
      <c r="B10" s="251" t="s">
        <v>914</v>
      </c>
      <c r="C10" s="252" t="s">
        <v>937</v>
      </c>
      <c r="D10" s="253" t="s">
        <v>938</v>
      </c>
      <c r="E10" s="254" t="s">
        <v>939</v>
      </c>
      <c r="F10" s="255" t="s">
        <v>113</v>
      </c>
      <c r="G10" s="255" t="s">
        <v>113</v>
      </c>
      <c r="H10" s="256">
        <f t="shared" si="0"/>
        <v>3</v>
      </c>
      <c r="I10" s="256">
        <f t="shared" si="0"/>
        <v>3</v>
      </c>
      <c r="J10" s="256">
        <f t="shared" si="1"/>
        <v>6</v>
      </c>
      <c r="K10" s="249" t="str">
        <f t="shared" si="2"/>
        <v>H</v>
      </c>
      <c r="L10" s="250" t="str">
        <f t="shared" si="3"/>
        <v>3</v>
      </c>
      <c r="M10" s="238"/>
    </row>
    <row r="11" spans="1:13" ht="60" customHeight="1">
      <c r="A11" s="236"/>
      <c r="B11" s="251" t="s">
        <v>913</v>
      </c>
      <c r="C11" s="252" t="s">
        <v>940</v>
      </c>
      <c r="D11" s="253" t="s">
        <v>941</v>
      </c>
      <c r="E11" s="254" t="s">
        <v>942</v>
      </c>
      <c r="F11" s="255" t="s">
        <v>113</v>
      </c>
      <c r="G11" s="255" t="s">
        <v>426</v>
      </c>
      <c r="H11" s="256">
        <f t="shared" si="0"/>
        <v>3</v>
      </c>
      <c r="I11" s="256">
        <f t="shared" si="0"/>
        <v>1</v>
      </c>
      <c r="J11" s="256">
        <f t="shared" si="1"/>
        <v>4</v>
      </c>
      <c r="K11" s="249" t="str">
        <f t="shared" si="2"/>
        <v>M</v>
      </c>
      <c r="L11" s="250" t="str">
        <f t="shared" si="3"/>
        <v>2</v>
      </c>
      <c r="M11" s="238"/>
    </row>
    <row r="12" spans="1:13" ht="60" customHeight="1">
      <c r="A12" s="236"/>
      <c r="B12" s="251" t="s">
        <v>914</v>
      </c>
      <c r="C12" s="252" t="s">
        <v>943</v>
      </c>
      <c r="D12" s="253" t="s">
        <v>944</v>
      </c>
      <c r="E12" s="254" t="s">
        <v>945</v>
      </c>
      <c r="F12" s="255" t="s">
        <v>113</v>
      </c>
      <c r="G12" s="255" t="s">
        <v>426</v>
      </c>
      <c r="H12" s="256">
        <f t="shared" si="0"/>
        <v>3</v>
      </c>
      <c r="I12" s="256">
        <f t="shared" si="0"/>
        <v>1</v>
      </c>
      <c r="J12" s="256">
        <f t="shared" si="1"/>
        <v>4</v>
      </c>
      <c r="K12" s="249" t="str">
        <f t="shared" si="2"/>
        <v>M</v>
      </c>
      <c r="L12" s="250" t="str">
        <f t="shared" si="3"/>
        <v>2</v>
      </c>
      <c r="M12" s="238"/>
    </row>
    <row r="13" spans="1:13" ht="60" customHeight="1">
      <c r="A13" s="236"/>
      <c r="B13" s="251" t="s">
        <v>946</v>
      </c>
      <c r="C13" s="252" t="s">
        <v>947</v>
      </c>
      <c r="D13" s="251" t="s">
        <v>948</v>
      </c>
      <c r="E13" s="257" t="s">
        <v>949</v>
      </c>
      <c r="F13" s="255" t="s">
        <v>114</v>
      </c>
      <c r="G13" s="255" t="s">
        <v>114</v>
      </c>
      <c r="H13" s="256">
        <v>2</v>
      </c>
      <c r="I13" s="256">
        <v>2</v>
      </c>
      <c r="J13" s="256">
        <v>4</v>
      </c>
      <c r="K13" s="249" t="str">
        <f t="shared" si="2"/>
        <v>M</v>
      </c>
      <c r="L13" s="250" t="str">
        <f t="shared" si="3"/>
        <v>2</v>
      </c>
      <c r="M13" s="238"/>
    </row>
    <row r="14" spans="1:13" ht="60" customHeight="1">
      <c r="A14" s="236"/>
      <c r="B14" s="251" t="s">
        <v>946</v>
      </c>
      <c r="C14" s="252" t="s">
        <v>950</v>
      </c>
      <c r="D14" s="253" t="s">
        <v>951</v>
      </c>
      <c r="E14" s="254" t="s">
        <v>952</v>
      </c>
      <c r="F14" s="255" t="s">
        <v>113</v>
      </c>
      <c r="G14" s="255" t="s">
        <v>113</v>
      </c>
      <c r="H14" s="256">
        <v>3</v>
      </c>
      <c r="I14" s="256">
        <v>3</v>
      </c>
      <c r="J14" s="256">
        <v>6</v>
      </c>
      <c r="K14" s="249" t="str">
        <f t="shared" si="2"/>
        <v>H</v>
      </c>
      <c r="L14" s="250" t="str">
        <f t="shared" si="3"/>
        <v>3</v>
      </c>
      <c r="M14" s="238"/>
    </row>
    <row r="15" spans="1:13" ht="60" customHeight="1">
      <c r="A15" s="236"/>
      <c r="B15" s="251" t="s">
        <v>946</v>
      </c>
      <c r="C15" s="252" t="s">
        <v>953</v>
      </c>
      <c r="D15" s="251" t="s">
        <v>954</v>
      </c>
      <c r="E15" s="257" t="s">
        <v>955</v>
      </c>
      <c r="F15" s="255" t="s">
        <v>113</v>
      </c>
      <c r="G15" s="255" t="s">
        <v>113</v>
      </c>
      <c r="H15" s="256">
        <v>3</v>
      </c>
      <c r="I15" s="256">
        <v>3</v>
      </c>
      <c r="J15" s="256">
        <v>6</v>
      </c>
      <c r="K15" s="249" t="str">
        <f t="shared" si="2"/>
        <v>H</v>
      </c>
      <c r="L15" s="250" t="str">
        <f t="shared" si="3"/>
        <v>3</v>
      </c>
      <c r="M15" s="238"/>
    </row>
    <row r="16" spans="1:13" ht="60" customHeight="1">
      <c r="A16" s="236"/>
      <c r="B16" s="251" t="s">
        <v>946</v>
      </c>
      <c r="C16" s="252" t="s">
        <v>956</v>
      </c>
      <c r="D16" s="253" t="s">
        <v>957</v>
      </c>
      <c r="E16" s="254" t="s">
        <v>958</v>
      </c>
      <c r="F16" s="255" t="s">
        <v>113</v>
      </c>
      <c r="G16" s="255" t="s">
        <v>426</v>
      </c>
      <c r="H16" s="256">
        <v>3</v>
      </c>
      <c r="I16" s="256">
        <v>1</v>
      </c>
      <c r="J16" s="256">
        <v>4</v>
      </c>
      <c r="K16" s="249" t="str">
        <f t="shared" si="2"/>
        <v>M</v>
      </c>
      <c r="L16" s="250" t="str">
        <f t="shared" si="3"/>
        <v>2</v>
      </c>
      <c r="M16" s="238"/>
    </row>
    <row r="17" spans="1:13" ht="60" customHeight="1">
      <c r="A17" s="236"/>
      <c r="B17" s="251" t="s">
        <v>946</v>
      </c>
      <c r="C17" s="252" t="s">
        <v>959</v>
      </c>
      <c r="D17" s="253" t="s">
        <v>960</v>
      </c>
      <c r="E17" s="254" t="s">
        <v>961</v>
      </c>
      <c r="F17" s="255" t="s">
        <v>113</v>
      </c>
      <c r="G17" s="255" t="s">
        <v>426</v>
      </c>
      <c r="H17" s="256">
        <v>3</v>
      </c>
      <c r="I17" s="256">
        <v>1</v>
      </c>
      <c r="J17" s="256">
        <v>4</v>
      </c>
      <c r="K17" s="249" t="str">
        <f t="shared" si="2"/>
        <v>M</v>
      </c>
      <c r="L17" s="250" t="str">
        <f t="shared" si="3"/>
        <v>2</v>
      </c>
      <c r="M17" s="238"/>
    </row>
    <row r="18" spans="1:13" ht="60" customHeight="1">
      <c r="A18" s="236"/>
      <c r="B18" s="251" t="s">
        <v>946</v>
      </c>
      <c r="C18" s="252" t="s">
        <v>962</v>
      </c>
      <c r="D18" s="253" t="s">
        <v>963</v>
      </c>
      <c r="E18" s="254" t="s">
        <v>964</v>
      </c>
      <c r="F18" s="255" t="s">
        <v>426</v>
      </c>
      <c r="G18" s="255" t="s">
        <v>426</v>
      </c>
      <c r="H18" s="256">
        <v>1</v>
      </c>
      <c r="I18" s="256">
        <v>1</v>
      </c>
      <c r="J18" s="256">
        <v>2</v>
      </c>
      <c r="K18" s="249" t="str">
        <f t="shared" si="2"/>
        <v>L</v>
      </c>
      <c r="L18" s="250" t="str">
        <f t="shared" si="3"/>
        <v>1</v>
      </c>
      <c r="M18" s="238"/>
    </row>
    <row r="19" spans="1:13" ht="60" customHeight="1">
      <c r="A19" s="236"/>
      <c r="B19" s="251" t="s">
        <v>946</v>
      </c>
      <c r="C19" s="252" t="s">
        <v>965</v>
      </c>
      <c r="D19" s="253" t="s">
        <v>966</v>
      </c>
      <c r="E19" s="254" t="s">
        <v>967</v>
      </c>
      <c r="F19" s="255" t="s">
        <v>113</v>
      </c>
      <c r="G19" s="255" t="s">
        <v>113</v>
      </c>
      <c r="H19" s="256">
        <v>3</v>
      </c>
      <c r="I19" s="256">
        <v>3</v>
      </c>
      <c r="J19" s="256">
        <v>6</v>
      </c>
      <c r="K19" s="249" t="str">
        <f t="shared" si="2"/>
        <v>H</v>
      </c>
      <c r="L19" s="250" t="str">
        <f t="shared" si="3"/>
        <v>3</v>
      </c>
      <c r="M19" s="238"/>
    </row>
    <row r="20" spans="1:13" ht="60" customHeight="1">
      <c r="A20" s="236"/>
      <c r="B20" s="251" t="s">
        <v>946</v>
      </c>
      <c r="C20" s="252" t="s">
        <v>968</v>
      </c>
      <c r="D20" s="253" t="s">
        <v>969</v>
      </c>
      <c r="E20" s="254" t="s">
        <v>970</v>
      </c>
      <c r="F20" s="255" t="s">
        <v>113</v>
      </c>
      <c r="G20" s="255" t="s">
        <v>426</v>
      </c>
      <c r="H20" s="256">
        <v>3</v>
      </c>
      <c r="I20" s="256">
        <v>1</v>
      </c>
      <c r="J20" s="256">
        <v>4</v>
      </c>
      <c r="K20" s="249" t="str">
        <f t="shared" si="2"/>
        <v>M</v>
      </c>
      <c r="L20" s="250" t="str">
        <f t="shared" si="3"/>
        <v>2</v>
      </c>
      <c r="M20" s="238"/>
    </row>
    <row r="21" spans="1:13" ht="60" customHeight="1">
      <c r="A21" s="236"/>
      <c r="B21" s="251" t="s">
        <v>946</v>
      </c>
      <c r="C21" s="252" t="s">
        <v>971</v>
      </c>
      <c r="D21" s="253" t="s">
        <v>972</v>
      </c>
      <c r="E21" s="254" t="s">
        <v>973</v>
      </c>
      <c r="F21" s="255" t="s">
        <v>113</v>
      </c>
      <c r="G21" s="255" t="s">
        <v>426</v>
      </c>
      <c r="H21" s="256">
        <v>3</v>
      </c>
      <c r="I21" s="256">
        <v>1</v>
      </c>
      <c r="J21" s="256">
        <v>4</v>
      </c>
      <c r="K21" s="249" t="str">
        <f t="shared" si="2"/>
        <v>M</v>
      </c>
      <c r="L21" s="250" t="str">
        <f t="shared" si="3"/>
        <v>2</v>
      </c>
      <c r="M21" s="238"/>
    </row>
    <row r="22" spans="1:13" ht="60" customHeight="1">
      <c r="A22" s="236"/>
      <c r="B22" s="251" t="s">
        <v>946</v>
      </c>
      <c r="C22" s="252" t="s">
        <v>974</v>
      </c>
      <c r="D22" s="253" t="s">
        <v>975</v>
      </c>
      <c r="E22" s="254" t="s">
        <v>976</v>
      </c>
      <c r="F22" s="255" t="s">
        <v>113</v>
      </c>
      <c r="G22" s="255" t="s">
        <v>426</v>
      </c>
      <c r="H22" s="256">
        <v>3</v>
      </c>
      <c r="I22" s="256">
        <v>1</v>
      </c>
      <c r="J22" s="256">
        <v>4</v>
      </c>
      <c r="K22" s="249" t="str">
        <f t="shared" si="2"/>
        <v>M</v>
      </c>
      <c r="L22" s="250" t="str">
        <f t="shared" si="3"/>
        <v>2</v>
      </c>
      <c r="M22" s="238"/>
    </row>
    <row r="23" spans="1:13" ht="60" customHeight="1">
      <c r="A23" s="236"/>
      <c r="B23" s="251" t="s">
        <v>946</v>
      </c>
      <c r="C23" s="252" t="s">
        <v>977</v>
      </c>
      <c r="D23" s="253" t="s">
        <v>978</v>
      </c>
      <c r="E23" s="254" t="s">
        <v>979</v>
      </c>
      <c r="F23" s="255" t="s">
        <v>113</v>
      </c>
      <c r="G23" s="255" t="s">
        <v>114</v>
      </c>
      <c r="H23" s="256">
        <v>3</v>
      </c>
      <c r="I23" s="256">
        <v>2</v>
      </c>
      <c r="J23" s="256">
        <v>5</v>
      </c>
      <c r="K23" s="249" t="str">
        <f t="shared" si="2"/>
        <v>H</v>
      </c>
      <c r="L23" s="250" t="str">
        <f t="shared" si="3"/>
        <v>3</v>
      </c>
      <c r="M23" s="238"/>
    </row>
    <row r="24" spans="1:13" ht="60" customHeight="1">
      <c r="A24" s="236"/>
      <c r="B24" s="258" t="s">
        <v>946</v>
      </c>
      <c r="C24" s="252" t="s">
        <v>980</v>
      </c>
      <c r="D24" s="253" t="s">
        <v>981</v>
      </c>
      <c r="E24" s="254" t="s">
        <v>982</v>
      </c>
      <c r="F24" s="255" t="s">
        <v>983</v>
      </c>
      <c r="G24" s="255" t="s">
        <v>984</v>
      </c>
      <c r="H24" s="256">
        <v>3</v>
      </c>
      <c r="I24" s="256">
        <v>1</v>
      </c>
      <c r="J24" s="256">
        <v>4</v>
      </c>
      <c r="K24" s="249" t="str">
        <f t="shared" si="2"/>
        <v>M</v>
      </c>
      <c r="L24" s="250" t="str">
        <f t="shared" si="3"/>
        <v>2</v>
      </c>
      <c r="M24" s="238"/>
    </row>
    <row r="25" spans="1:13" ht="60" customHeight="1">
      <c r="A25" s="236"/>
      <c r="B25" s="258" t="s">
        <v>946</v>
      </c>
      <c r="C25" s="252" t="s">
        <v>985</v>
      </c>
      <c r="D25" s="253" t="s">
        <v>986</v>
      </c>
      <c r="E25" s="254" t="s">
        <v>987</v>
      </c>
      <c r="F25" s="255" t="s">
        <v>984</v>
      </c>
      <c r="G25" s="255" t="s">
        <v>984</v>
      </c>
      <c r="H25" s="256">
        <v>1</v>
      </c>
      <c r="I25" s="256">
        <v>1</v>
      </c>
      <c r="J25" s="256">
        <v>2</v>
      </c>
      <c r="K25" s="249" t="str">
        <f t="shared" si="2"/>
        <v>L</v>
      </c>
      <c r="L25" s="250" t="str">
        <f t="shared" si="3"/>
        <v>1</v>
      </c>
      <c r="M25" s="238"/>
    </row>
    <row r="26" spans="1:13" ht="60" customHeight="1">
      <c r="A26" s="236"/>
      <c r="B26" s="258" t="s">
        <v>946</v>
      </c>
      <c r="C26" s="252" t="s">
        <v>988</v>
      </c>
      <c r="D26" s="253" t="s">
        <v>989</v>
      </c>
      <c r="E26" s="254" t="s">
        <v>990</v>
      </c>
      <c r="F26" s="255" t="s">
        <v>113</v>
      </c>
      <c r="G26" s="255" t="s">
        <v>426</v>
      </c>
      <c r="H26" s="256">
        <v>3</v>
      </c>
      <c r="I26" s="256">
        <v>1</v>
      </c>
      <c r="J26" s="256">
        <v>4</v>
      </c>
      <c r="K26" s="249" t="str">
        <f t="shared" si="2"/>
        <v>M</v>
      </c>
      <c r="L26" s="250" t="str">
        <f t="shared" si="3"/>
        <v>2</v>
      </c>
      <c r="M26" s="238"/>
    </row>
    <row r="27" spans="1:13" ht="60" customHeight="1">
      <c r="A27" s="236"/>
      <c r="B27" s="259" t="s">
        <v>946</v>
      </c>
      <c r="C27" s="260" t="s">
        <v>991</v>
      </c>
      <c r="D27" s="261" t="s">
        <v>992</v>
      </c>
      <c r="E27" s="254" t="s">
        <v>993</v>
      </c>
      <c r="F27" s="262" t="s">
        <v>994</v>
      </c>
      <c r="G27" s="262" t="s">
        <v>994</v>
      </c>
      <c r="H27" s="263">
        <v>2</v>
      </c>
      <c r="I27" s="263">
        <v>2</v>
      </c>
      <c r="J27" s="263">
        <v>4</v>
      </c>
      <c r="K27" s="249" t="str">
        <f t="shared" si="2"/>
        <v>M</v>
      </c>
      <c r="L27" s="250" t="str">
        <f t="shared" si="3"/>
        <v>2</v>
      </c>
      <c r="M27" s="238"/>
    </row>
    <row r="28" spans="1:13" ht="60" customHeight="1">
      <c r="A28" s="236"/>
      <c r="B28" s="264" t="s">
        <v>995</v>
      </c>
      <c r="C28" s="265" t="s">
        <v>996</v>
      </c>
      <c r="D28" s="266" t="s">
        <v>997</v>
      </c>
      <c r="E28" s="267" t="s">
        <v>998</v>
      </c>
      <c r="F28" s="268" t="s">
        <v>113</v>
      </c>
      <c r="G28" s="268" t="s">
        <v>113</v>
      </c>
      <c r="H28" s="269">
        <f t="shared" si="0"/>
        <v>3</v>
      </c>
      <c r="I28" s="269">
        <f t="shared" si="0"/>
        <v>3</v>
      </c>
      <c r="J28" s="269">
        <f t="shared" si="1"/>
        <v>6</v>
      </c>
      <c r="K28" s="269" t="str">
        <f>IF(SUM(J28)&gt;=5,"H",IF(SUM(J28)&gt;=3,"M","L"))</f>
        <v>H</v>
      </c>
      <c r="L28" s="270" t="str">
        <f>IF(SUM(J28)&gt;=5,"3",IF(SUM(J28)&gt;=3,"2","1"))</f>
        <v>3</v>
      </c>
      <c r="M28" s="238"/>
    </row>
    <row r="29" spans="1:13" ht="60" customHeight="1">
      <c r="A29" s="236"/>
      <c r="B29" s="264" t="s">
        <v>999</v>
      </c>
      <c r="C29" s="265" t="s">
        <v>1000</v>
      </c>
      <c r="D29" s="266" t="s">
        <v>1001</v>
      </c>
      <c r="E29" s="267" t="s">
        <v>1002</v>
      </c>
      <c r="F29" s="268" t="s">
        <v>114</v>
      </c>
      <c r="G29" s="268" t="s">
        <v>114</v>
      </c>
      <c r="H29" s="269">
        <f t="shared" si="0"/>
        <v>2</v>
      </c>
      <c r="I29" s="269">
        <f t="shared" si="0"/>
        <v>2</v>
      </c>
      <c r="J29" s="269">
        <f t="shared" si="1"/>
        <v>4</v>
      </c>
      <c r="K29" s="269" t="str">
        <f t="shared" ref="K29:K35" si="4">IF(SUM(J29)&gt;=5,"H",IF(SUM(J29)&gt;=3,"M","L"))</f>
        <v>M</v>
      </c>
      <c r="L29" s="270" t="str">
        <f t="shared" ref="L29:L35" si="5">IF(SUM(J29)&gt;=5,"3",IF(SUM(J29)&gt;=3,"2","1"))</f>
        <v>2</v>
      </c>
      <c r="M29" s="238"/>
    </row>
    <row r="30" spans="1:13" ht="60" customHeight="1">
      <c r="A30" s="236"/>
      <c r="B30" s="264" t="s">
        <v>999</v>
      </c>
      <c r="C30" s="265" t="s">
        <v>1003</v>
      </c>
      <c r="D30" s="266" t="s">
        <v>1004</v>
      </c>
      <c r="E30" s="267" t="s">
        <v>1005</v>
      </c>
      <c r="F30" s="268" t="s">
        <v>114</v>
      </c>
      <c r="G30" s="268" t="s">
        <v>114</v>
      </c>
      <c r="H30" s="269">
        <f t="shared" si="0"/>
        <v>2</v>
      </c>
      <c r="I30" s="269">
        <f t="shared" si="0"/>
        <v>2</v>
      </c>
      <c r="J30" s="269">
        <f t="shared" si="1"/>
        <v>4</v>
      </c>
      <c r="K30" s="269" t="str">
        <f t="shared" si="4"/>
        <v>M</v>
      </c>
      <c r="L30" s="270" t="str">
        <f t="shared" si="5"/>
        <v>2</v>
      </c>
      <c r="M30" s="238"/>
    </row>
    <row r="31" spans="1:13" ht="60" customHeight="1">
      <c r="A31" s="236"/>
      <c r="B31" s="264" t="s">
        <v>999</v>
      </c>
      <c r="C31" s="265" t="s">
        <v>1006</v>
      </c>
      <c r="D31" s="266" t="s">
        <v>1007</v>
      </c>
      <c r="E31" s="267" t="s">
        <v>1008</v>
      </c>
      <c r="F31" s="268" t="s">
        <v>114</v>
      </c>
      <c r="G31" s="268" t="s">
        <v>114</v>
      </c>
      <c r="H31" s="269">
        <f t="shared" si="0"/>
        <v>2</v>
      </c>
      <c r="I31" s="269">
        <f t="shared" si="0"/>
        <v>2</v>
      </c>
      <c r="J31" s="269">
        <f t="shared" si="1"/>
        <v>4</v>
      </c>
      <c r="K31" s="269" t="str">
        <f t="shared" si="4"/>
        <v>M</v>
      </c>
      <c r="L31" s="270" t="str">
        <f t="shared" si="5"/>
        <v>2</v>
      </c>
      <c r="M31" s="238"/>
    </row>
    <row r="32" spans="1:13" ht="60" customHeight="1">
      <c r="A32" s="236"/>
      <c r="B32" s="264" t="s">
        <v>999</v>
      </c>
      <c r="C32" s="265" t="s">
        <v>1009</v>
      </c>
      <c r="D32" s="266" t="s">
        <v>1010</v>
      </c>
      <c r="E32" s="267" t="s">
        <v>1011</v>
      </c>
      <c r="F32" s="268" t="s">
        <v>114</v>
      </c>
      <c r="G32" s="268" t="s">
        <v>114</v>
      </c>
      <c r="H32" s="269">
        <f t="shared" si="0"/>
        <v>2</v>
      </c>
      <c r="I32" s="269">
        <f t="shared" si="0"/>
        <v>2</v>
      </c>
      <c r="J32" s="269">
        <f t="shared" si="1"/>
        <v>4</v>
      </c>
      <c r="K32" s="269" t="str">
        <f t="shared" si="4"/>
        <v>M</v>
      </c>
      <c r="L32" s="270" t="str">
        <f t="shared" si="5"/>
        <v>2</v>
      </c>
      <c r="M32" s="238"/>
    </row>
    <row r="33" spans="1:13" ht="60" customHeight="1">
      <c r="A33" s="236"/>
      <c r="B33" s="264" t="s">
        <v>999</v>
      </c>
      <c r="C33" s="265" t="s">
        <v>1012</v>
      </c>
      <c r="D33" s="266" t="s">
        <v>1013</v>
      </c>
      <c r="E33" s="267" t="s">
        <v>1014</v>
      </c>
      <c r="F33" s="268" t="s">
        <v>113</v>
      </c>
      <c r="G33" s="268" t="s">
        <v>114</v>
      </c>
      <c r="H33" s="269">
        <f t="shared" si="0"/>
        <v>3</v>
      </c>
      <c r="I33" s="269">
        <f t="shared" si="0"/>
        <v>2</v>
      </c>
      <c r="J33" s="269">
        <f t="shared" si="1"/>
        <v>5</v>
      </c>
      <c r="K33" s="269" t="str">
        <f t="shared" si="4"/>
        <v>H</v>
      </c>
      <c r="L33" s="270" t="str">
        <f t="shared" si="5"/>
        <v>3</v>
      </c>
      <c r="M33" s="238"/>
    </row>
    <row r="34" spans="1:13" ht="60" customHeight="1">
      <c r="A34" s="236"/>
      <c r="B34" s="264" t="s">
        <v>999</v>
      </c>
      <c r="C34" s="265" t="s">
        <v>1015</v>
      </c>
      <c r="D34" s="266" t="s">
        <v>1016</v>
      </c>
      <c r="E34" s="267" t="s">
        <v>1017</v>
      </c>
      <c r="F34" s="268" t="s">
        <v>114</v>
      </c>
      <c r="G34" s="268" t="s">
        <v>426</v>
      </c>
      <c r="H34" s="269">
        <f t="shared" si="0"/>
        <v>2</v>
      </c>
      <c r="I34" s="269">
        <f t="shared" si="0"/>
        <v>1</v>
      </c>
      <c r="J34" s="269">
        <f t="shared" si="1"/>
        <v>3</v>
      </c>
      <c r="K34" s="269" t="str">
        <f t="shared" si="4"/>
        <v>M</v>
      </c>
      <c r="L34" s="270" t="str">
        <f t="shared" si="5"/>
        <v>2</v>
      </c>
      <c r="M34" s="238"/>
    </row>
    <row r="35" spans="1:13" ht="60" customHeight="1">
      <c r="A35" s="236"/>
      <c r="B35" s="264" t="s">
        <v>1018</v>
      </c>
      <c r="C35" s="265" t="s">
        <v>1019</v>
      </c>
      <c r="D35" s="266" t="s">
        <v>1020</v>
      </c>
      <c r="E35" s="267" t="s">
        <v>1021</v>
      </c>
      <c r="F35" s="268" t="s">
        <v>113</v>
      </c>
      <c r="G35" s="268" t="s">
        <v>114</v>
      </c>
      <c r="H35" s="269">
        <v>3</v>
      </c>
      <c r="I35" s="269">
        <v>2</v>
      </c>
      <c r="J35" s="269">
        <v>5</v>
      </c>
      <c r="K35" s="269" t="str">
        <f t="shared" si="4"/>
        <v>H</v>
      </c>
      <c r="L35" s="270" t="str">
        <f t="shared" si="5"/>
        <v>3</v>
      </c>
      <c r="M35" s="238"/>
    </row>
    <row r="36" spans="1:13" ht="60" customHeight="1">
      <c r="A36" s="236"/>
      <c r="B36" s="271" t="s">
        <v>1022</v>
      </c>
      <c r="C36" s="272" t="s">
        <v>1023</v>
      </c>
      <c r="D36" s="273" t="s">
        <v>1024</v>
      </c>
      <c r="E36" s="274" t="s">
        <v>1025</v>
      </c>
      <c r="F36" s="275" t="s">
        <v>113</v>
      </c>
      <c r="G36" s="275" t="s">
        <v>426</v>
      </c>
      <c r="H36" s="276">
        <f t="shared" si="0"/>
        <v>3</v>
      </c>
      <c r="I36" s="276">
        <f t="shared" si="0"/>
        <v>1</v>
      </c>
      <c r="J36" s="276">
        <f t="shared" si="1"/>
        <v>4</v>
      </c>
      <c r="K36" s="276" t="str">
        <f>IF(SUM(J36)&gt;=5,"H",IF(SUM(J36)&gt;=3,"M","L"))</f>
        <v>M</v>
      </c>
      <c r="L36" s="277" t="str">
        <f>IF(SUM(J36)&gt;=5,"3",IF(SUM(J36)&gt;=3,"2","1"))</f>
        <v>2</v>
      </c>
      <c r="M36" s="238"/>
    </row>
    <row r="37" spans="1:13" ht="60" customHeight="1">
      <c r="A37" s="236"/>
      <c r="B37" s="271" t="s">
        <v>1022</v>
      </c>
      <c r="C37" s="272" t="s">
        <v>1026</v>
      </c>
      <c r="D37" s="273" t="s">
        <v>1027</v>
      </c>
      <c r="E37" s="274" t="s">
        <v>1028</v>
      </c>
      <c r="F37" s="275" t="s">
        <v>113</v>
      </c>
      <c r="G37" s="275" t="s">
        <v>426</v>
      </c>
      <c r="H37" s="276">
        <f t="shared" si="0"/>
        <v>3</v>
      </c>
      <c r="I37" s="276">
        <f t="shared" si="0"/>
        <v>1</v>
      </c>
      <c r="J37" s="276">
        <f t="shared" si="1"/>
        <v>4</v>
      </c>
      <c r="K37" s="276" t="str">
        <f t="shared" ref="K37:K41" si="6">IF(SUM(J37)&gt;=5,"H",IF(SUM(J37)&gt;=3,"M","L"))</f>
        <v>M</v>
      </c>
      <c r="L37" s="277" t="str">
        <f t="shared" ref="L37:L41" si="7">IF(SUM(J37)&gt;=5,"3",IF(SUM(J37)&gt;=3,"2","1"))</f>
        <v>2</v>
      </c>
      <c r="M37" s="238"/>
    </row>
    <row r="38" spans="1:13" ht="60" customHeight="1">
      <c r="A38" s="236"/>
      <c r="B38" s="271" t="s">
        <v>1022</v>
      </c>
      <c r="C38" s="272" t="s">
        <v>1029</v>
      </c>
      <c r="D38" s="273" t="s">
        <v>1030</v>
      </c>
      <c r="E38" s="274" t="s">
        <v>1031</v>
      </c>
      <c r="F38" s="275" t="s">
        <v>113</v>
      </c>
      <c r="G38" s="275" t="s">
        <v>426</v>
      </c>
      <c r="H38" s="276">
        <f t="shared" si="0"/>
        <v>3</v>
      </c>
      <c r="I38" s="276">
        <f t="shared" si="0"/>
        <v>1</v>
      </c>
      <c r="J38" s="276">
        <f t="shared" si="1"/>
        <v>4</v>
      </c>
      <c r="K38" s="276" t="str">
        <f t="shared" si="6"/>
        <v>M</v>
      </c>
      <c r="L38" s="277" t="str">
        <f t="shared" si="7"/>
        <v>2</v>
      </c>
      <c r="M38" s="238"/>
    </row>
    <row r="39" spans="1:13" ht="60" customHeight="1">
      <c r="A39" s="236"/>
      <c r="B39" s="271" t="s">
        <v>1022</v>
      </c>
      <c r="C39" s="272" t="s">
        <v>1032</v>
      </c>
      <c r="D39" s="273" t="s">
        <v>1033</v>
      </c>
      <c r="E39" s="274" t="s">
        <v>1034</v>
      </c>
      <c r="F39" s="275" t="s">
        <v>113</v>
      </c>
      <c r="G39" s="275" t="s">
        <v>114</v>
      </c>
      <c r="H39" s="276">
        <f t="shared" si="0"/>
        <v>3</v>
      </c>
      <c r="I39" s="276">
        <f t="shared" si="0"/>
        <v>2</v>
      </c>
      <c r="J39" s="276">
        <f t="shared" si="1"/>
        <v>5</v>
      </c>
      <c r="K39" s="276" t="str">
        <f t="shared" si="6"/>
        <v>H</v>
      </c>
      <c r="L39" s="277" t="str">
        <f t="shared" si="7"/>
        <v>3</v>
      </c>
      <c r="M39" s="238"/>
    </row>
    <row r="40" spans="1:13" ht="60" customHeight="1">
      <c r="A40" s="236"/>
      <c r="B40" s="271" t="s">
        <v>1022</v>
      </c>
      <c r="C40" s="272" t="s">
        <v>1035</v>
      </c>
      <c r="D40" s="273" t="s">
        <v>1036</v>
      </c>
      <c r="E40" s="274" t="s">
        <v>1037</v>
      </c>
      <c r="F40" s="275" t="s">
        <v>114</v>
      </c>
      <c r="G40" s="275" t="s">
        <v>426</v>
      </c>
      <c r="H40" s="276">
        <f t="shared" si="0"/>
        <v>2</v>
      </c>
      <c r="I40" s="276">
        <f t="shared" si="0"/>
        <v>1</v>
      </c>
      <c r="J40" s="276">
        <f t="shared" si="1"/>
        <v>3</v>
      </c>
      <c r="K40" s="276" t="str">
        <f t="shared" si="6"/>
        <v>M</v>
      </c>
      <c r="L40" s="277" t="str">
        <f t="shared" si="7"/>
        <v>2</v>
      </c>
      <c r="M40" s="238"/>
    </row>
    <row r="41" spans="1:13" ht="60" customHeight="1">
      <c r="A41" s="236"/>
      <c r="B41" s="271" t="s">
        <v>1022</v>
      </c>
      <c r="C41" s="272" t="s">
        <v>1038</v>
      </c>
      <c r="D41" s="273" t="s">
        <v>1039</v>
      </c>
      <c r="E41" s="274" t="s">
        <v>1040</v>
      </c>
      <c r="F41" s="275" t="s">
        <v>983</v>
      </c>
      <c r="G41" s="275" t="s">
        <v>984</v>
      </c>
      <c r="H41" s="276">
        <f t="shared" si="0"/>
        <v>3</v>
      </c>
      <c r="I41" s="276">
        <f t="shared" si="0"/>
        <v>1</v>
      </c>
      <c r="J41" s="276">
        <f t="shared" si="1"/>
        <v>4</v>
      </c>
      <c r="K41" s="276" t="str">
        <f t="shared" si="6"/>
        <v>M</v>
      </c>
      <c r="L41" s="277" t="str">
        <f t="shared" si="7"/>
        <v>2</v>
      </c>
      <c r="M41" s="238"/>
    </row>
    <row r="42" spans="1:13" ht="60" customHeight="1">
      <c r="A42" s="236"/>
      <c r="B42" s="278" t="s">
        <v>1042</v>
      </c>
      <c r="C42" s="279" t="s">
        <v>1043</v>
      </c>
      <c r="D42" s="280" t="s">
        <v>1044</v>
      </c>
      <c r="E42" s="281" t="s">
        <v>1045</v>
      </c>
      <c r="F42" s="282" t="s">
        <v>113</v>
      </c>
      <c r="G42" s="282" t="s">
        <v>113</v>
      </c>
      <c r="H42" s="283">
        <f t="shared" si="0"/>
        <v>3</v>
      </c>
      <c r="I42" s="283">
        <f t="shared" si="0"/>
        <v>3</v>
      </c>
      <c r="J42" s="283">
        <f t="shared" si="1"/>
        <v>6</v>
      </c>
      <c r="K42" s="283" t="str">
        <f>IF(SUM(J42)&gt;=5,"H",IF(SUM(J42)&gt;=3,"M","L"))</f>
        <v>H</v>
      </c>
      <c r="L42" s="284" t="str">
        <f>IF(SUM(J42)&gt;=5,"3",IF(SUM(J42)&gt;=3,"2","1"))</f>
        <v>3</v>
      </c>
      <c r="M42" s="238"/>
    </row>
    <row r="43" spans="1:13" ht="60" customHeight="1">
      <c r="A43" s="236"/>
      <c r="B43" s="278" t="s">
        <v>1042</v>
      </c>
      <c r="C43" s="285" t="s">
        <v>1046</v>
      </c>
      <c r="D43" s="286" t="s">
        <v>1047</v>
      </c>
      <c r="E43" s="287" t="s">
        <v>1048</v>
      </c>
      <c r="F43" s="282" t="s">
        <v>113</v>
      </c>
      <c r="G43" s="282" t="s">
        <v>1049</v>
      </c>
      <c r="H43" s="283">
        <f t="shared" si="0"/>
        <v>3</v>
      </c>
      <c r="I43" s="283">
        <f t="shared" si="0"/>
        <v>2</v>
      </c>
      <c r="J43" s="283">
        <f t="shared" si="1"/>
        <v>5</v>
      </c>
      <c r="K43" s="283" t="str">
        <f t="shared" ref="K43:K70" si="8">IF(SUM(J43)&gt;=5,"H",IF(SUM(J43)&gt;=3,"M","L"))</f>
        <v>H</v>
      </c>
      <c r="L43" s="284" t="str">
        <f t="shared" ref="L43:L70" si="9">IF(SUM(J43)&gt;=5,"3",IF(SUM(J43)&gt;=3,"2","1"))</f>
        <v>3</v>
      </c>
      <c r="M43" s="238"/>
    </row>
    <row r="44" spans="1:13" ht="60" customHeight="1">
      <c r="A44" s="236"/>
      <c r="B44" s="278" t="s">
        <v>1050</v>
      </c>
      <c r="C44" s="279" t="s">
        <v>1051</v>
      </c>
      <c r="D44" s="280" t="s">
        <v>1052</v>
      </c>
      <c r="E44" s="281" t="s">
        <v>1053</v>
      </c>
      <c r="F44" s="282" t="s">
        <v>113</v>
      </c>
      <c r="G44" s="282" t="s">
        <v>114</v>
      </c>
      <c r="H44" s="283">
        <f t="shared" si="0"/>
        <v>3</v>
      </c>
      <c r="I44" s="283">
        <f t="shared" si="0"/>
        <v>2</v>
      </c>
      <c r="J44" s="283">
        <f t="shared" si="1"/>
        <v>5</v>
      </c>
      <c r="K44" s="283" t="str">
        <f t="shared" si="8"/>
        <v>H</v>
      </c>
      <c r="L44" s="284" t="str">
        <f t="shared" si="9"/>
        <v>3</v>
      </c>
      <c r="M44" s="238"/>
    </row>
    <row r="45" spans="1:13" ht="60" customHeight="1">
      <c r="A45" s="236"/>
      <c r="B45" s="278" t="s">
        <v>1042</v>
      </c>
      <c r="C45" s="285" t="s">
        <v>1054</v>
      </c>
      <c r="D45" s="280" t="s">
        <v>1055</v>
      </c>
      <c r="E45" s="281" t="s">
        <v>1056</v>
      </c>
      <c r="F45" s="282" t="s">
        <v>113</v>
      </c>
      <c r="G45" s="282" t="s">
        <v>114</v>
      </c>
      <c r="H45" s="283">
        <f t="shared" si="0"/>
        <v>3</v>
      </c>
      <c r="I45" s="283">
        <f t="shared" si="0"/>
        <v>2</v>
      </c>
      <c r="J45" s="283">
        <f t="shared" si="1"/>
        <v>5</v>
      </c>
      <c r="K45" s="283" t="str">
        <f t="shared" si="8"/>
        <v>H</v>
      </c>
      <c r="L45" s="284" t="str">
        <f t="shared" si="9"/>
        <v>3</v>
      </c>
      <c r="M45" s="238"/>
    </row>
    <row r="46" spans="1:13" ht="60" customHeight="1">
      <c r="A46" s="236"/>
      <c r="B46" s="278" t="s">
        <v>1042</v>
      </c>
      <c r="C46" s="279" t="s">
        <v>1057</v>
      </c>
      <c r="D46" s="280" t="s">
        <v>1058</v>
      </c>
      <c r="E46" s="281" t="s">
        <v>1059</v>
      </c>
      <c r="F46" s="282" t="s">
        <v>113</v>
      </c>
      <c r="G46" s="282" t="s">
        <v>113</v>
      </c>
      <c r="H46" s="283">
        <f t="shared" si="0"/>
        <v>3</v>
      </c>
      <c r="I46" s="283">
        <f t="shared" si="0"/>
        <v>3</v>
      </c>
      <c r="J46" s="283">
        <f t="shared" si="1"/>
        <v>6</v>
      </c>
      <c r="K46" s="283" t="str">
        <f t="shared" si="8"/>
        <v>H</v>
      </c>
      <c r="L46" s="284" t="str">
        <f t="shared" si="9"/>
        <v>3</v>
      </c>
      <c r="M46" s="238"/>
    </row>
    <row r="47" spans="1:13" ht="60" customHeight="1">
      <c r="A47" s="236"/>
      <c r="B47" s="278" t="s">
        <v>1042</v>
      </c>
      <c r="C47" s="285" t="s">
        <v>1060</v>
      </c>
      <c r="D47" s="280" t="s">
        <v>1061</v>
      </c>
      <c r="E47" s="281" t="s">
        <v>1062</v>
      </c>
      <c r="F47" s="282" t="s">
        <v>114</v>
      </c>
      <c r="G47" s="282" t="s">
        <v>114</v>
      </c>
      <c r="H47" s="283">
        <f t="shared" si="0"/>
        <v>2</v>
      </c>
      <c r="I47" s="283">
        <f t="shared" si="0"/>
        <v>2</v>
      </c>
      <c r="J47" s="283">
        <f t="shared" si="1"/>
        <v>4</v>
      </c>
      <c r="K47" s="283" t="str">
        <f t="shared" si="8"/>
        <v>M</v>
      </c>
      <c r="L47" s="284" t="str">
        <f t="shared" si="9"/>
        <v>2</v>
      </c>
      <c r="M47" s="238"/>
    </row>
    <row r="48" spans="1:13" ht="60" customHeight="1">
      <c r="A48" s="236"/>
      <c r="B48" s="278" t="s">
        <v>1042</v>
      </c>
      <c r="C48" s="279" t="s">
        <v>1063</v>
      </c>
      <c r="D48" s="280" t="s">
        <v>164</v>
      </c>
      <c r="E48" s="281" t="s">
        <v>1064</v>
      </c>
      <c r="F48" s="282" t="s">
        <v>113</v>
      </c>
      <c r="G48" s="282" t="s">
        <v>114</v>
      </c>
      <c r="H48" s="283">
        <f t="shared" si="0"/>
        <v>3</v>
      </c>
      <c r="I48" s="283">
        <f t="shared" si="0"/>
        <v>2</v>
      </c>
      <c r="J48" s="283">
        <f t="shared" si="1"/>
        <v>5</v>
      </c>
      <c r="K48" s="283" t="str">
        <f t="shared" si="8"/>
        <v>H</v>
      </c>
      <c r="L48" s="284" t="str">
        <f t="shared" si="9"/>
        <v>3</v>
      </c>
      <c r="M48" s="238"/>
    </row>
    <row r="49" spans="1:13" ht="60" customHeight="1">
      <c r="A49" s="236"/>
      <c r="B49" s="278" t="s">
        <v>1042</v>
      </c>
      <c r="C49" s="285" t="s">
        <v>1065</v>
      </c>
      <c r="D49" s="280" t="s">
        <v>1066</v>
      </c>
      <c r="E49" s="281" t="s">
        <v>1067</v>
      </c>
      <c r="F49" s="282" t="s">
        <v>113</v>
      </c>
      <c r="G49" s="282" t="s">
        <v>113</v>
      </c>
      <c r="H49" s="283">
        <f t="shared" si="0"/>
        <v>3</v>
      </c>
      <c r="I49" s="283">
        <f t="shared" si="0"/>
        <v>3</v>
      </c>
      <c r="J49" s="283">
        <f t="shared" si="1"/>
        <v>6</v>
      </c>
      <c r="K49" s="283" t="str">
        <f t="shared" si="8"/>
        <v>H</v>
      </c>
      <c r="L49" s="284" t="str">
        <f t="shared" si="9"/>
        <v>3</v>
      </c>
      <c r="M49" s="238"/>
    </row>
    <row r="50" spans="1:13" ht="60" customHeight="1">
      <c r="A50" s="236"/>
      <c r="B50" s="278" t="s">
        <v>1042</v>
      </c>
      <c r="C50" s="279" t="s">
        <v>1068</v>
      </c>
      <c r="D50" s="280" t="s">
        <v>1069</v>
      </c>
      <c r="E50" s="281" t="s">
        <v>1070</v>
      </c>
      <c r="F50" s="282" t="s">
        <v>114</v>
      </c>
      <c r="G50" s="282" t="s">
        <v>114</v>
      </c>
      <c r="H50" s="283">
        <f t="shared" si="0"/>
        <v>2</v>
      </c>
      <c r="I50" s="283">
        <f t="shared" si="0"/>
        <v>2</v>
      </c>
      <c r="J50" s="283">
        <f t="shared" si="1"/>
        <v>4</v>
      </c>
      <c r="K50" s="283" t="str">
        <f t="shared" si="8"/>
        <v>M</v>
      </c>
      <c r="L50" s="284" t="str">
        <f t="shared" si="9"/>
        <v>2</v>
      </c>
      <c r="M50" s="238"/>
    </row>
    <row r="51" spans="1:13" ht="60" customHeight="1">
      <c r="A51" s="236"/>
      <c r="B51" s="278" t="s">
        <v>1041</v>
      </c>
      <c r="C51" s="285" t="s">
        <v>1071</v>
      </c>
      <c r="D51" s="280" t="s">
        <v>1072</v>
      </c>
      <c r="E51" s="281" t="s">
        <v>1073</v>
      </c>
      <c r="F51" s="282" t="s">
        <v>426</v>
      </c>
      <c r="G51" s="282" t="s">
        <v>114</v>
      </c>
      <c r="H51" s="283">
        <f t="shared" si="0"/>
        <v>1</v>
      </c>
      <c r="I51" s="283">
        <f t="shared" si="0"/>
        <v>2</v>
      </c>
      <c r="J51" s="283">
        <f t="shared" si="1"/>
        <v>3</v>
      </c>
      <c r="K51" s="283" t="str">
        <f t="shared" si="8"/>
        <v>M</v>
      </c>
      <c r="L51" s="284" t="str">
        <f t="shared" si="9"/>
        <v>2</v>
      </c>
      <c r="M51" s="238"/>
    </row>
    <row r="52" spans="1:13" ht="60" customHeight="1">
      <c r="A52" s="236"/>
      <c r="B52" s="278" t="s">
        <v>1042</v>
      </c>
      <c r="C52" s="279" t="s">
        <v>1074</v>
      </c>
      <c r="D52" s="280" t="s">
        <v>1075</v>
      </c>
      <c r="E52" s="281" t="s">
        <v>1076</v>
      </c>
      <c r="F52" s="282" t="s">
        <v>113</v>
      </c>
      <c r="G52" s="282" t="s">
        <v>114</v>
      </c>
      <c r="H52" s="283">
        <f t="shared" si="0"/>
        <v>3</v>
      </c>
      <c r="I52" s="283">
        <f t="shared" si="0"/>
        <v>2</v>
      </c>
      <c r="J52" s="283">
        <f t="shared" si="1"/>
        <v>5</v>
      </c>
      <c r="K52" s="283" t="str">
        <f t="shared" si="8"/>
        <v>H</v>
      </c>
      <c r="L52" s="284" t="str">
        <f t="shared" si="9"/>
        <v>3</v>
      </c>
      <c r="M52" s="238"/>
    </row>
    <row r="53" spans="1:13" ht="60" customHeight="1">
      <c r="A53" s="236"/>
      <c r="B53" s="278" t="s">
        <v>1042</v>
      </c>
      <c r="C53" s="285" t="s">
        <v>1077</v>
      </c>
      <c r="D53" s="280" t="s">
        <v>483</v>
      </c>
      <c r="E53" s="281" t="s">
        <v>1078</v>
      </c>
      <c r="F53" s="282" t="s">
        <v>114</v>
      </c>
      <c r="G53" s="282" t="s">
        <v>114</v>
      </c>
      <c r="H53" s="283">
        <f t="shared" si="0"/>
        <v>2</v>
      </c>
      <c r="I53" s="283">
        <f t="shared" si="0"/>
        <v>2</v>
      </c>
      <c r="J53" s="283">
        <f t="shared" si="1"/>
        <v>4</v>
      </c>
      <c r="K53" s="283" t="str">
        <f t="shared" si="8"/>
        <v>M</v>
      </c>
      <c r="L53" s="284" t="str">
        <f t="shared" si="9"/>
        <v>2</v>
      </c>
      <c r="M53" s="238"/>
    </row>
    <row r="54" spans="1:13" ht="60" customHeight="1">
      <c r="A54" s="236"/>
      <c r="B54" s="278" t="s">
        <v>1041</v>
      </c>
      <c r="C54" s="279" t="s">
        <v>1079</v>
      </c>
      <c r="D54" s="280" t="s">
        <v>1080</v>
      </c>
      <c r="E54" s="281" t="s">
        <v>1081</v>
      </c>
      <c r="F54" s="282" t="s">
        <v>113</v>
      </c>
      <c r="G54" s="282" t="s">
        <v>426</v>
      </c>
      <c r="H54" s="283">
        <f t="shared" si="0"/>
        <v>3</v>
      </c>
      <c r="I54" s="283">
        <f t="shared" si="0"/>
        <v>1</v>
      </c>
      <c r="J54" s="283">
        <f t="shared" si="1"/>
        <v>4</v>
      </c>
      <c r="K54" s="283" t="str">
        <f t="shared" si="8"/>
        <v>M</v>
      </c>
      <c r="L54" s="284" t="str">
        <f t="shared" si="9"/>
        <v>2</v>
      </c>
      <c r="M54" s="238"/>
    </row>
    <row r="55" spans="1:13" ht="60" customHeight="1">
      <c r="A55" s="236"/>
      <c r="B55" s="278" t="s">
        <v>1042</v>
      </c>
      <c r="C55" s="285" t="s">
        <v>1082</v>
      </c>
      <c r="D55" s="288" t="s">
        <v>121</v>
      </c>
      <c r="E55" s="281" t="s">
        <v>1083</v>
      </c>
      <c r="F55" s="282" t="s">
        <v>114</v>
      </c>
      <c r="G55" s="282" t="s">
        <v>113</v>
      </c>
      <c r="H55" s="283">
        <f t="shared" si="0"/>
        <v>2</v>
      </c>
      <c r="I55" s="283">
        <f t="shared" si="0"/>
        <v>3</v>
      </c>
      <c r="J55" s="283">
        <f t="shared" si="1"/>
        <v>5</v>
      </c>
      <c r="K55" s="283" t="str">
        <f t="shared" si="8"/>
        <v>H</v>
      </c>
      <c r="L55" s="284" t="str">
        <f t="shared" si="9"/>
        <v>3</v>
      </c>
      <c r="M55" s="238"/>
    </row>
    <row r="56" spans="1:13" ht="60" customHeight="1">
      <c r="A56" s="236"/>
      <c r="B56" s="278" t="s">
        <v>1042</v>
      </c>
      <c r="C56" s="279" t="s">
        <v>1084</v>
      </c>
      <c r="D56" s="288" t="s">
        <v>1085</v>
      </c>
      <c r="E56" s="281" t="s">
        <v>1086</v>
      </c>
      <c r="F56" s="282" t="s">
        <v>113</v>
      </c>
      <c r="G56" s="282" t="s">
        <v>114</v>
      </c>
      <c r="H56" s="283">
        <f t="shared" si="0"/>
        <v>3</v>
      </c>
      <c r="I56" s="283">
        <f t="shared" si="0"/>
        <v>2</v>
      </c>
      <c r="J56" s="283">
        <f t="shared" si="1"/>
        <v>5</v>
      </c>
      <c r="K56" s="283" t="str">
        <f t="shared" si="8"/>
        <v>H</v>
      </c>
      <c r="L56" s="284" t="str">
        <f t="shared" si="9"/>
        <v>3</v>
      </c>
      <c r="M56" s="238"/>
    </row>
    <row r="57" spans="1:13" ht="60" customHeight="1">
      <c r="A57" s="236"/>
      <c r="B57" s="278" t="s">
        <v>1042</v>
      </c>
      <c r="C57" s="285" t="s">
        <v>1087</v>
      </c>
      <c r="D57" s="288" t="s">
        <v>1088</v>
      </c>
      <c r="E57" s="281" t="s">
        <v>1089</v>
      </c>
      <c r="F57" s="282" t="s">
        <v>113</v>
      </c>
      <c r="G57" s="282" t="s">
        <v>426</v>
      </c>
      <c r="H57" s="283">
        <f t="shared" si="0"/>
        <v>3</v>
      </c>
      <c r="I57" s="283">
        <f t="shared" si="0"/>
        <v>1</v>
      </c>
      <c r="J57" s="283">
        <f t="shared" si="1"/>
        <v>4</v>
      </c>
      <c r="K57" s="283" t="str">
        <f t="shared" si="8"/>
        <v>M</v>
      </c>
      <c r="L57" s="284" t="str">
        <f t="shared" si="9"/>
        <v>2</v>
      </c>
      <c r="M57" s="238"/>
    </row>
    <row r="58" spans="1:13" ht="60" customHeight="1">
      <c r="A58" s="236"/>
      <c r="B58" s="278" t="s">
        <v>1050</v>
      </c>
      <c r="C58" s="279" t="s">
        <v>1090</v>
      </c>
      <c r="D58" s="288" t="s">
        <v>1091</v>
      </c>
      <c r="E58" s="281" t="s">
        <v>1092</v>
      </c>
      <c r="F58" s="282" t="s">
        <v>113</v>
      </c>
      <c r="G58" s="282" t="s">
        <v>113</v>
      </c>
      <c r="H58" s="283">
        <f t="shared" si="0"/>
        <v>3</v>
      </c>
      <c r="I58" s="283">
        <f t="shared" si="0"/>
        <v>3</v>
      </c>
      <c r="J58" s="283">
        <f t="shared" si="1"/>
        <v>6</v>
      </c>
      <c r="K58" s="283" t="str">
        <f t="shared" si="8"/>
        <v>H</v>
      </c>
      <c r="L58" s="284" t="str">
        <f t="shared" si="9"/>
        <v>3</v>
      </c>
      <c r="M58" s="238"/>
    </row>
    <row r="59" spans="1:13" ht="60" customHeight="1">
      <c r="A59" s="236"/>
      <c r="B59" s="278" t="s">
        <v>1042</v>
      </c>
      <c r="C59" s="285" t="s">
        <v>1093</v>
      </c>
      <c r="D59" s="280" t="s">
        <v>1094</v>
      </c>
      <c r="E59" s="281" t="s">
        <v>1095</v>
      </c>
      <c r="F59" s="282" t="s">
        <v>114</v>
      </c>
      <c r="G59" s="282" t="s">
        <v>114</v>
      </c>
      <c r="H59" s="283">
        <f t="shared" si="0"/>
        <v>2</v>
      </c>
      <c r="I59" s="283">
        <f t="shared" si="0"/>
        <v>2</v>
      </c>
      <c r="J59" s="283">
        <f t="shared" si="1"/>
        <v>4</v>
      </c>
      <c r="K59" s="283" t="str">
        <f t="shared" si="8"/>
        <v>M</v>
      </c>
      <c r="L59" s="284" t="str">
        <f t="shared" si="9"/>
        <v>2</v>
      </c>
      <c r="M59" s="238"/>
    </row>
    <row r="60" spans="1:13" ht="60" customHeight="1">
      <c r="A60" s="236"/>
      <c r="B60" s="278" t="s">
        <v>1050</v>
      </c>
      <c r="C60" s="279" t="s">
        <v>1096</v>
      </c>
      <c r="D60" s="280" t="s">
        <v>1097</v>
      </c>
      <c r="E60" s="281" t="s">
        <v>1098</v>
      </c>
      <c r="F60" s="282" t="s">
        <v>113</v>
      </c>
      <c r="G60" s="282" t="s">
        <v>113</v>
      </c>
      <c r="H60" s="283">
        <f t="shared" si="0"/>
        <v>3</v>
      </c>
      <c r="I60" s="283">
        <f t="shared" si="0"/>
        <v>3</v>
      </c>
      <c r="J60" s="283">
        <f t="shared" si="1"/>
        <v>6</v>
      </c>
      <c r="K60" s="283" t="str">
        <f t="shared" si="8"/>
        <v>H</v>
      </c>
      <c r="L60" s="284" t="str">
        <f t="shared" si="9"/>
        <v>3</v>
      </c>
      <c r="M60" s="238"/>
    </row>
    <row r="61" spans="1:13" ht="60" customHeight="1">
      <c r="A61" s="236"/>
      <c r="B61" s="278" t="s">
        <v>1099</v>
      </c>
      <c r="C61" s="285" t="s">
        <v>1100</v>
      </c>
      <c r="D61" s="288" t="s">
        <v>1101</v>
      </c>
      <c r="E61" s="281" t="s">
        <v>1102</v>
      </c>
      <c r="F61" s="282" t="s">
        <v>114</v>
      </c>
      <c r="G61" s="282" t="s">
        <v>113</v>
      </c>
      <c r="H61" s="283">
        <v>2</v>
      </c>
      <c r="I61" s="283">
        <v>3</v>
      </c>
      <c r="J61" s="283">
        <v>5</v>
      </c>
      <c r="K61" s="283" t="str">
        <f t="shared" si="8"/>
        <v>H</v>
      </c>
      <c r="L61" s="284" t="str">
        <f t="shared" si="9"/>
        <v>3</v>
      </c>
      <c r="M61" s="238"/>
    </row>
    <row r="62" spans="1:13" ht="60" customHeight="1">
      <c r="A62" s="236"/>
      <c r="B62" s="278" t="s">
        <v>1099</v>
      </c>
      <c r="C62" s="279" t="s">
        <v>1103</v>
      </c>
      <c r="D62" s="288" t="s">
        <v>1104</v>
      </c>
      <c r="E62" s="281" t="s">
        <v>1105</v>
      </c>
      <c r="F62" s="282" t="s">
        <v>113</v>
      </c>
      <c r="G62" s="282" t="s">
        <v>113</v>
      </c>
      <c r="H62" s="283">
        <v>3</v>
      </c>
      <c r="I62" s="283">
        <v>3</v>
      </c>
      <c r="J62" s="283">
        <v>6</v>
      </c>
      <c r="K62" s="283" t="str">
        <f t="shared" si="8"/>
        <v>H</v>
      </c>
      <c r="L62" s="284" t="str">
        <f t="shared" si="9"/>
        <v>3</v>
      </c>
      <c r="M62" s="238"/>
    </row>
    <row r="63" spans="1:13" ht="60" customHeight="1">
      <c r="A63" s="236"/>
      <c r="B63" s="278" t="s">
        <v>1099</v>
      </c>
      <c r="C63" s="285" t="s">
        <v>1106</v>
      </c>
      <c r="D63" s="288" t="s">
        <v>1107</v>
      </c>
      <c r="E63" s="281" t="s">
        <v>1108</v>
      </c>
      <c r="F63" s="282" t="s">
        <v>113</v>
      </c>
      <c r="G63" s="282" t="s">
        <v>113</v>
      </c>
      <c r="H63" s="283">
        <v>3</v>
      </c>
      <c r="I63" s="283">
        <v>3</v>
      </c>
      <c r="J63" s="283">
        <v>6</v>
      </c>
      <c r="K63" s="283" t="str">
        <f t="shared" si="8"/>
        <v>H</v>
      </c>
      <c r="L63" s="284" t="str">
        <f t="shared" si="9"/>
        <v>3</v>
      </c>
      <c r="M63" s="238"/>
    </row>
    <row r="64" spans="1:13" ht="60" customHeight="1">
      <c r="A64" s="236"/>
      <c r="B64" s="278" t="s">
        <v>1099</v>
      </c>
      <c r="C64" s="279" t="s">
        <v>1109</v>
      </c>
      <c r="D64" s="288" t="s">
        <v>1110</v>
      </c>
      <c r="E64" s="281" t="s">
        <v>1111</v>
      </c>
      <c r="F64" s="282" t="s">
        <v>113</v>
      </c>
      <c r="G64" s="282" t="s">
        <v>113</v>
      </c>
      <c r="H64" s="283">
        <v>3</v>
      </c>
      <c r="I64" s="283">
        <v>3</v>
      </c>
      <c r="J64" s="283">
        <v>6</v>
      </c>
      <c r="K64" s="283" t="str">
        <f t="shared" si="8"/>
        <v>H</v>
      </c>
      <c r="L64" s="284" t="str">
        <f t="shared" si="9"/>
        <v>3</v>
      </c>
      <c r="M64" s="238"/>
    </row>
    <row r="65" spans="1:13" ht="60" customHeight="1">
      <c r="A65" s="236"/>
      <c r="B65" s="278" t="s">
        <v>1099</v>
      </c>
      <c r="C65" s="285" t="s">
        <v>1112</v>
      </c>
      <c r="D65" s="288" t="s">
        <v>1113</v>
      </c>
      <c r="E65" s="281" t="s">
        <v>1114</v>
      </c>
      <c r="F65" s="282" t="s">
        <v>113</v>
      </c>
      <c r="G65" s="282" t="s">
        <v>113</v>
      </c>
      <c r="H65" s="283">
        <v>3</v>
      </c>
      <c r="I65" s="283">
        <v>3</v>
      </c>
      <c r="J65" s="283">
        <v>6</v>
      </c>
      <c r="K65" s="283" t="str">
        <f t="shared" si="8"/>
        <v>H</v>
      </c>
      <c r="L65" s="284" t="str">
        <f t="shared" si="9"/>
        <v>3</v>
      </c>
      <c r="M65" s="238"/>
    </row>
    <row r="66" spans="1:13" ht="60" customHeight="1">
      <c r="A66" s="236"/>
      <c r="B66" s="278" t="s">
        <v>1099</v>
      </c>
      <c r="C66" s="279" t="s">
        <v>1115</v>
      </c>
      <c r="D66" s="288" t="s">
        <v>1116</v>
      </c>
      <c r="E66" s="281" t="s">
        <v>1117</v>
      </c>
      <c r="F66" s="282" t="s">
        <v>113</v>
      </c>
      <c r="G66" s="282" t="s">
        <v>113</v>
      </c>
      <c r="H66" s="283">
        <v>3</v>
      </c>
      <c r="I66" s="283">
        <v>3</v>
      </c>
      <c r="J66" s="283">
        <v>6</v>
      </c>
      <c r="K66" s="283" t="str">
        <f t="shared" si="8"/>
        <v>H</v>
      </c>
      <c r="L66" s="284" t="str">
        <f t="shared" si="9"/>
        <v>3</v>
      </c>
      <c r="M66" s="238"/>
    </row>
    <row r="67" spans="1:13" ht="60" customHeight="1">
      <c r="A67" s="236"/>
      <c r="B67" s="278" t="s">
        <v>1099</v>
      </c>
      <c r="C67" s="285" t="s">
        <v>1118</v>
      </c>
      <c r="D67" s="288" t="s">
        <v>1119</v>
      </c>
      <c r="E67" s="281" t="s">
        <v>1120</v>
      </c>
      <c r="F67" s="282" t="s">
        <v>113</v>
      </c>
      <c r="G67" s="282" t="s">
        <v>113</v>
      </c>
      <c r="H67" s="283">
        <v>3</v>
      </c>
      <c r="I67" s="283">
        <v>3</v>
      </c>
      <c r="J67" s="283">
        <v>6</v>
      </c>
      <c r="K67" s="283" t="str">
        <f t="shared" si="8"/>
        <v>H</v>
      </c>
      <c r="L67" s="284" t="str">
        <f t="shared" si="9"/>
        <v>3</v>
      </c>
      <c r="M67" s="238"/>
    </row>
    <row r="68" spans="1:13" ht="60" customHeight="1">
      <c r="A68" s="236"/>
      <c r="B68" s="278" t="s">
        <v>1099</v>
      </c>
      <c r="C68" s="279" t="s">
        <v>1121</v>
      </c>
      <c r="D68" s="288" t="s">
        <v>1122</v>
      </c>
      <c r="E68" s="281" t="s">
        <v>1123</v>
      </c>
      <c r="F68" s="282" t="s">
        <v>113</v>
      </c>
      <c r="G68" s="282" t="s">
        <v>113</v>
      </c>
      <c r="H68" s="283">
        <v>3</v>
      </c>
      <c r="I68" s="283">
        <v>3</v>
      </c>
      <c r="J68" s="283">
        <v>6</v>
      </c>
      <c r="K68" s="283" t="str">
        <f t="shared" si="8"/>
        <v>H</v>
      </c>
      <c r="L68" s="284" t="str">
        <f t="shared" si="9"/>
        <v>3</v>
      </c>
      <c r="M68" s="238"/>
    </row>
    <row r="69" spans="1:13" ht="60" customHeight="1">
      <c r="A69" s="236"/>
      <c r="B69" s="278" t="s">
        <v>1099</v>
      </c>
      <c r="C69" s="285" t="s">
        <v>1124</v>
      </c>
      <c r="D69" s="288" t="s">
        <v>1125</v>
      </c>
      <c r="E69" s="281" t="s">
        <v>1126</v>
      </c>
      <c r="F69" s="282" t="s">
        <v>113</v>
      </c>
      <c r="G69" s="282" t="s">
        <v>114</v>
      </c>
      <c r="H69" s="283">
        <v>3</v>
      </c>
      <c r="I69" s="283">
        <v>2</v>
      </c>
      <c r="J69" s="283">
        <v>5</v>
      </c>
      <c r="K69" s="283" t="str">
        <f t="shared" si="8"/>
        <v>H</v>
      </c>
      <c r="L69" s="284" t="str">
        <f t="shared" si="9"/>
        <v>3</v>
      </c>
      <c r="M69" s="238"/>
    </row>
    <row r="70" spans="1:13" ht="60" customHeight="1">
      <c r="A70" s="236"/>
      <c r="B70" s="278" t="s">
        <v>1099</v>
      </c>
      <c r="C70" s="279" t="s">
        <v>1127</v>
      </c>
      <c r="D70" s="288" t="s">
        <v>1128</v>
      </c>
      <c r="E70" s="281" t="s">
        <v>1129</v>
      </c>
      <c r="F70" s="282" t="s">
        <v>113</v>
      </c>
      <c r="G70" s="282" t="s">
        <v>114</v>
      </c>
      <c r="H70" s="283">
        <v>3</v>
      </c>
      <c r="I70" s="283">
        <v>2</v>
      </c>
      <c r="J70" s="283">
        <v>5</v>
      </c>
      <c r="K70" s="283" t="str">
        <f t="shared" si="8"/>
        <v>H</v>
      </c>
      <c r="L70" s="284" t="str">
        <f t="shared" si="9"/>
        <v>3</v>
      </c>
      <c r="M70" s="238"/>
    </row>
    <row r="71" spans="1:13" ht="60" customHeight="1">
      <c r="A71" s="236"/>
      <c r="B71" s="289" t="s">
        <v>1130</v>
      </c>
      <c r="C71" s="290" t="s">
        <v>1131</v>
      </c>
      <c r="D71" s="291" t="s">
        <v>1132</v>
      </c>
      <c r="E71" s="292" t="s">
        <v>1133</v>
      </c>
      <c r="F71" s="293" t="s">
        <v>114</v>
      </c>
      <c r="G71" s="293" t="s">
        <v>426</v>
      </c>
      <c r="H71" s="294">
        <f t="shared" si="0"/>
        <v>2</v>
      </c>
      <c r="I71" s="294">
        <f t="shared" si="0"/>
        <v>1</v>
      </c>
      <c r="J71" s="294">
        <f t="shared" si="1"/>
        <v>3</v>
      </c>
      <c r="K71" s="294" t="str">
        <f>IF(SUM(J71)&gt;=5,"H",IF(SUM(J71)&gt;=3,"M","L"))</f>
        <v>M</v>
      </c>
      <c r="L71" s="295" t="str">
        <f>IF(SUM(J71)&gt;=5,"3",IF(SUM(J71)&gt;=3,"2","1"))</f>
        <v>2</v>
      </c>
      <c r="M71" s="238"/>
    </row>
    <row r="72" spans="1:13" ht="60" customHeight="1">
      <c r="A72" s="236"/>
      <c r="B72" s="289" t="s">
        <v>1130</v>
      </c>
      <c r="C72" s="290" t="s">
        <v>1134</v>
      </c>
      <c r="D72" s="291" t="s">
        <v>1135</v>
      </c>
      <c r="E72" s="292" t="s">
        <v>1136</v>
      </c>
      <c r="F72" s="293" t="s">
        <v>114</v>
      </c>
      <c r="G72" s="293" t="s">
        <v>426</v>
      </c>
      <c r="H72" s="294">
        <f t="shared" si="0"/>
        <v>2</v>
      </c>
      <c r="I72" s="294">
        <f t="shared" si="0"/>
        <v>1</v>
      </c>
      <c r="J72" s="294">
        <f t="shared" si="1"/>
        <v>3</v>
      </c>
      <c r="K72" s="294" t="str">
        <f t="shared" ref="K72:K86" si="10">IF(SUM(J72)&gt;=5,"H",IF(SUM(J72)&gt;=3,"M","L"))</f>
        <v>M</v>
      </c>
      <c r="L72" s="295" t="str">
        <f t="shared" ref="L72:L86" si="11">IF(SUM(J72)&gt;=5,"3",IF(SUM(J72)&gt;=3,"2","1"))</f>
        <v>2</v>
      </c>
      <c r="M72" s="238"/>
    </row>
    <row r="73" spans="1:13" ht="60" customHeight="1">
      <c r="A73" s="236"/>
      <c r="B73" s="289" t="s">
        <v>1130</v>
      </c>
      <c r="C73" s="290" t="s">
        <v>1138</v>
      </c>
      <c r="D73" s="291" t="s">
        <v>625</v>
      </c>
      <c r="E73" s="292" t="s">
        <v>1139</v>
      </c>
      <c r="F73" s="293" t="s">
        <v>113</v>
      </c>
      <c r="G73" s="293" t="s">
        <v>114</v>
      </c>
      <c r="H73" s="294">
        <f t="shared" ref="H73:I96" si="12">IF(F73="H",3,IF(F73="M",2,IF(F73="L",1)))</f>
        <v>3</v>
      </c>
      <c r="I73" s="294">
        <f t="shared" si="12"/>
        <v>2</v>
      </c>
      <c r="J73" s="294">
        <f t="shared" ref="J73:J96" si="13">SUM(H73:I73)</f>
        <v>5</v>
      </c>
      <c r="K73" s="294" t="str">
        <f t="shared" si="10"/>
        <v>H</v>
      </c>
      <c r="L73" s="295" t="str">
        <f t="shared" si="11"/>
        <v>3</v>
      </c>
      <c r="M73" s="238"/>
    </row>
    <row r="74" spans="1:13" ht="60" customHeight="1">
      <c r="A74" s="236"/>
      <c r="B74" s="289" t="s">
        <v>1130</v>
      </c>
      <c r="C74" s="290" t="s">
        <v>1140</v>
      </c>
      <c r="D74" s="291" t="s">
        <v>1141</v>
      </c>
      <c r="E74" s="292" t="s">
        <v>1142</v>
      </c>
      <c r="F74" s="293" t="s">
        <v>426</v>
      </c>
      <c r="G74" s="293" t="s">
        <v>426</v>
      </c>
      <c r="H74" s="294">
        <f t="shared" si="12"/>
        <v>1</v>
      </c>
      <c r="I74" s="294">
        <f t="shared" si="12"/>
        <v>1</v>
      </c>
      <c r="J74" s="294">
        <f t="shared" si="13"/>
        <v>2</v>
      </c>
      <c r="K74" s="294" t="str">
        <f t="shared" si="10"/>
        <v>L</v>
      </c>
      <c r="L74" s="295" t="str">
        <f t="shared" si="11"/>
        <v>1</v>
      </c>
      <c r="M74" s="238"/>
    </row>
    <row r="75" spans="1:13" ht="60" customHeight="1">
      <c r="A75" s="236"/>
      <c r="B75" s="289" t="s">
        <v>1137</v>
      </c>
      <c r="C75" s="290" t="s">
        <v>1143</v>
      </c>
      <c r="D75" s="291" t="s">
        <v>1144</v>
      </c>
      <c r="E75" s="292" t="s">
        <v>1145</v>
      </c>
      <c r="F75" s="293" t="s">
        <v>114</v>
      </c>
      <c r="G75" s="293" t="s">
        <v>426</v>
      </c>
      <c r="H75" s="294">
        <f t="shared" si="12"/>
        <v>2</v>
      </c>
      <c r="I75" s="294">
        <f t="shared" si="12"/>
        <v>1</v>
      </c>
      <c r="J75" s="294">
        <f t="shared" si="13"/>
        <v>3</v>
      </c>
      <c r="K75" s="294" t="str">
        <f t="shared" si="10"/>
        <v>M</v>
      </c>
      <c r="L75" s="295" t="str">
        <f t="shared" si="11"/>
        <v>2</v>
      </c>
      <c r="M75" s="238"/>
    </row>
    <row r="76" spans="1:13" ht="60" customHeight="1">
      <c r="A76" s="236"/>
      <c r="B76" s="289" t="s">
        <v>1137</v>
      </c>
      <c r="C76" s="290" t="s">
        <v>1146</v>
      </c>
      <c r="D76" s="291" t="s">
        <v>1147</v>
      </c>
      <c r="E76" s="292" t="s">
        <v>1148</v>
      </c>
      <c r="F76" s="293" t="s">
        <v>114</v>
      </c>
      <c r="G76" s="293" t="s">
        <v>114</v>
      </c>
      <c r="H76" s="294">
        <f t="shared" si="12"/>
        <v>2</v>
      </c>
      <c r="I76" s="294">
        <f t="shared" si="12"/>
        <v>2</v>
      </c>
      <c r="J76" s="294">
        <f t="shared" si="13"/>
        <v>4</v>
      </c>
      <c r="K76" s="294" t="str">
        <f t="shared" si="10"/>
        <v>M</v>
      </c>
      <c r="L76" s="295" t="str">
        <f t="shared" si="11"/>
        <v>2</v>
      </c>
      <c r="M76" s="238"/>
    </row>
    <row r="77" spans="1:13" ht="60" customHeight="1">
      <c r="A77" s="236"/>
      <c r="B77" s="289" t="s">
        <v>1149</v>
      </c>
      <c r="C77" s="290" t="s">
        <v>1150</v>
      </c>
      <c r="D77" s="291" t="s">
        <v>200</v>
      </c>
      <c r="E77" s="292" t="s">
        <v>1151</v>
      </c>
      <c r="F77" s="293" t="s">
        <v>114</v>
      </c>
      <c r="G77" s="293" t="s">
        <v>114</v>
      </c>
      <c r="H77" s="294">
        <f t="shared" si="12"/>
        <v>2</v>
      </c>
      <c r="I77" s="294">
        <f t="shared" si="12"/>
        <v>2</v>
      </c>
      <c r="J77" s="294">
        <f t="shared" si="13"/>
        <v>4</v>
      </c>
      <c r="K77" s="294" t="str">
        <f t="shared" si="10"/>
        <v>M</v>
      </c>
      <c r="L77" s="295" t="str">
        <f t="shared" si="11"/>
        <v>2</v>
      </c>
      <c r="M77" s="238"/>
    </row>
    <row r="78" spans="1:13" ht="60" customHeight="1">
      <c r="A78" s="236"/>
      <c r="B78" s="289" t="s">
        <v>1130</v>
      </c>
      <c r="C78" s="290" t="s">
        <v>1152</v>
      </c>
      <c r="D78" s="291" t="s">
        <v>1153</v>
      </c>
      <c r="E78" s="292" t="s">
        <v>1154</v>
      </c>
      <c r="F78" s="293" t="s">
        <v>426</v>
      </c>
      <c r="G78" s="293" t="s">
        <v>426</v>
      </c>
      <c r="H78" s="294">
        <f t="shared" si="12"/>
        <v>1</v>
      </c>
      <c r="I78" s="294">
        <f t="shared" si="12"/>
        <v>1</v>
      </c>
      <c r="J78" s="294">
        <f t="shared" si="13"/>
        <v>2</v>
      </c>
      <c r="K78" s="294" t="str">
        <f t="shared" si="10"/>
        <v>L</v>
      </c>
      <c r="L78" s="295" t="str">
        <f t="shared" si="11"/>
        <v>1</v>
      </c>
      <c r="M78" s="238"/>
    </row>
    <row r="79" spans="1:13" ht="60" customHeight="1">
      <c r="A79" s="236"/>
      <c r="B79" s="289" t="s">
        <v>1130</v>
      </c>
      <c r="C79" s="290" t="s">
        <v>1155</v>
      </c>
      <c r="D79" s="291" t="s">
        <v>1156</v>
      </c>
      <c r="E79" s="292" t="s">
        <v>1157</v>
      </c>
      <c r="F79" s="293" t="s">
        <v>114</v>
      </c>
      <c r="G79" s="293" t="s">
        <v>114</v>
      </c>
      <c r="H79" s="294">
        <f t="shared" si="12"/>
        <v>2</v>
      </c>
      <c r="I79" s="294">
        <f t="shared" si="12"/>
        <v>2</v>
      </c>
      <c r="J79" s="294">
        <f t="shared" si="13"/>
        <v>4</v>
      </c>
      <c r="K79" s="294" t="str">
        <f t="shared" si="10"/>
        <v>M</v>
      </c>
      <c r="L79" s="295" t="str">
        <f t="shared" si="11"/>
        <v>2</v>
      </c>
      <c r="M79" s="238"/>
    </row>
    <row r="80" spans="1:13" ht="60" customHeight="1">
      <c r="A80" s="236"/>
      <c r="B80" s="289" t="s">
        <v>1130</v>
      </c>
      <c r="C80" s="290" t="s">
        <v>1158</v>
      </c>
      <c r="D80" s="291" t="s">
        <v>112</v>
      </c>
      <c r="E80" s="292" t="s">
        <v>1159</v>
      </c>
      <c r="F80" s="293" t="s">
        <v>113</v>
      </c>
      <c r="G80" s="293" t="s">
        <v>114</v>
      </c>
      <c r="H80" s="294">
        <f t="shared" si="12"/>
        <v>3</v>
      </c>
      <c r="I80" s="294">
        <f t="shared" si="12"/>
        <v>2</v>
      </c>
      <c r="J80" s="294">
        <f t="shared" si="13"/>
        <v>5</v>
      </c>
      <c r="K80" s="294" t="str">
        <f t="shared" si="10"/>
        <v>H</v>
      </c>
      <c r="L80" s="295" t="str">
        <f t="shared" si="11"/>
        <v>3</v>
      </c>
      <c r="M80" s="238"/>
    </row>
    <row r="81" spans="1:13" ht="60" customHeight="1">
      <c r="A81" s="236"/>
      <c r="B81" s="289" t="s">
        <v>1130</v>
      </c>
      <c r="C81" s="290" t="s">
        <v>1160</v>
      </c>
      <c r="D81" s="291" t="s">
        <v>1161</v>
      </c>
      <c r="E81" s="292" t="s">
        <v>1162</v>
      </c>
      <c r="F81" s="293" t="s">
        <v>113</v>
      </c>
      <c r="G81" s="293" t="s">
        <v>114</v>
      </c>
      <c r="H81" s="294">
        <f t="shared" si="12"/>
        <v>3</v>
      </c>
      <c r="I81" s="294">
        <f t="shared" si="12"/>
        <v>2</v>
      </c>
      <c r="J81" s="294">
        <f t="shared" si="13"/>
        <v>5</v>
      </c>
      <c r="K81" s="294" t="str">
        <f t="shared" si="10"/>
        <v>H</v>
      </c>
      <c r="L81" s="295" t="str">
        <f t="shared" si="11"/>
        <v>3</v>
      </c>
      <c r="M81" s="238"/>
    </row>
    <row r="82" spans="1:13" ht="60" customHeight="1">
      <c r="A82" s="236"/>
      <c r="B82" s="289" t="s">
        <v>1130</v>
      </c>
      <c r="C82" s="290" t="s">
        <v>1163</v>
      </c>
      <c r="D82" s="291" t="s">
        <v>143</v>
      </c>
      <c r="E82" s="292" t="s">
        <v>1164</v>
      </c>
      <c r="F82" s="293" t="s">
        <v>113</v>
      </c>
      <c r="G82" s="293" t="s">
        <v>113</v>
      </c>
      <c r="H82" s="294">
        <f t="shared" si="12"/>
        <v>3</v>
      </c>
      <c r="I82" s="294">
        <f t="shared" si="12"/>
        <v>3</v>
      </c>
      <c r="J82" s="294">
        <f t="shared" si="13"/>
        <v>6</v>
      </c>
      <c r="K82" s="294" t="str">
        <f t="shared" si="10"/>
        <v>H</v>
      </c>
      <c r="L82" s="295" t="str">
        <f t="shared" si="11"/>
        <v>3</v>
      </c>
      <c r="M82" s="238"/>
    </row>
    <row r="83" spans="1:13" ht="60" customHeight="1">
      <c r="A83" s="236"/>
      <c r="B83" s="289" t="s">
        <v>1130</v>
      </c>
      <c r="C83" s="290" t="s">
        <v>1165</v>
      </c>
      <c r="D83" s="291" t="s">
        <v>1166</v>
      </c>
      <c r="E83" s="292" t="s">
        <v>1167</v>
      </c>
      <c r="F83" s="293" t="s">
        <v>113</v>
      </c>
      <c r="G83" s="293" t="s">
        <v>114</v>
      </c>
      <c r="H83" s="294">
        <f t="shared" si="12"/>
        <v>3</v>
      </c>
      <c r="I83" s="294">
        <f t="shared" si="12"/>
        <v>2</v>
      </c>
      <c r="J83" s="294">
        <f t="shared" si="13"/>
        <v>5</v>
      </c>
      <c r="K83" s="294" t="str">
        <f t="shared" si="10"/>
        <v>H</v>
      </c>
      <c r="L83" s="295" t="str">
        <f t="shared" si="11"/>
        <v>3</v>
      </c>
      <c r="M83" s="238"/>
    </row>
    <row r="84" spans="1:13" ht="60" customHeight="1">
      <c r="A84" s="236"/>
      <c r="B84" s="289" t="s">
        <v>1130</v>
      </c>
      <c r="C84" s="290" t="s">
        <v>1168</v>
      </c>
      <c r="D84" s="291" t="s">
        <v>1169</v>
      </c>
      <c r="E84" s="292" t="s">
        <v>1170</v>
      </c>
      <c r="F84" s="293" t="s">
        <v>113</v>
      </c>
      <c r="G84" s="293" t="s">
        <v>114</v>
      </c>
      <c r="H84" s="294">
        <f t="shared" si="12"/>
        <v>3</v>
      </c>
      <c r="I84" s="294">
        <f t="shared" si="12"/>
        <v>2</v>
      </c>
      <c r="J84" s="294">
        <f t="shared" si="13"/>
        <v>5</v>
      </c>
      <c r="K84" s="294" t="str">
        <f t="shared" si="10"/>
        <v>H</v>
      </c>
      <c r="L84" s="295" t="str">
        <f t="shared" si="11"/>
        <v>3</v>
      </c>
      <c r="M84" s="238"/>
    </row>
    <row r="85" spans="1:13" ht="60" customHeight="1">
      <c r="A85" s="236"/>
      <c r="B85" s="289" t="s">
        <v>1171</v>
      </c>
      <c r="C85" s="290" t="s">
        <v>1172</v>
      </c>
      <c r="D85" s="291" t="s">
        <v>1173</v>
      </c>
      <c r="E85" s="292" t="s">
        <v>1174</v>
      </c>
      <c r="F85" s="293" t="s">
        <v>113</v>
      </c>
      <c r="G85" s="293" t="s">
        <v>426</v>
      </c>
      <c r="H85" s="294">
        <v>3</v>
      </c>
      <c r="I85" s="294">
        <v>1</v>
      </c>
      <c r="J85" s="294">
        <v>4</v>
      </c>
      <c r="K85" s="294" t="str">
        <f t="shared" si="10"/>
        <v>M</v>
      </c>
      <c r="L85" s="295" t="str">
        <f t="shared" si="11"/>
        <v>2</v>
      </c>
      <c r="M85" s="238"/>
    </row>
    <row r="86" spans="1:13" ht="60" customHeight="1">
      <c r="A86" s="236"/>
      <c r="B86" s="289" t="s">
        <v>1171</v>
      </c>
      <c r="C86" s="290" t="s">
        <v>1175</v>
      </c>
      <c r="D86" s="291" t="s">
        <v>1176</v>
      </c>
      <c r="E86" s="292" t="s">
        <v>1177</v>
      </c>
      <c r="F86" s="293" t="s">
        <v>113</v>
      </c>
      <c r="G86" s="293" t="s">
        <v>426</v>
      </c>
      <c r="H86" s="294">
        <v>3</v>
      </c>
      <c r="I86" s="294">
        <v>1</v>
      </c>
      <c r="J86" s="294">
        <v>4</v>
      </c>
      <c r="K86" s="294" t="str">
        <f t="shared" si="10"/>
        <v>M</v>
      </c>
      <c r="L86" s="295" t="str">
        <f t="shared" si="11"/>
        <v>2</v>
      </c>
      <c r="M86" s="238"/>
    </row>
    <row r="87" spans="1:13" ht="60" customHeight="1">
      <c r="A87" s="236"/>
      <c r="B87" s="296" t="s">
        <v>1178</v>
      </c>
      <c r="C87" s="297" t="s">
        <v>1179</v>
      </c>
      <c r="D87" s="298" t="s">
        <v>1180</v>
      </c>
      <c r="E87" s="299" t="s">
        <v>1181</v>
      </c>
      <c r="F87" s="300" t="s">
        <v>113</v>
      </c>
      <c r="G87" s="300" t="s">
        <v>114</v>
      </c>
      <c r="H87" s="301">
        <f t="shared" si="12"/>
        <v>3</v>
      </c>
      <c r="I87" s="301">
        <f t="shared" si="12"/>
        <v>2</v>
      </c>
      <c r="J87" s="301">
        <f t="shared" si="13"/>
        <v>5</v>
      </c>
      <c r="K87" s="301" t="str">
        <f>IF(SUM(J87)&gt;=5,"H",IF(SUM(J87)&gt;=3,"M","L"))</f>
        <v>H</v>
      </c>
      <c r="L87" s="302" t="str">
        <f>IF(SUM(J87)&gt;=5,"3",IF(SUM(J87)&gt;=3,"2","1"))</f>
        <v>3</v>
      </c>
      <c r="M87" s="238"/>
    </row>
    <row r="88" spans="1:13" ht="60" customHeight="1">
      <c r="A88" s="236"/>
      <c r="B88" s="296" t="s">
        <v>1182</v>
      </c>
      <c r="C88" s="297" t="s">
        <v>1183</v>
      </c>
      <c r="D88" s="298" t="s">
        <v>1184</v>
      </c>
      <c r="E88" s="299" t="s">
        <v>1185</v>
      </c>
      <c r="F88" s="300" t="s">
        <v>113</v>
      </c>
      <c r="G88" s="300" t="s">
        <v>426</v>
      </c>
      <c r="H88" s="301">
        <f t="shared" si="12"/>
        <v>3</v>
      </c>
      <c r="I88" s="301">
        <f t="shared" si="12"/>
        <v>1</v>
      </c>
      <c r="J88" s="301">
        <f t="shared" si="13"/>
        <v>4</v>
      </c>
      <c r="K88" s="301" t="str">
        <f t="shared" ref="K88:K96" si="14">IF(SUM(J88)&gt;=5,"H",IF(SUM(J88)&gt;=3,"M","L"))</f>
        <v>M</v>
      </c>
      <c r="L88" s="302" t="str">
        <f t="shared" ref="L88:L96" si="15">IF(SUM(J88)&gt;=5,"3",IF(SUM(J88)&gt;=3,"2","1"))</f>
        <v>2</v>
      </c>
      <c r="M88" s="238"/>
    </row>
    <row r="89" spans="1:13" ht="60" customHeight="1">
      <c r="A89" s="236"/>
      <c r="B89" s="296" t="s">
        <v>1178</v>
      </c>
      <c r="C89" s="297" t="s">
        <v>1186</v>
      </c>
      <c r="D89" s="298" t="s">
        <v>1187</v>
      </c>
      <c r="E89" s="299" t="s">
        <v>1188</v>
      </c>
      <c r="F89" s="300" t="s">
        <v>113</v>
      </c>
      <c r="G89" s="300" t="s">
        <v>426</v>
      </c>
      <c r="H89" s="301">
        <f t="shared" si="12"/>
        <v>3</v>
      </c>
      <c r="I89" s="301">
        <f t="shared" si="12"/>
        <v>1</v>
      </c>
      <c r="J89" s="301">
        <f t="shared" si="13"/>
        <v>4</v>
      </c>
      <c r="K89" s="301" t="str">
        <f t="shared" si="14"/>
        <v>M</v>
      </c>
      <c r="L89" s="302" t="str">
        <f t="shared" si="15"/>
        <v>2</v>
      </c>
      <c r="M89" s="238"/>
    </row>
    <row r="90" spans="1:13" ht="60" customHeight="1">
      <c r="A90" s="236"/>
      <c r="B90" s="296" t="s">
        <v>1178</v>
      </c>
      <c r="C90" s="297" t="s">
        <v>1189</v>
      </c>
      <c r="D90" s="298" t="s">
        <v>1190</v>
      </c>
      <c r="E90" s="299" t="s">
        <v>1191</v>
      </c>
      <c r="F90" s="300" t="s">
        <v>426</v>
      </c>
      <c r="G90" s="300" t="s">
        <v>426</v>
      </c>
      <c r="H90" s="301">
        <f t="shared" si="12"/>
        <v>1</v>
      </c>
      <c r="I90" s="301">
        <f t="shared" si="12"/>
        <v>1</v>
      </c>
      <c r="J90" s="301">
        <f t="shared" si="13"/>
        <v>2</v>
      </c>
      <c r="K90" s="301" t="str">
        <f t="shared" si="14"/>
        <v>L</v>
      </c>
      <c r="L90" s="302" t="str">
        <f t="shared" si="15"/>
        <v>1</v>
      </c>
      <c r="M90" s="238"/>
    </row>
    <row r="91" spans="1:13" ht="60" customHeight="1">
      <c r="A91" s="236"/>
      <c r="B91" s="296" t="s">
        <v>1178</v>
      </c>
      <c r="C91" s="297" t="s">
        <v>1192</v>
      </c>
      <c r="D91" s="298" t="s">
        <v>1193</v>
      </c>
      <c r="E91" s="299" t="s">
        <v>1194</v>
      </c>
      <c r="F91" s="300" t="s">
        <v>113</v>
      </c>
      <c r="G91" s="300" t="s">
        <v>426</v>
      </c>
      <c r="H91" s="301">
        <f t="shared" si="12"/>
        <v>3</v>
      </c>
      <c r="I91" s="301">
        <f t="shared" si="12"/>
        <v>1</v>
      </c>
      <c r="J91" s="301">
        <f t="shared" si="13"/>
        <v>4</v>
      </c>
      <c r="K91" s="301" t="str">
        <f t="shared" si="14"/>
        <v>M</v>
      </c>
      <c r="L91" s="302" t="str">
        <f t="shared" si="15"/>
        <v>2</v>
      </c>
      <c r="M91" s="238"/>
    </row>
    <row r="92" spans="1:13" ht="60" customHeight="1">
      <c r="A92" s="236"/>
      <c r="B92" s="296" t="s">
        <v>1178</v>
      </c>
      <c r="C92" s="297" t="s">
        <v>1195</v>
      </c>
      <c r="D92" s="298" t="s">
        <v>1196</v>
      </c>
      <c r="E92" s="299" t="s">
        <v>1197</v>
      </c>
      <c r="F92" s="300" t="s">
        <v>113</v>
      </c>
      <c r="G92" s="300" t="s">
        <v>426</v>
      </c>
      <c r="H92" s="301">
        <f t="shared" si="12"/>
        <v>3</v>
      </c>
      <c r="I92" s="301">
        <f t="shared" si="12"/>
        <v>1</v>
      </c>
      <c r="J92" s="301">
        <f t="shared" si="13"/>
        <v>4</v>
      </c>
      <c r="K92" s="301" t="str">
        <f t="shared" si="14"/>
        <v>M</v>
      </c>
      <c r="L92" s="302" t="str">
        <f t="shared" si="15"/>
        <v>2</v>
      </c>
      <c r="M92" s="238"/>
    </row>
    <row r="93" spans="1:13" ht="60" customHeight="1">
      <c r="A93" s="236"/>
      <c r="B93" s="296" t="s">
        <v>1178</v>
      </c>
      <c r="C93" s="297" t="s">
        <v>1198</v>
      </c>
      <c r="D93" s="298" t="s">
        <v>1199</v>
      </c>
      <c r="E93" s="299" t="s">
        <v>1200</v>
      </c>
      <c r="F93" s="300" t="s">
        <v>113</v>
      </c>
      <c r="G93" s="300" t="s">
        <v>426</v>
      </c>
      <c r="H93" s="301">
        <f t="shared" si="12"/>
        <v>3</v>
      </c>
      <c r="I93" s="301">
        <f t="shared" si="12"/>
        <v>1</v>
      </c>
      <c r="J93" s="301">
        <f t="shared" si="13"/>
        <v>4</v>
      </c>
      <c r="K93" s="301" t="str">
        <f t="shared" si="14"/>
        <v>M</v>
      </c>
      <c r="L93" s="302" t="str">
        <f t="shared" si="15"/>
        <v>2</v>
      </c>
      <c r="M93" s="238"/>
    </row>
    <row r="94" spans="1:13" ht="60" customHeight="1">
      <c r="A94" s="236"/>
      <c r="B94" s="296" t="s">
        <v>1201</v>
      </c>
      <c r="C94" s="297" t="s">
        <v>1202</v>
      </c>
      <c r="D94" s="298" t="s">
        <v>1203</v>
      </c>
      <c r="E94" s="299" t="s">
        <v>1204</v>
      </c>
      <c r="F94" s="300" t="s">
        <v>113</v>
      </c>
      <c r="G94" s="300" t="s">
        <v>426</v>
      </c>
      <c r="H94" s="301">
        <f t="shared" si="12"/>
        <v>3</v>
      </c>
      <c r="I94" s="301">
        <f t="shared" si="12"/>
        <v>1</v>
      </c>
      <c r="J94" s="301">
        <f t="shared" si="13"/>
        <v>4</v>
      </c>
      <c r="K94" s="301" t="str">
        <f t="shared" si="14"/>
        <v>M</v>
      </c>
      <c r="L94" s="302" t="str">
        <f t="shared" si="15"/>
        <v>2</v>
      </c>
      <c r="M94" s="238"/>
    </row>
    <row r="95" spans="1:13" ht="60" customHeight="1">
      <c r="A95" s="236"/>
      <c r="B95" s="296" t="s">
        <v>1178</v>
      </c>
      <c r="C95" s="297" t="s">
        <v>1205</v>
      </c>
      <c r="D95" s="298" t="s">
        <v>1206</v>
      </c>
      <c r="E95" s="299" t="s">
        <v>1207</v>
      </c>
      <c r="F95" s="300" t="s">
        <v>113</v>
      </c>
      <c r="G95" s="300" t="s">
        <v>426</v>
      </c>
      <c r="H95" s="301">
        <f t="shared" si="12"/>
        <v>3</v>
      </c>
      <c r="I95" s="301">
        <f t="shared" si="12"/>
        <v>1</v>
      </c>
      <c r="J95" s="301">
        <f t="shared" si="13"/>
        <v>4</v>
      </c>
      <c r="K95" s="301" t="str">
        <f t="shared" si="14"/>
        <v>M</v>
      </c>
      <c r="L95" s="302" t="str">
        <f t="shared" si="15"/>
        <v>2</v>
      </c>
      <c r="M95" s="238"/>
    </row>
    <row r="96" spans="1:13" ht="60" customHeight="1">
      <c r="A96" s="236"/>
      <c r="B96" s="296" t="s">
        <v>1178</v>
      </c>
      <c r="C96" s="297" t="s">
        <v>1208</v>
      </c>
      <c r="D96" s="298" t="s">
        <v>1209</v>
      </c>
      <c r="E96" s="299" t="s">
        <v>1210</v>
      </c>
      <c r="F96" s="300" t="s">
        <v>113</v>
      </c>
      <c r="G96" s="300" t="s">
        <v>426</v>
      </c>
      <c r="H96" s="301">
        <f t="shared" si="12"/>
        <v>3</v>
      </c>
      <c r="I96" s="301">
        <f t="shared" si="12"/>
        <v>1</v>
      </c>
      <c r="J96" s="301">
        <f t="shared" si="13"/>
        <v>4</v>
      </c>
      <c r="K96" s="301" t="str">
        <f t="shared" si="14"/>
        <v>M</v>
      </c>
      <c r="L96" s="302" t="str">
        <f t="shared" si="15"/>
        <v>2</v>
      </c>
      <c r="M96" s="238"/>
    </row>
    <row r="97" spans="1:13">
      <c r="A97" s="236"/>
      <c r="B97" s="238"/>
      <c r="C97" s="238"/>
      <c r="D97" s="238"/>
      <c r="E97" s="238"/>
      <c r="F97" s="303"/>
      <c r="G97" s="303"/>
      <c r="H97" s="303"/>
      <c r="I97" s="303"/>
      <c r="J97" s="303"/>
      <c r="K97" s="303"/>
      <c r="L97" s="238"/>
      <c r="M97" s="238"/>
    </row>
  </sheetData>
  <mergeCells count="1">
    <mergeCell ref="B1:D1"/>
  </mergeCells>
  <phoneticPr fontId="1" type="noConversion"/>
  <pageMargins left="0.70866141732283472" right="0.70866141732283472" top="0.74803149606299213" bottom="0.74803149606299213" header="0.31496062992125984" footer="0.31496062992125984"/>
  <pageSetup paperSize="9" scale="30" fitToHeight="0" orientation="portrait" horizontalDpi="4294967292" r:id="rId1"/>
  <headerFooter>
    <oddFooter>&amp;L&amp;A&amp;C&amp;P/&amp;N&amp;R&amp;G</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Q50"/>
  <sheetViews>
    <sheetView showGridLines="0" view="pageBreakPreview" zoomScale="85" zoomScaleNormal="100" zoomScaleSheetLayoutView="85" workbookViewId="0"/>
  </sheetViews>
  <sheetFormatPr defaultColWidth="9" defaultRowHeight="13.5" customHeight="1"/>
  <cols>
    <col min="1" max="17" width="5.125" style="37" customWidth="1"/>
    <col min="18" max="235" width="9" style="37" customWidth="1"/>
    <col min="236" max="248" width="10" style="37" customWidth="1"/>
    <col min="249" max="491" width="9" style="37"/>
    <col min="492" max="504" width="10" style="37" customWidth="1"/>
    <col min="505" max="747" width="9" style="37"/>
    <col min="748" max="760" width="10" style="37" customWidth="1"/>
    <col min="761" max="1003" width="9" style="37"/>
    <col min="1004" max="1016" width="10" style="37" customWidth="1"/>
    <col min="1017" max="1259" width="9" style="37"/>
    <col min="1260" max="1272" width="10" style="37" customWidth="1"/>
    <col min="1273" max="1515" width="9" style="37"/>
    <col min="1516" max="1528" width="10" style="37" customWidth="1"/>
    <col min="1529" max="1771" width="9" style="37"/>
    <col min="1772" max="1784" width="10" style="37" customWidth="1"/>
    <col min="1785" max="2027" width="9" style="37"/>
    <col min="2028" max="2040" width="10" style="37" customWidth="1"/>
    <col min="2041" max="2283" width="9" style="37"/>
    <col min="2284" max="2296" width="10" style="37" customWidth="1"/>
    <col min="2297" max="2539" width="9" style="37"/>
    <col min="2540" max="2552" width="10" style="37" customWidth="1"/>
    <col min="2553" max="2795" width="9" style="37"/>
    <col min="2796" max="2808" width="10" style="37" customWidth="1"/>
    <col min="2809" max="3051" width="9" style="37"/>
    <col min="3052" max="3064" width="10" style="37" customWidth="1"/>
    <col min="3065" max="3307" width="9" style="37"/>
    <col min="3308" max="3320" width="10" style="37" customWidth="1"/>
    <col min="3321" max="3563" width="9" style="37"/>
    <col min="3564" max="3576" width="10" style="37" customWidth="1"/>
    <col min="3577" max="3819" width="9" style="37"/>
    <col min="3820" max="3832" width="10" style="37" customWidth="1"/>
    <col min="3833" max="4075" width="9" style="37"/>
    <col min="4076" max="4088" width="10" style="37" customWidth="1"/>
    <col min="4089" max="4331" width="9" style="37"/>
    <col min="4332" max="4344" width="10" style="37" customWidth="1"/>
    <col min="4345" max="4587" width="9" style="37"/>
    <col min="4588" max="4600" width="10" style="37" customWidth="1"/>
    <col min="4601" max="4843" width="9" style="37"/>
    <col min="4844" max="4856" width="10" style="37" customWidth="1"/>
    <col min="4857" max="5099" width="9" style="37"/>
    <col min="5100" max="5112" width="10" style="37" customWidth="1"/>
    <col min="5113" max="5355" width="9" style="37"/>
    <col min="5356" max="5368" width="10" style="37" customWidth="1"/>
    <col min="5369" max="5611" width="9" style="37"/>
    <col min="5612" max="5624" width="10" style="37" customWidth="1"/>
    <col min="5625" max="5867" width="9" style="37"/>
    <col min="5868" max="5880" width="10" style="37" customWidth="1"/>
    <col min="5881" max="6123" width="9" style="37"/>
    <col min="6124" max="6136" width="10" style="37" customWidth="1"/>
    <col min="6137" max="6379" width="9" style="37"/>
    <col min="6380" max="6392" width="10" style="37" customWidth="1"/>
    <col min="6393" max="6635" width="9" style="37"/>
    <col min="6636" max="6648" width="10" style="37" customWidth="1"/>
    <col min="6649" max="6891" width="9" style="37"/>
    <col min="6892" max="6904" width="10" style="37" customWidth="1"/>
    <col min="6905" max="7147" width="9" style="37"/>
    <col min="7148" max="7160" width="10" style="37" customWidth="1"/>
    <col min="7161" max="7403" width="9" style="37"/>
    <col min="7404" max="7416" width="10" style="37" customWidth="1"/>
    <col min="7417" max="7659" width="9" style="37"/>
    <col min="7660" max="7672" width="10" style="37" customWidth="1"/>
    <col min="7673" max="7915" width="9" style="37"/>
    <col min="7916" max="7928" width="10" style="37" customWidth="1"/>
    <col min="7929" max="8171" width="9" style="37"/>
    <col min="8172" max="8184" width="10" style="37" customWidth="1"/>
    <col min="8185" max="8427" width="9" style="37"/>
    <col min="8428" max="8440" width="10" style="37" customWidth="1"/>
    <col min="8441" max="8683" width="9" style="37"/>
    <col min="8684" max="8696" width="10" style="37" customWidth="1"/>
    <col min="8697" max="8939" width="9" style="37"/>
    <col min="8940" max="8952" width="10" style="37" customWidth="1"/>
    <col min="8953" max="9195" width="9" style="37"/>
    <col min="9196" max="9208" width="10" style="37" customWidth="1"/>
    <col min="9209" max="9451" width="9" style="37"/>
    <col min="9452" max="9464" width="10" style="37" customWidth="1"/>
    <col min="9465" max="9707" width="9" style="37"/>
    <col min="9708" max="9720" width="10" style="37" customWidth="1"/>
    <col min="9721" max="9963" width="9" style="37"/>
    <col min="9964" max="9976" width="10" style="37" customWidth="1"/>
    <col min="9977" max="10219" width="9" style="37"/>
    <col min="10220" max="10232" width="10" style="37" customWidth="1"/>
    <col min="10233" max="10475" width="9" style="37"/>
    <col min="10476" max="10488" width="10" style="37" customWidth="1"/>
    <col min="10489" max="10731" width="9" style="37"/>
    <col min="10732" max="10744" width="10" style="37" customWidth="1"/>
    <col min="10745" max="10987" width="9" style="37"/>
    <col min="10988" max="11000" width="10" style="37" customWidth="1"/>
    <col min="11001" max="11243" width="9" style="37"/>
    <col min="11244" max="11256" width="10" style="37" customWidth="1"/>
    <col min="11257" max="11499" width="9" style="37"/>
    <col min="11500" max="11512" width="10" style="37" customWidth="1"/>
    <col min="11513" max="11755" width="9" style="37"/>
    <col min="11756" max="11768" width="10" style="37" customWidth="1"/>
    <col min="11769" max="12011" width="9" style="37"/>
    <col min="12012" max="12024" width="10" style="37" customWidth="1"/>
    <col min="12025" max="12267" width="9" style="37"/>
    <col min="12268" max="12280" width="10" style="37" customWidth="1"/>
    <col min="12281" max="12523" width="9" style="37"/>
    <col min="12524" max="12536" width="10" style="37" customWidth="1"/>
    <col min="12537" max="12779" width="9" style="37"/>
    <col min="12780" max="12792" width="10" style="37" customWidth="1"/>
    <col min="12793" max="13035" width="9" style="37"/>
    <col min="13036" max="13048" width="10" style="37" customWidth="1"/>
    <col min="13049" max="13291" width="9" style="37"/>
    <col min="13292" max="13304" width="10" style="37" customWidth="1"/>
    <col min="13305" max="13547" width="9" style="37"/>
    <col min="13548" max="13560" width="10" style="37" customWidth="1"/>
    <col min="13561" max="13803" width="9" style="37"/>
    <col min="13804" max="13816" width="10" style="37" customWidth="1"/>
    <col min="13817" max="14059" width="9" style="37"/>
    <col min="14060" max="14072" width="10" style="37" customWidth="1"/>
    <col min="14073" max="14315" width="9" style="37"/>
    <col min="14316" max="14328" width="10" style="37" customWidth="1"/>
    <col min="14329" max="14571" width="9" style="37"/>
    <col min="14572" max="14584" width="10" style="37" customWidth="1"/>
    <col min="14585" max="14827" width="9" style="37"/>
    <col min="14828" max="14840" width="10" style="37" customWidth="1"/>
    <col min="14841" max="15083" width="9" style="37"/>
    <col min="15084" max="15096" width="10" style="37" customWidth="1"/>
    <col min="15097" max="15339" width="9" style="37"/>
    <col min="15340" max="15352" width="10" style="37" customWidth="1"/>
    <col min="15353" max="15595" width="9" style="37"/>
    <col min="15596" max="15608" width="10" style="37" customWidth="1"/>
    <col min="15609" max="15851" width="9" style="37"/>
    <col min="15852" max="15864" width="10" style="37" customWidth="1"/>
    <col min="15865" max="16107" width="9" style="37"/>
    <col min="16108" max="16120" width="10" style="37" customWidth="1"/>
    <col min="16121" max="16384" width="9" style="37"/>
  </cols>
  <sheetData>
    <row r="1" spans="1:17"/>
    <row r="2" spans="1:17">
      <c r="A2" s="3"/>
      <c r="B2" s="3"/>
      <c r="C2" s="3"/>
      <c r="D2" s="3"/>
      <c r="E2" s="3"/>
      <c r="F2" s="3"/>
      <c r="G2" s="3"/>
      <c r="H2" s="3"/>
      <c r="I2" s="3"/>
      <c r="J2" s="3"/>
      <c r="K2" s="3"/>
      <c r="L2" s="3"/>
      <c r="M2" s="3"/>
    </row>
    <row r="3" spans="1:17">
      <c r="A3" s="3"/>
      <c r="B3" s="3"/>
      <c r="C3" s="3"/>
      <c r="D3" s="3"/>
      <c r="E3" s="3"/>
      <c r="F3" s="3"/>
      <c r="G3" s="3"/>
      <c r="H3" s="3"/>
      <c r="I3" s="3"/>
      <c r="J3" s="3"/>
      <c r="K3" s="3"/>
      <c r="L3" s="3"/>
      <c r="M3" s="3"/>
    </row>
    <row r="4" spans="1:17">
      <c r="A4" s="3"/>
      <c r="B4" s="3"/>
      <c r="C4" s="3"/>
      <c r="D4" s="3"/>
      <c r="E4" s="3"/>
      <c r="F4" s="3"/>
      <c r="G4" s="3"/>
      <c r="H4" s="3"/>
      <c r="I4" s="3"/>
      <c r="J4" s="3"/>
      <c r="K4" s="3"/>
      <c r="L4" s="3"/>
      <c r="M4" s="3"/>
    </row>
    <row r="5" spans="1:17">
      <c r="A5" s="3"/>
      <c r="B5" s="3"/>
      <c r="C5" s="3"/>
      <c r="D5" s="3"/>
      <c r="E5" s="3"/>
      <c r="F5" s="3"/>
      <c r="G5" s="3"/>
      <c r="H5" s="3"/>
      <c r="I5" s="3"/>
      <c r="J5" s="3"/>
      <c r="K5" s="3"/>
      <c r="L5" s="3"/>
      <c r="M5" s="3"/>
    </row>
    <row r="6" spans="1:17">
      <c r="A6" s="3"/>
      <c r="B6" s="3"/>
      <c r="C6" s="3"/>
      <c r="D6" s="3"/>
      <c r="E6" s="3"/>
      <c r="F6" s="3"/>
      <c r="G6" s="3"/>
      <c r="H6" s="3"/>
      <c r="I6" s="3"/>
      <c r="J6" s="3"/>
      <c r="K6" s="3"/>
      <c r="L6" s="3"/>
      <c r="M6" s="3"/>
    </row>
    <row r="7" spans="1:17">
      <c r="A7" s="3"/>
      <c r="B7" s="3"/>
      <c r="C7" s="3"/>
      <c r="D7" s="3"/>
      <c r="E7" s="3"/>
      <c r="F7" s="3"/>
      <c r="G7" s="3"/>
      <c r="H7" s="3"/>
      <c r="I7" s="3"/>
      <c r="J7" s="3"/>
      <c r="K7" s="3"/>
      <c r="L7" s="3"/>
      <c r="M7" s="3"/>
    </row>
    <row r="8" spans="1:17">
      <c r="A8" s="3"/>
      <c r="B8" s="3"/>
      <c r="C8" s="3"/>
      <c r="D8" s="3"/>
      <c r="E8" s="3"/>
      <c r="F8" s="3"/>
      <c r="G8" s="3"/>
      <c r="H8" s="3"/>
      <c r="I8" s="3"/>
      <c r="J8" s="3"/>
      <c r="K8" s="3"/>
      <c r="L8" s="3"/>
      <c r="M8" s="3"/>
    </row>
    <row r="9" spans="1:17">
      <c r="A9" s="3"/>
      <c r="B9" s="3"/>
      <c r="C9" s="3"/>
      <c r="D9" s="3"/>
      <c r="E9" s="3"/>
      <c r="F9" s="3"/>
      <c r="G9" s="3"/>
      <c r="H9" s="3"/>
      <c r="I9" s="3"/>
      <c r="J9" s="3"/>
      <c r="K9" s="3"/>
      <c r="L9" s="3"/>
      <c r="M9" s="3"/>
    </row>
    <row r="10" spans="1:17">
      <c r="A10" s="3"/>
      <c r="B10" s="3"/>
      <c r="C10" s="3"/>
      <c r="D10" s="3"/>
      <c r="E10" s="3"/>
      <c r="F10" s="3"/>
      <c r="G10" s="3"/>
      <c r="H10" s="3"/>
      <c r="I10" s="3"/>
      <c r="J10" s="3"/>
      <c r="K10" s="3"/>
      <c r="L10" s="3"/>
      <c r="M10" s="3"/>
    </row>
    <row r="11" spans="1:17">
      <c r="A11" s="3"/>
      <c r="B11" s="3"/>
      <c r="C11" s="3"/>
      <c r="D11" s="3"/>
      <c r="E11" s="3"/>
      <c r="F11" s="3"/>
      <c r="G11" s="3"/>
      <c r="H11" s="3"/>
      <c r="I11" s="3"/>
      <c r="J11" s="3"/>
      <c r="K11" s="3"/>
      <c r="L11" s="3"/>
      <c r="M11" s="3"/>
    </row>
    <row r="12" spans="1:17">
      <c r="A12" s="3"/>
      <c r="B12" s="3"/>
      <c r="C12" s="3"/>
      <c r="D12" s="3"/>
      <c r="E12" s="3"/>
      <c r="F12" s="3"/>
      <c r="G12" s="3"/>
      <c r="H12" s="3"/>
      <c r="I12" s="3"/>
      <c r="J12" s="3"/>
      <c r="K12" s="3"/>
      <c r="L12" s="3"/>
      <c r="M12" s="3"/>
    </row>
    <row r="13" spans="1:17" ht="16.5" customHeight="1">
      <c r="C13" s="38"/>
      <c r="D13" s="38"/>
      <c r="E13" s="38"/>
      <c r="F13" s="38"/>
      <c r="G13" s="38"/>
      <c r="H13" s="38"/>
      <c r="I13" s="38"/>
      <c r="J13" s="38"/>
      <c r="K13" s="38"/>
      <c r="L13" s="38"/>
      <c r="M13" s="38"/>
      <c r="N13" s="38"/>
      <c r="O13" s="38"/>
      <c r="P13" s="38"/>
      <c r="Q13" s="38"/>
    </row>
    <row r="14" spans="1:17" ht="13.5" customHeight="1">
      <c r="A14" s="38"/>
      <c r="B14" s="38"/>
      <c r="C14" s="38"/>
      <c r="D14" s="38"/>
      <c r="E14" s="38"/>
      <c r="F14" s="38"/>
      <c r="G14" s="38"/>
      <c r="H14" s="38"/>
      <c r="I14" s="38"/>
      <c r="J14" s="38"/>
      <c r="K14" s="38"/>
      <c r="L14" s="38"/>
      <c r="M14" s="38"/>
      <c r="N14" s="38"/>
      <c r="O14" s="38"/>
      <c r="P14" s="38"/>
      <c r="Q14" s="38"/>
    </row>
    <row r="15" spans="1:17" ht="13.5" customHeight="1">
      <c r="A15" s="194"/>
      <c r="B15" s="194"/>
      <c r="C15" s="334" t="s">
        <v>850</v>
      </c>
      <c r="D15" s="334"/>
      <c r="E15" s="334"/>
      <c r="F15" s="334"/>
      <c r="G15" s="334"/>
      <c r="H15" s="334"/>
      <c r="I15" s="334"/>
      <c r="J15" s="334"/>
      <c r="K15" s="334"/>
      <c r="L15" s="334"/>
      <c r="M15" s="334"/>
      <c r="N15" s="334"/>
      <c r="O15" s="334"/>
      <c r="P15" s="194"/>
      <c r="Q15" s="195"/>
    </row>
    <row r="16" spans="1:17" ht="13.5" customHeight="1">
      <c r="A16" s="195"/>
      <c r="B16" s="194"/>
      <c r="C16" s="334"/>
      <c r="D16" s="334"/>
      <c r="E16" s="334"/>
      <c r="F16" s="334"/>
      <c r="G16" s="334"/>
      <c r="H16" s="334"/>
      <c r="I16" s="334"/>
      <c r="J16" s="334"/>
      <c r="K16" s="334"/>
      <c r="L16" s="334"/>
      <c r="M16" s="334"/>
      <c r="N16" s="334"/>
      <c r="O16" s="334"/>
      <c r="P16" s="194"/>
      <c r="Q16" s="195"/>
    </row>
    <row r="17" spans="1:17" ht="13.5" customHeight="1">
      <c r="A17" s="195"/>
      <c r="B17" s="194"/>
      <c r="C17" s="334"/>
      <c r="D17" s="334"/>
      <c r="E17" s="334"/>
      <c r="F17" s="334"/>
      <c r="G17" s="334"/>
      <c r="H17" s="334"/>
      <c r="I17" s="334"/>
      <c r="J17" s="334"/>
      <c r="K17" s="334"/>
      <c r="L17" s="334"/>
      <c r="M17" s="334"/>
      <c r="N17" s="334"/>
      <c r="O17" s="334"/>
      <c r="P17" s="194"/>
      <c r="Q17" s="195"/>
    </row>
    <row r="18" spans="1:17" ht="13.5" customHeight="1">
      <c r="A18" s="195"/>
      <c r="B18" s="194"/>
      <c r="C18" s="334"/>
      <c r="D18" s="334"/>
      <c r="E18" s="334"/>
      <c r="F18" s="334"/>
      <c r="G18" s="334"/>
      <c r="H18" s="334"/>
      <c r="I18" s="334"/>
      <c r="J18" s="334"/>
      <c r="K18" s="334"/>
      <c r="L18" s="334"/>
      <c r="M18" s="334"/>
      <c r="N18" s="334"/>
      <c r="O18" s="334"/>
      <c r="P18" s="194"/>
      <c r="Q18" s="195"/>
    </row>
    <row r="19" spans="1:17" ht="13.5" customHeight="1">
      <c r="A19" s="195"/>
      <c r="B19" s="194"/>
      <c r="C19" s="334"/>
      <c r="D19" s="334"/>
      <c r="E19" s="334"/>
      <c r="F19" s="334"/>
      <c r="G19" s="334"/>
      <c r="H19" s="334"/>
      <c r="I19" s="334"/>
      <c r="J19" s="334"/>
      <c r="K19" s="334"/>
      <c r="L19" s="334"/>
      <c r="M19" s="334"/>
      <c r="N19" s="334"/>
      <c r="O19" s="334"/>
      <c r="P19" s="194"/>
      <c r="Q19" s="195"/>
    </row>
    <row r="20" spans="1:17" ht="13.5" customHeight="1">
      <c r="A20" s="195"/>
      <c r="B20" s="194"/>
      <c r="C20" s="334"/>
      <c r="D20" s="334"/>
      <c r="E20" s="334"/>
      <c r="F20" s="334"/>
      <c r="G20" s="334"/>
      <c r="H20" s="334"/>
      <c r="I20" s="334"/>
      <c r="J20" s="334"/>
      <c r="K20" s="334"/>
      <c r="L20" s="334"/>
      <c r="M20" s="334"/>
      <c r="N20" s="334"/>
      <c r="O20" s="334"/>
      <c r="P20" s="194"/>
      <c r="Q20" s="195"/>
    </row>
    <row r="21" spans="1:17" ht="13.5" customHeight="1">
      <c r="A21" s="195"/>
      <c r="B21" s="194"/>
      <c r="C21" s="334"/>
      <c r="D21" s="334"/>
      <c r="E21" s="334"/>
      <c r="F21" s="334"/>
      <c r="G21" s="334"/>
      <c r="H21" s="334"/>
      <c r="I21" s="334"/>
      <c r="J21" s="334"/>
      <c r="K21" s="334"/>
      <c r="L21" s="334"/>
      <c r="M21" s="334"/>
      <c r="N21" s="334"/>
      <c r="O21" s="334"/>
      <c r="P21" s="194"/>
      <c r="Q21" s="195"/>
    </row>
    <row r="22" spans="1:17" ht="13.5" customHeight="1">
      <c r="A22" s="195"/>
      <c r="B22" s="194"/>
      <c r="C22" s="334"/>
      <c r="D22" s="334"/>
      <c r="E22" s="334"/>
      <c r="F22" s="334"/>
      <c r="G22" s="334"/>
      <c r="H22" s="334"/>
      <c r="I22" s="334"/>
      <c r="J22" s="334"/>
      <c r="K22" s="334"/>
      <c r="L22" s="334"/>
      <c r="M22" s="334"/>
      <c r="N22" s="334"/>
      <c r="O22" s="334"/>
      <c r="P22" s="194"/>
      <c r="Q22" s="195"/>
    </row>
    <row r="23" spans="1:17" ht="13.5" customHeight="1">
      <c r="A23" s="38"/>
      <c r="B23" s="38"/>
      <c r="C23" s="38"/>
      <c r="D23" s="38"/>
      <c r="E23" s="38"/>
      <c r="F23" s="38"/>
      <c r="G23" s="38"/>
      <c r="H23" s="38"/>
      <c r="I23" s="38"/>
      <c r="J23" s="38"/>
      <c r="K23" s="38"/>
      <c r="L23" s="38"/>
      <c r="M23" s="38"/>
      <c r="N23" s="38"/>
      <c r="O23" s="38"/>
      <c r="P23" s="38"/>
      <c r="Q23" s="38"/>
    </row>
    <row r="24" spans="1:17">
      <c r="A24" s="3"/>
      <c r="B24" s="3"/>
      <c r="C24" s="3"/>
      <c r="D24" s="3"/>
      <c r="E24" s="3"/>
      <c r="F24" s="3"/>
      <c r="G24" s="3"/>
      <c r="H24" s="3"/>
      <c r="I24" s="3"/>
      <c r="J24" s="3"/>
      <c r="K24" s="3"/>
      <c r="L24" s="3"/>
      <c r="M24" s="3"/>
      <c r="N24" s="3"/>
      <c r="O24" s="3"/>
      <c r="P24" s="3"/>
      <c r="Q24" s="3"/>
    </row>
    <row r="25" spans="1:17">
      <c r="A25" s="3"/>
      <c r="B25" s="3"/>
      <c r="C25" s="3"/>
      <c r="D25" s="3"/>
      <c r="E25" s="3"/>
      <c r="F25" s="3"/>
      <c r="G25" s="3"/>
      <c r="H25" s="3"/>
      <c r="I25" s="3"/>
      <c r="J25" s="3"/>
      <c r="K25" s="3"/>
      <c r="L25" s="3"/>
      <c r="M25" s="3"/>
      <c r="N25" s="3"/>
      <c r="O25" s="3"/>
      <c r="P25" s="3"/>
      <c r="Q25" s="3"/>
    </row>
    <row r="26" spans="1:17">
      <c r="A26" s="3"/>
      <c r="B26" s="3"/>
      <c r="C26" s="3"/>
      <c r="D26" s="3"/>
      <c r="E26" s="3"/>
      <c r="F26" s="3"/>
      <c r="G26" s="3"/>
      <c r="H26" s="3"/>
      <c r="I26" s="3"/>
      <c r="J26" s="3"/>
      <c r="K26" s="3"/>
      <c r="L26" s="3"/>
      <c r="M26" s="3"/>
    </row>
    <row r="31" spans="1:17" ht="13.5" customHeight="1">
      <c r="C31" s="65"/>
      <c r="D31" s="65"/>
      <c r="E31" s="65"/>
      <c r="F31" s="65"/>
      <c r="G31" s="65"/>
      <c r="H31" s="65"/>
      <c r="I31" s="65"/>
      <c r="J31" s="65"/>
    </row>
    <row r="32" spans="1:17" ht="13.5" customHeight="1">
      <c r="C32" s="128"/>
      <c r="D32" s="128"/>
      <c r="E32" s="128"/>
      <c r="F32" s="128"/>
      <c r="G32" s="128"/>
      <c r="H32" s="128"/>
      <c r="I32" s="128"/>
      <c r="J32" s="128"/>
    </row>
    <row r="37" spans="1:17" ht="13.5" customHeight="1">
      <c r="A37" s="327" t="s">
        <v>887</v>
      </c>
      <c r="B37" s="328"/>
      <c r="C37" s="328"/>
      <c r="D37" s="328"/>
      <c r="E37" s="328"/>
      <c r="F37" s="328"/>
      <c r="G37" s="328"/>
      <c r="H37" s="328"/>
      <c r="I37" s="328"/>
      <c r="J37" s="328"/>
      <c r="K37" s="328"/>
      <c r="L37" s="328"/>
      <c r="M37" s="328"/>
      <c r="N37" s="328"/>
      <c r="O37" s="328"/>
      <c r="P37" s="328"/>
      <c r="Q37" s="328"/>
    </row>
    <row r="38" spans="1:17" ht="13.5" customHeight="1">
      <c r="A38" s="328"/>
      <c r="B38" s="328"/>
      <c r="C38" s="328"/>
      <c r="D38" s="328"/>
      <c r="E38" s="328"/>
      <c r="F38" s="328"/>
      <c r="G38" s="328"/>
      <c r="H38" s="328"/>
      <c r="I38" s="328"/>
      <c r="J38" s="328"/>
      <c r="K38" s="328"/>
      <c r="L38" s="328"/>
      <c r="M38" s="328"/>
      <c r="N38" s="328"/>
      <c r="O38" s="328"/>
      <c r="P38" s="328"/>
      <c r="Q38" s="328"/>
    </row>
    <row r="40" spans="1:17" ht="13.5" customHeight="1">
      <c r="A40" s="39"/>
    </row>
    <row r="45" spans="1:17" ht="13.5" customHeight="1" thickBot="1">
      <c r="C45" s="40"/>
    </row>
    <row r="46" spans="1:17" ht="13.5" customHeight="1">
      <c r="C46" s="329" t="s">
        <v>852</v>
      </c>
      <c r="D46" s="330"/>
      <c r="E46" s="330"/>
      <c r="F46" s="330"/>
      <c r="G46" s="330"/>
      <c r="H46" s="330"/>
      <c r="I46" s="330"/>
      <c r="J46" s="330"/>
      <c r="K46" s="330"/>
      <c r="L46" s="330"/>
      <c r="M46" s="330"/>
      <c r="N46" s="330"/>
      <c r="O46" s="330"/>
    </row>
    <row r="47" spans="1:17" ht="13.5" customHeight="1">
      <c r="C47" s="331"/>
      <c r="D47" s="332"/>
      <c r="E47" s="332"/>
      <c r="F47" s="332"/>
      <c r="G47" s="332"/>
      <c r="H47" s="332"/>
      <c r="I47" s="332"/>
      <c r="J47" s="332"/>
      <c r="K47" s="332"/>
      <c r="L47" s="332"/>
      <c r="M47" s="332"/>
      <c r="N47" s="332"/>
      <c r="O47" s="331"/>
    </row>
    <row r="48" spans="1:17" ht="13.5" customHeight="1">
      <c r="C48" s="331"/>
      <c r="D48" s="332"/>
      <c r="E48" s="332"/>
      <c r="F48" s="332"/>
      <c r="G48" s="332"/>
      <c r="H48" s="332"/>
      <c r="I48" s="332"/>
      <c r="J48" s="332"/>
      <c r="K48" s="332"/>
      <c r="L48" s="332"/>
      <c r="M48" s="332"/>
      <c r="N48" s="332"/>
      <c r="O48" s="331"/>
    </row>
    <row r="49" spans="3:15" ht="13.5" customHeight="1">
      <c r="C49" s="331"/>
      <c r="D49" s="332"/>
      <c r="E49" s="332"/>
      <c r="F49" s="332"/>
      <c r="G49" s="332"/>
      <c r="H49" s="332"/>
      <c r="I49" s="332"/>
      <c r="J49" s="332"/>
      <c r="K49" s="332"/>
      <c r="L49" s="332"/>
      <c r="M49" s="332"/>
      <c r="N49" s="332"/>
      <c r="O49" s="331"/>
    </row>
    <row r="50" spans="3:15" ht="13.5" customHeight="1" thickBot="1">
      <c r="C50" s="333"/>
      <c r="D50" s="333"/>
      <c r="E50" s="333"/>
      <c r="F50" s="333"/>
      <c r="G50" s="333"/>
      <c r="H50" s="333"/>
      <c r="I50" s="333"/>
      <c r="J50" s="333"/>
      <c r="K50" s="333"/>
      <c r="L50" s="333"/>
      <c r="M50" s="333"/>
      <c r="N50" s="333"/>
      <c r="O50" s="333"/>
    </row>
  </sheetData>
  <mergeCells count="3">
    <mergeCell ref="A37:Q38"/>
    <mergeCell ref="C46:O50"/>
    <mergeCell ref="C15:O22"/>
  </mergeCells>
  <phoneticPr fontId="1" type="noConversion"/>
  <printOptions horizontalCentered="1" verticalCentered="1"/>
  <pageMargins left="0.39370078740157483" right="0.39370078740157483" top="0.59055118110236227" bottom="0.59055118110236227" header="0.19685039370078741" footer="0.19685039370078741"/>
  <pageSetup paperSize="9"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Q44"/>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37"/>
      <c r="B1" s="37"/>
      <c r="C1" s="37"/>
      <c r="D1" s="37"/>
      <c r="E1" s="37"/>
      <c r="F1" s="37"/>
      <c r="G1" s="37"/>
      <c r="H1" s="37"/>
      <c r="I1" s="37"/>
      <c r="J1" s="37"/>
      <c r="K1" s="37"/>
      <c r="L1" s="37"/>
      <c r="M1" s="37"/>
      <c r="N1" s="37"/>
      <c r="O1" s="37"/>
      <c r="P1" s="37"/>
      <c r="Q1" s="37"/>
    </row>
    <row r="2" spans="1:17" s="7" customFormat="1" ht="18" customHeight="1">
      <c r="A2" s="71" t="s">
        <v>665</v>
      </c>
      <c r="B2" s="71"/>
      <c r="C2" s="6"/>
      <c r="D2" s="6"/>
      <c r="E2" s="6"/>
      <c r="F2" s="6"/>
      <c r="G2" s="6"/>
      <c r="H2" s="6"/>
      <c r="I2" s="6"/>
      <c r="J2" s="6"/>
      <c r="K2" s="6"/>
      <c r="L2" s="6"/>
      <c r="M2" s="6"/>
      <c r="N2" s="6"/>
      <c r="O2" s="6"/>
      <c r="P2" s="6"/>
      <c r="Q2" s="6"/>
    </row>
    <row r="3" spans="1:17" s="7" customFormat="1" ht="5.0999999999999996" customHeight="1" thickBot="1">
      <c r="C3" s="1"/>
      <c r="D3" s="1"/>
      <c r="E3" s="1"/>
      <c r="F3" s="1"/>
      <c r="G3" s="1"/>
      <c r="H3" s="1"/>
      <c r="I3" s="1"/>
      <c r="J3" s="1"/>
      <c r="K3" s="1"/>
      <c r="L3" s="1"/>
      <c r="M3" s="1"/>
      <c r="N3" s="1"/>
      <c r="O3" s="1"/>
      <c r="P3" s="1"/>
      <c r="Q3" s="1"/>
    </row>
    <row r="4" spans="1:17" ht="18" customHeight="1" thickBot="1">
      <c r="A4" s="340" t="s">
        <v>666</v>
      </c>
      <c r="B4" s="343"/>
      <c r="C4" s="339" t="s">
        <v>667</v>
      </c>
      <c r="D4" s="340"/>
      <c r="E4" s="343"/>
      <c r="F4" s="339" t="s">
        <v>668</v>
      </c>
      <c r="G4" s="340"/>
      <c r="H4" s="340"/>
      <c r="I4" s="340"/>
      <c r="J4" s="340"/>
      <c r="K4" s="340"/>
      <c r="L4" s="340"/>
      <c r="M4" s="343"/>
      <c r="N4" s="339" t="s">
        <v>669</v>
      </c>
      <c r="O4" s="340"/>
      <c r="P4" s="339" t="s">
        <v>670</v>
      </c>
      <c r="Q4" s="340"/>
    </row>
    <row r="5" spans="1:17" ht="16.5" customHeight="1">
      <c r="A5" s="335" t="s">
        <v>671</v>
      </c>
      <c r="B5" s="336"/>
      <c r="C5" s="337" t="s">
        <v>888</v>
      </c>
      <c r="D5" s="337"/>
      <c r="E5" s="337"/>
      <c r="F5" s="338" t="s">
        <v>672</v>
      </c>
      <c r="G5" s="338"/>
      <c r="H5" s="338"/>
      <c r="I5" s="338"/>
      <c r="J5" s="338"/>
      <c r="K5" s="338"/>
      <c r="L5" s="338"/>
      <c r="M5" s="338"/>
      <c r="N5" s="341" t="s">
        <v>673</v>
      </c>
      <c r="O5" s="341"/>
      <c r="P5" s="341"/>
      <c r="Q5" s="342"/>
    </row>
    <row r="6" spans="1:17">
      <c r="A6" s="344"/>
      <c r="B6" s="345"/>
      <c r="C6" s="346"/>
      <c r="D6" s="346"/>
      <c r="E6" s="346"/>
      <c r="F6" s="347"/>
      <c r="G6" s="347"/>
      <c r="H6" s="347"/>
      <c r="I6" s="347"/>
      <c r="J6" s="347"/>
      <c r="K6" s="347"/>
      <c r="L6" s="347"/>
      <c r="M6" s="347"/>
      <c r="N6" s="348"/>
      <c r="O6" s="348"/>
      <c r="P6" s="348"/>
      <c r="Q6" s="349"/>
    </row>
    <row r="7" spans="1:17">
      <c r="A7" s="344"/>
      <c r="B7" s="345"/>
      <c r="C7" s="346"/>
      <c r="D7" s="346"/>
      <c r="E7" s="346"/>
      <c r="F7" s="347"/>
      <c r="G7" s="347"/>
      <c r="H7" s="347"/>
      <c r="I7" s="347"/>
      <c r="J7" s="347"/>
      <c r="K7" s="347"/>
      <c r="L7" s="347"/>
      <c r="M7" s="347"/>
      <c r="N7" s="348"/>
      <c r="O7" s="348"/>
      <c r="P7" s="348"/>
      <c r="Q7" s="349"/>
    </row>
    <row r="8" spans="1:17">
      <c r="A8" s="344"/>
      <c r="B8" s="345"/>
      <c r="C8" s="346"/>
      <c r="D8" s="346"/>
      <c r="E8" s="346"/>
      <c r="F8" s="347"/>
      <c r="G8" s="347"/>
      <c r="H8" s="347"/>
      <c r="I8" s="347"/>
      <c r="J8" s="347"/>
      <c r="K8" s="347"/>
      <c r="L8" s="347"/>
      <c r="M8" s="347"/>
      <c r="N8" s="348"/>
      <c r="O8" s="348"/>
      <c r="P8" s="348"/>
      <c r="Q8" s="349"/>
    </row>
    <row r="9" spans="1:17">
      <c r="A9" s="344"/>
      <c r="B9" s="345"/>
      <c r="C9" s="346"/>
      <c r="D9" s="346"/>
      <c r="E9" s="346"/>
      <c r="F9" s="347"/>
      <c r="G9" s="347"/>
      <c r="H9" s="347"/>
      <c r="I9" s="347"/>
      <c r="J9" s="347"/>
      <c r="K9" s="347"/>
      <c r="L9" s="347"/>
      <c r="M9" s="347"/>
      <c r="N9" s="348"/>
      <c r="O9" s="348"/>
      <c r="P9" s="348"/>
      <c r="Q9" s="349"/>
    </row>
    <row r="10" spans="1:17">
      <c r="A10" s="344"/>
      <c r="B10" s="345"/>
      <c r="C10" s="346"/>
      <c r="D10" s="346"/>
      <c r="E10" s="346"/>
      <c r="F10" s="347"/>
      <c r="G10" s="347"/>
      <c r="H10" s="347"/>
      <c r="I10" s="347"/>
      <c r="J10" s="347"/>
      <c r="K10" s="347"/>
      <c r="L10" s="347"/>
      <c r="M10" s="347"/>
      <c r="N10" s="348"/>
      <c r="O10" s="348"/>
      <c r="P10" s="348"/>
      <c r="Q10" s="349"/>
    </row>
    <row r="11" spans="1:17">
      <c r="A11" s="344"/>
      <c r="B11" s="345"/>
      <c r="C11" s="346"/>
      <c r="D11" s="346"/>
      <c r="E11" s="346"/>
      <c r="F11" s="347"/>
      <c r="G11" s="347"/>
      <c r="H11" s="347"/>
      <c r="I11" s="347"/>
      <c r="J11" s="347"/>
      <c r="K11" s="347"/>
      <c r="L11" s="347"/>
      <c r="M11" s="347"/>
      <c r="N11" s="348"/>
      <c r="O11" s="348"/>
      <c r="P11" s="348"/>
      <c r="Q11" s="349"/>
    </row>
    <row r="12" spans="1:17">
      <c r="A12" s="344"/>
      <c r="B12" s="345"/>
      <c r="C12" s="346"/>
      <c r="D12" s="346"/>
      <c r="E12" s="346"/>
      <c r="F12" s="347"/>
      <c r="G12" s="347"/>
      <c r="H12" s="347"/>
      <c r="I12" s="347"/>
      <c r="J12" s="347"/>
      <c r="K12" s="347"/>
      <c r="L12" s="347"/>
      <c r="M12" s="347"/>
      <c r="N12" s="348"/>
      <c r="O12" s="348"/>
      <c r="P12" s="348"/>
      <c r="Q12" s="349"/>
    </row>
    <row r="13" spans="1:17">
      <c r="A13" s="344"/>
      <c r="B13" s="345"/>
      <c r="C13" s="346"/>
      <c r="D13" s="346"/>
      <c r="E13" s="346"/>
      <c r="F13" s="347"/>
      <c r="G13" s="347"/>
      <c r="H13" s="347"/>
      <c r="I13" s="347"/>
      <c r="J13" s="347"/>
      <c r="K13" s="347"/>
      <c r="L13" s="347"/>
      <c r="M13" s="347"/>
      <c r="N13" s="348"/>
      <c r="O13" s="348"/>
      <c r="P13" s="348"/>
      <c r="Q13" s="349"/>
    </row>
    <row r="14" spans="1:17">
      <c r="A14" s="344"/>
      <c r="B14" s="345"/>
      <c r="C14" s="346"/>
      <c r="D14" s="346"/>
      <c r="E14" s="346"/>
      <c r="F14" s="347"/>
      <c r="G14" s="347"/>
      <c r="H14" s="347"/>
      <c r="I14" s="347"/>
      <c r="J14" s="347"/>
      <c r="K14" s="347"/>
      <c r="L14" s="347"/>
      <c r="M14" s="347"/>
      <c r="N14" s="348"/>
      <c r="O14" s="348"/>
      <c r="P14" s="348"/>
      <c r="Q14" s="349"/>
    </row>
    <row r="15" spans="1:17">
      <c r="A15" s="344"/>
      <c r="B15" s="345"/>
      <c r="C15" s="346"/>
      <c r="D15" s="346"/>
      <c r="E15" s="346"/>
      <c r="F15" s="347"/>
      <c r="G15" s="347"/>
      <c r="H15" s="347"/>
      <c r="I15" s="347"/>
      <c r="J15" s="347"/>
      <c r="K15" s="347"/>
      <c r="L15" s="347"/>
      <c r="M15" s="347"/>
      <c r="N15" s="348"/>
      <c r="O15" s="348"/>
      <c r="P15" s="348"/>
      <c r="Q15" s="349"/>
    </row>
    <row r="16" spans="1:17">
      <c r="A16" s="344"/>
      <c r="B16" s="345"/>
      <c r="C16" s="346"/>
      <c r="D16" s="346"/>
      <c r="E16" s="346"/>
      <c r="F16" s="347"/>
      <c r="G16" s="347"/>
      <c r="H16" s="347"/>
      <c r="I16" s="347"/>
      <c r="J16" s="347"/>
      <c r="K16" s="347"/>
      <c r="L16" s="347"/>
      <c r="M16" s="347"/>
      <c r="N16" s="348"/>
      <c r="O16" s="348"/>
      <c r="P16" s="348"/>
      <c r="Q16" s="349"/>
    </row>
    <row r="17" spans="1:17">
      <c r="A17" s="344"/>
      <c r="B17" s="345"/>
      <c r="C17" s="346"/>
      <c r="D17" s="346"/>
      <c r="E17" s="346"/>
      <c r="F17" s="347"/>
      <c r="G17" s="347"/>
      <c r="H17" s="347"/>
      <c r="I17" s="347"/>
      <c r="J17" s="347"/>
      <c r="K17" s="347"/>
      <c r="L17" s="347"/>
      <c r="M17" s="347"/>
      <c r="N17" s="348"/>
      <c r="O17" s="348"/>
      <c r="P17" s="348"/>
      <c r="Q17" s="349"/>
    </row>
    <row r="18" spans="1:17">
      <c r="A18" s="344"/>
      <c r="B18" s="345"/>
      <c r="C18" s="346"/>
      <c r="D18" s="346"/>
      <c r="E18" s="346"/>
      <c r="F18" s="347"/>
      <c r="G18" s="347"/>
      <c r="H18" s="347"/>
      <c r="I18" s="347"/>
      <c r="J18" s="347"/>
      <c r="K18" s="347"/>
      <c r="L18" s="347"/>
      <c r="M18" s="347"/>
      <c r="N18" s="348"/>
      <c r="O18" s="348"/>
      <c r="P18" s="348"/>
      <c r="Q18" s="349"/>
    </row>
    <row r="19" spans="1:17">
      <c r="A19" s="344"/>
      <c r="B19" s="345"/>
      <c r="C19" s="346"/>
      <c r="D19" s="346"/>
      <c r="E19" s="346"/>
      <c r="F19" s="347"/>
      <c r="G19" s="347"/>
      <c r="H19" s="347"/>
      <c r="I19" s="347"/>
      <c r="J19" s="347"/>
      <c r="K19" s="347"/>
      <c r="L19" s="347"/>
      <c r="M19" s="347"/>
      <c r="N19" s="348"/>
      <c r="O19" s="348"/>
      <c r="P19" s="348"/>
      <c r="Q19" s="349"/>
    </row>
    <row r="20" spans="1:17">
      <c r="A20" s="344"/>
      <c r="B20" s="345"/>
      <c r="C20" s="346"/>
      <c r="D20" s="346"/>
      <c r="E20" s="346"/>
      <c r="F20" s="347"/>
      <c r="G20" s="347"/>
      <c r="H20" s="347"/>
      <c r="I20" s="347"/>
      <c r="J20" s="347"/>
      <c r="K20" s="347"/>
      <c r="L20" s="347"/>
      <c r="M20" s="347"/>
      <c r="N20" s="348"/>
      <c r="O20" s="348"/>
      <c r="P20" s="348"/>
      <c r="Q20" s="349"/>
    </row>
    <row r="21" spans="1:17">
      <c r="A21" s="344"/>
      <c r="B21" s="345"/>
      <c r="C21" s="346"/>
      <c r="D21" s="346"/>
      <c r="E21" s="346"/>
      <c r="F21" s="347"/>
      <c r="G21" s="347"/>
      <c r="H21" s="347"/>
      <c r="I21" s="347"/>
      <c r="J21" s="347"/>
      <c r="K21" s="347"/>
      <c r="L21" s="347"/>
      <c r="M21" s="347"/>
      <c r="N21" s="348"/>
      <c r="O21" s="348"/>
      <c r="P21" s="348"/>
      <c r="Q21" s="349"/>
    </row>
    <row r="22" spans="1:17">
      <c r="A22" s="344"/>
      <c r="B22" s="345"/>
      <c r="C22" s="346"/>
      <c r="D22" s="346"/>
      <c r="E22" s="346"/>
      <c r="F22" s="347"/>
      <c r="G22" s="347"/>
      <c r="H22" s="347"/>
      <c r="I22" s="347"/>
      <c r="J22" s="347"/>
      <c r="K22" s="347"/>
      <c r="L22" s="347"/>
      <c r="M22" s="347"/>
      <c r="N22" s="348"/>
      <c r="O22" s="348"/>
      <c r="P22" s="348"/>
      <c r="Q22" s="349"/>
    </row>
    <row r="23" spans="1:17">
      <c r="A23" s="344"/>
      <c r="B23" s="345"/>
      <c r="C23" s="346"/>
      <c r="D23" s="346"/>
      <c r="E23" s="346"/>
      <c r="F23" s="347"/>
      <c r="G23" s="347"/>
      <c r="H23" s="347"/>
      <c r="I23" s="347"/>
      <c r="J23" s="347"/>
      <c r="K23" s="347"/>
      <c r="L23" s="347"/>
      <c r="M23" s="347"/>
      <c r="N23" s="348"/>
      <c r="O23" s="348"/>
      <c r="P23" s="348"/>
      <c r="Q23" s="349"/>
    </row>
    <row r="24" spans="1:17">
      <c r="A24" s="344"/>
      <c r="B24" s="345"/>
      <c r="C24" s="346"/>
      <c r="D24" s="346"/>
      <c r="E24" s="346"/>
      <c r="F24" s="347"/>
      <c r="G24" s="347"/>
      <c r="H24" s="347"/>
      <c r="I24" s="347"/>
      <c r="J24" s="347"/>
      <c r="K24" s="347"/>
      <c r="L24" s="347"/>
      <c r="M24" s="347"/>
      <c r="N24" s="348"/>
      <c r="O24" s="348"/>
      <c r="P24" s="348"/>
      <c r="Q24" s="349"/>
    </row>
    <row r="25" spans="1:17">
      <c r="A25" s="344"/>
      <c r="B25" s="345"/>
      <c r="C25" s="346"/>
      <c r="D25" s="346"/>
      <c r="E25" s="346"/>
      <c r="F25" s="347"/>
      <c r="G25" s="347"/>
      <c r="H25" s="347"/>
      <c r="I25" s="347"/>
      <c r="J25" s="347"/>
      <c r="K25" s="347"/>
      <c r="L25" s="347"/>
      <c r="M25" s="347"/>
      <c r="N25" s="348"/>
      <c r="O25" s="348"/>
      <c r="P25" s="348"/>
      <c r="Q25" s="349"/>
    </row>
    <row r="26" spans="1:17">
      <c r="A26" s="344"/>
      <c r="B26" s="345"/>
      <c r="C26" s="346"/>
      <c r="D26" s="346"/>
      <c r="E26" s="346"/>
      <c r="F26" s="347"/>
      <c r="G26" s="347"/>
      <c r="H26" s="347"/>
      <c r="I26" s="347"/>
      <c r="J26" s="347"/>
      <c r="K26" s="347"/>
      <c r="L26" s="347"/>
      <c r="M26" s="347"/>
      <c r="N26" s="348"/>
      <c r="O26" s="348"/>
      <c r="P26" s="348"/>
      <c r="Q26" s="349"/>
    </row>
    <row r="27" spans="1:17">
      <c r="A27" s="344"/>
      <c r="B27" s="345"/>
      <c r="C27" s="346"/>
      <c r="D27" s="346"/>
      <c r="E27" s="346"/>
      <c r="F27" s="347"/>
      <c r="G27" s="347"/>
      <c r="H27" s="347"/>
      <c r="I27" s="347"/>
      <c r="J27" s="347"/>
      <c r="K27" s="347"/>
      <c r="L27" s="347"/>
      <c r="M27" s="347"/>
      <c r="N27" s="348"/>
      <c r="O27" s="348"/>
      <c r="P27" s="348"/>
      <c r="Q27" s="349"/>
    </row>
    <row r="28" spans="1:17">
      <c r="A28" s="344"/>
      <c r="B28" s="345"/>
      <c r="C28" s="346"/>
      <c r="D28" s="346"/>
      <c r="E28" s="346"/>
      <c r="F28" s="347"/>
      <c r="G28" s="347"/>
      <c r="H28" s="347"/>
      <c r="I28" s="347"/>
      <c r="J28" s="347"/>
      <c r="K28" s="347"/>
      <c r="L28" s="347"/>
      <c r="M28" s="347"/>
      <c r="N28" s="348"/>
      <c r="O28" s="348"/>
      <c r="P28" s="348"/>
      <c r="Q28" s="349"/>
    </row>
    <row r="29" spans="1:17">
      <c r="A29" s="344"/>
      <c r="B29" s="345"/>
      <c r="C29" s="346"/>
      <c r="D29" s="346"/>
      <c r="E29" s="346"/>
      <c r="F29" s="347"/>
      <c r="G29" s="347"/>
      <c r="H29" s="347"/>
      <c r="I29" s="347"/>
      <c r="J29" s="347"/>
      <c r="K29" s="347"/>
      <c r="L29" s="347"/>
      <c r="M29" s="347"/>
      <c r="N29" s="348"/>
      <c r="O29" s="348"/>
      <c r="P29" s="348"/>
      <c r="Q29" s="349"/>
    </row>
    <row r="30" spans="1:17">
      <c r="A30" s="344"/>
      <c r="B30" s="345"/>
      <c r="C30" s="346"/>
      <c r="D30" s="346"/>
      <c r="E30" s="346"/>
      <c r="F30" s="347"/>
      <c r="G30" s="347"/>
      <c r="H30" s="347"/>
      <c r="I30" s="347"/>
      <c r="J30" s="347"/>
      <c r="K30" s="347"/>
      <c r="L30" s="347"/>
      <c r="M30" s="347"/>
      <c r="N30" s="348"/>
      <c r="O30" s="348"/>
      <c r="P30" s="348"/>
      <c r="Q30" s="349"/>
    </row>
    <row r="31" spans="1:17">
      <c r="A31" s="344"/>
      <c r="B31" s="345"/>
      <c r="C31" s="346"/>
      <c r="D31" s="346"/>
      <c r="E31" s="346"/>
      <c r="F31" s="347"/>
      <c r="G31" s="347"/>
      <c r="H31" s="347"/>
      <c r="I31" s="347"/>
      <c r="J31" s="347"/>
      <c r="K31" s="347"/>
      <c r="L31" s="347"/>
      <c r="M31" s="347"/>
      <c r="N31" s="348"/>
      <c r="O31" s="348"/>
      <c r="P31" s="348"/>
      <c r="Q31" s="349"/>
    </row>
    <row r="32" spans="1:17">
      <c r="A32" s="344"/>
      <c r="B32" s="345"/>
      <c r="C32" s="346"/>
      <c r="D32" s="346"/>
      <c r="E32" s="346"/>
      <c r="F32" s="347"/>
      <c r="G32" s="347"/>
      <c r="H32" s="347"/>
      <c r="I32" s="347"/>
      <c r="J32" s="347"/>
      <c r="K32" s="347"/>
      <c r="L32" s="347"/>
      <c r="M32" s="347"/>
      <c r="N32" s="348"/>
      <c r="O32" s="348"/>
      <c r="P32" s="348"/>
      <c r="Q32" s="349"/>
    </row>
    <row r="33" spans="1:17">
      <c r="A33" s="344"/>
      <c r="B33" s="345"/>
      <c r="C33" s="346"/>
      <c r="D33" s="346"/>
      <c r="E33" s="346"/>
      <c r="F33" s="347"/>
      <c r="G33" s="347"/>
      <c r="H33" s="347"/>
      <c r="I33" s="347"/>
      <c r="J33" s="347"/>
      <c r="K33" s="347"/>
      <c r="L33" s="347"/>
      <c r="M33" s="347"/>
      <c r="N33" s="348"/>
      <c r="O33" s="348"/>
      <c r="P33" s="348"/>
      <c r="Q33" s="349"/>
    </row>
    <row r="34" spans="1:17">
      <c r="A34" s="344"/>
      <c r="B34" s="345"/>
      <c r="C34" s="346"/>
      <c r="D34" s="346"/>
      <c r="E34" s="346"/>
      <c r="F34" s="347"/>
      <c r="G34" s="347"/>
      <c r="H34" s="347"/>
      <c r="I34" s="347"/>
      <c r="J34" s="347"/>
      <c r="K34" s="347"/>
      <c r="L34" s="347"/>
      <c r="M34" s="347"/>
      <c r="N34" s="348"/>
      <c r="O34" s="348"/>
      <c r="P34" s="348"/>
      <c r="Q34" s="349"/>
    </row>
    <row r="35" spans="1:17">
      <c r="A35" s="344"/>
      <c r="B35" s="345"/>
      <c r="C35" s="346"/>
      <c r="D35" s="346"/>
      <c r="E35" s="346"/>
      <c r="F35" s="347"/>
      <c r="G35" s="347"/>
      <c r="H35" s="347"/>
      <c r="I35" s="347"/>
      <c r="J35" s="347"/>
      <c r="K35" s="347"/>
      <c r="L35" s="347"/>
      <c r="M35" s="347"/>
      <c r="N35" s="348"/>
      <c r="O35" s="348"/>
      <c r="P35" s="348"/>
      <c r="Q35" s="349"/>
    </row>
    <row r="36" spans="1:17">
      <c r="A36" s="344"/>
      <c r="B36" s="345"/>
      <c r="C36" s="346"/>
      <c r="D36" s="346"/>
      <c r="E36" s="346"/>
      <c r="F36" s="347"/>
      <c r="G36" s="347"/>
      <c r="H36" s="347"/>
      <c r="I36" s="347"/>
      <c r="J36" s="347"/>
      <c r="K36" s="347"/>
      <c r="L36" s="347"/>
      <c r="M36" s="347"/>
      <c r="N36" s="348"/>
      <c r="O36" s="348"/>
      <c r="P36" s="348"/>
      <c r="Q36" s="349"/>
    </row>
    <row r="37" spans="1:17">
      <c r="A37" s="344"/>
      <c r="B37" s="345"/>
      <c r="C37" s="346"/>
      <c r="D37" s="346"/>
      <c r="E37" s="346"/>
      <c r="F37" s="347"/>
      <c r="G37" s="347"/>
      <c r="H37" s="347"/>
      <c r="I37" s="347"/>
      <c r="J37" s="347"/>
      <c r="K37" s="347"/>
      <c r="L37" s="347"/>
      <c r="M37" s="347"/>
      <c r="N37" s="348"/>
      <c r="O37" s="348"/>
      <c r="P37" s="348"/>
      <c r="Q37" s="349"/>
    </row>
    <row r="38" spans="1:17">
      <c r="A38" s="344"/>
      <c r="B38" s="345"/>
      <c r="C38" s="346"/>
      <c r="D38" s="346"/>
      <c r="E38" s="346"/>
      <c r="F38" s="347"/>
      <c r="G38" s="347"/>
      <c r="H38" s="347"/>
      <c r="I38" s="347"/>
      <c r="J38" s="347"/>
      <c r="K38" s="347"/>
      <c r="L38" s="347"/>
      <c r="M38" s="347"/>
      <c r="N38" s="348"/>
      <c r="O38" s="348"/>
      <c r="P38" s="348"/>
      <c r="Q38" s="349"/>
    </row>
    <row r="39" spans="1:17">
      <c r="A39" s="344"/>
      <c r="B39" s="345"/>
      <c r="C39" s="346"/>
      <c r="D39" s="346"/>
      <c r="E39" s="346"/>
      <c r="F39" s="347"/>
      <c r="G39" s="347"/>
      <c r="H39" s="347"/>
      <c r="I39" s="347"/>
      <c r="J39" s="347"/>
      <c r="K39" s="347"/>
      <c r="L39" s="347"/>
      <c r="M39" s="347"/>
      <c r="N39" s="348"/>
      <c r="O39" s="348"/>
      <c r="P39" s="348"/>
      <c r="Q39" s="349"/>
    </row>
    <row r="40" spans="1:17">
      <c r="A40" s="344"/>
      <c r="B40" s="345"/>
      <c r="C40" s="346"/>
      <c r="D40" s="346"/>
      <c r="E40" s="346"/>
      <c r="F40" s="347"/>
      <c r="G40" s="347"/>
      <c r="H40" s="347"/>
      <c r="I40" s="347"/>
      <c r="J40" s="347"/>
      <c r="K40" s="347"/>
      <c r="L40" s="347"/>
      <c r="M40" s="347"/>
      <c r="N40" s="348"/>
      <c r="O40" s="348"/>
      <c r="P40" s="348"/>
      <c r="Q40" s="349"/>
    </row>
    <row r="41" spans="1:17">
      <c r="A41" s="344"/>
      <c r="B41" s="345"/>
      <c r="C41" s="346"/>
      <c r="D41" s="346"/>
      <c r="E41" s="346"/>
      <c r="F41" s="347"/>
      <c r="G41" s="347"/>
      <c r="H41" s="347"/>
      <c r="I41" s="347"/>
      <c r="J41" s="347"/>
      <c r="K41" s="347"/>
      <c r="L41" s="347"/>
      <c r="M41" s="347"/>
      <c r="N41" s="348"/>
      <c r="O41" s="348"/>
      <c r="P41" s="348"/>
      <c r="Q41" s="349"/>
    </row>
    <row r="42" spans="1:17">
      <c r="A42" s="344"/>
      <c r="B42" s="345"/>
      <c r="C42" s="346"/>
      <c r="D42" s="346"/>
      <c r="E42" s="346"/>
      <c r="F42" s="347"/>
      <c r="G42" s="347"/>
      <c r="H42" s="347"/>
      <c r="I42" s="347"/>
      <c r="J42" s="347"/>
      <c r="K42" s="347"/>
      <c r="L42" s="347"/>
      <c r="M42" s="347"/>
      <c r="N42" s="348"/>
      <c r="O42" s="348"/>
      <c r="P42" s="348"/>
      <c r="Q42" s="349"/>
    </row>
    <row r="43" spans="1:17">
      <c r="A43" s="344"/>
      <c r="B43" s="345"/>
      <c r="C43" s="346"/>
      <c r="D43" s="346"/>
      <c r="E43" s="346"/>
      <c r="F43" s="347"/>
      <c r="G43" s="347"/>
      <c r="H43" s="347"/>
      <c r="I43" s="347"/>
      <c r="J43" s="347"/>
      <c r="K43" s="347"/>
      <c r="L43" s="347"/>
      <c r="M43" s="347"/>
      <c r="N43" s="348"/>
      <c r="O43" s="348"/>
      <c r="P43" s="348"/>
      <c r="Q43" s="349"/>
    </row>
    <row r="44" spans="1:17" ht="17.25" thickBot="1">
      <c r="A44" s="350"/>
      <c r="B44" s="351"/>
      <c r="C44" s="352"/>
      <c r="D44" s="352"/>
      <c r="E44" s="352"/>
      <c r="F44" s="353"/>
      <c r="G44" s="353"/>
      <c r="H44" s="353"/>
      <c r="I44" s="353"/>
      <c r="J44" s="353"/>
      <c r="K44" s="353"/>
      <c r="L44" s="353"/>
      <c r="M44" s="353"/>
      <c r="N44" s="354"/>
      <c r="O44" s="354"/>
      <c r="P44" s="354"/>
      <c r="Q44" s="355"/>
    </row>
  </sheetData>
  <mergeCells count="205">
    <mergeCell ref="A19:B19"/>
    <mergeCell ref="C19:E19"/>
    <mergeCell ref="F19:M19"/>
    <mergeCell ref="N19:O19"/>
    <mergeCell ref="P19:Q19"/>
    <mergeCell ref="A17:B17"/>
    <mergeCell ref="C17:E17"/>
    <mergeCell ref="F17:M17"/>
    <mergeCell ref="N17:O17"/>
    <mergeCell ref="P17:Q17"/>
    <mergeCell ref="A18:B18"/>
    <mergeCell ref="C18:E18"/>
    <mergeCell ref="F18:M18"/>
    <mergeCell ref="N18:O18"/>
    <mergeCell ref="P18:Q18"/>
    <mergeCell ref="A15:B15"/>
    <mergeCell ref="C15:E15"/>
    <mergeCell ref="F15:M15"/>
    <mergeCell ref="N15:O15"/>
    <mergeCell ref="P15:Q15"/>
    <mergeCell ref="A16:B16"/>
    <mergeCell ref="C16:E16"/>
    <mergeCell ref="F16:M16"/>
    <mergeCell ref="N16:O16"/>
    <mergeCell ref="P16:Q16"/>
    <mergeCell ref="A13:B13"/>
    <mergeCell ref="C13:E13"/>
    <mergeCell ref="F13:M13"/>
    <mergeCell ref="N13:O13"/>
    <mergeCell ref="P13:Q13"/>
    <mergeCell ref="A14:B14"/>
    <mergeCell ref="C14:E14"/>
    <mergeCell ref="F14:M14"/>
    <mergeCell ref="N14:O14"/>
    <mergeCell ref="P14:Q14"/>
    <mergeCell ref="A11:B11"/>
    <mergeCell ref="C11:E11"/>
    <mergeCell ref="F11:M11"/>
    <mergeCell ref="N11:O11"/>
    <mergeCell ref="P11:Q11"/>
    <mergeCell ref="A12:B12"/>
    <mergeCell ref="C12:E12"/>
    <mergeCell ref="F12:M12"/>
    <mergeCell ref="N12:O12"/>
    <mergeCell ref="P12:Q12"/>
    <mergeCell ref="A9:B9"/>
    <mergeCell ref="C9:E9"/>
    <mergeCell ref="F9:M9"/>
    <mergeCell ref="N9:O9"/>
    <mergeCell ref="P9:Q9"/>
    <mergeCell ref="A10:B10"/>
    <mergeCell ref="C10:E10"/>
    <mergeCell ref="F10:M10"/>
    <mergeCell ref="N10:O10"/>
    <mergeCell ref="P10:Q10"/>
    <mergeCell ref="A7:B7"/>
    <mergeCell ref="C7:E7"/>
    <mergeCell ref="F7:M7"/>
    <mergeCell ref="N7:O7"/>
    <mergeCell ref="P7:Q7"/>
    <mergeCell ref="A8:B8"/>
    <mergeCell ref="C8:E8"/>
    <mergeCell ref="F8:M8"/>
    <mergeCell ref="N8:O8"/>
    <mergeCell ref="P8:Q8"/>
    <mergeCell ref="A44:B44"/>
    <mergeCell ref="C44:E44"/>
    <mergeCell ref="F44:M44"/>
    <mergeCell ref="N44:O44"/>
    <mergeCell ref="P44:Q44"/>
    <mergeCell ref="A6:B6"/>
    <mergeCell ref="C6:E6"/>
    <mergeCell ref="F6:M6"/>
    <mergeCell ref="N6:O6"/>
    <mergeCell ref="P6:Q6"/>
    <mergeCell ref="A42:B42"/>
    <mergeCell ref="C42:E42"/>
    <mergeCell ref="F42:M42"/>
    <mergeCell ref="N42:O42"/>
    <mergeCell ref="P42:Q42"/>
    <mergeCell ref="A43:B43"/>
    <mergeCell ref="C43:E43"/>
    <mergeCell ref="F43:M43"/>
    <mergeCell ref="N43:O43"/>
    <mergeCell ref="P43:Q43"/>
    <mergeCell ref="A40:B40"/>
    <mergeCell ref="C40:E40"/>
    <mergeCell ref="F40:M40"/>
    <mergeCell ref="N40:O40"/>
    <mergeCell ref="P40:Q40"/>
    <mergeCell ref="A41:B41"/>
    <mergeCell ref="C41:E41"/>
    <mergeCell ref="F41:M41"/>
    <mergeCell ref="N41:O41"/>
    <mergeCell ref="P41:Q41"/>
    <mergeCell ref="A38:B38"/>
    <mergeCell ref="C38:E38"/>
    <mergeCell ref="F38:M38"/>
    <mergeCell ref="N38:O38"/>
    <mergeCell ref="P38:Q38"/>
    <mergeCell ref="A39:B39"/>
    <mergeCell ref="C39:E39"/>
    <mergeCell ref="F39:M39"/>
    <mergeCell ref="N39:O39"/>
    <mergeCell ref="P39:Q39"/>
    <mergeCell ref="A36:B36"/>
    <mergeCell ref="C36:E36"/>
    <mergeCell ref="F36:M36"/>
    <mergeCell ref="N36:O36"/>
    <mergeCell ref="P36:Q36"/>
    <mergeCell ref="A37:B37"/>
    <mergeCell ref="C37:E37"/>
    <mergeCell ref="F37:M37"/>
    <mergeCell ref="N37:O37"/>
    <mergeCell ref="P37:Q37"/>
    <mergeCell ref="A34:B34"/>
    <mergeCell ref="C34:E34"/>
    <mergeCell ref="F34:M34"/>
    <mergeCell ref="N34:O34"/>
    <mergeCell ref="P34:Q34"/>
    <mergeCell ref="A35:B35"/>
    <mergeCell ref="C35:E35"/>
    <mergeCell ref="F35:M35"/>
    <mergeCell ref="N35:O35"/>
    <mergeCell ref="P35:Q35"/>
    <mergeCell ref="A32:B32"/>
    <mergeCell ref="C32:E32"/>
    <mergeCell ref="F32:M32"/>
    <mergeCell ref="N32:O32"/>
    <mergeCell ref="P32:Q32"/>
    <mergeCell ref="A33:B33"/>
    <mergeCell ref="C33:E33"/>
    <mergeCell ref="F33:M33"/>
    <mergeCell ref="N33:O33"/>
    <mergeCell ref="P33:Q33"/>
    <mergeCell ref="A30:B30"/>
    <mergeCell ref="C30:E30"/>
    <mergeCell ref="F30:M30"/>
    <mergeCell ref="N30:O30"/>
    <mergeCell ref="P30:Q30"/>
    <mergeCell ref="A31:B31"/>
    <mergeCell ref="C31:E31"/>
    <mergeCell ref="F31:M31"/>
    <mergeCell ref="N31:O31"/>
    <mergeCell ref="P31:Q31"/>
    <mergeCell ref="A28:B28"/>
    <mergeCell ref="C28:E28"/>
    <mergeCell ref="F28:M28"/>
    <mergeCell ref="N28:O28"/>
    <mergeCell ref="P28:Q28"/>
    <mergeCell ref="A29:B29"/>
    <mergeCell ref="C29:E29"/>
    <mergeCell ref="F29:M29"/>
    <mergeCell ref="N29:O29"/>
    <mergeCell ref="P29:Q29"/>
    <mergeCell ref="A26:B26"/>
    <mergeCell ref="C26:E26"/>
    <mergeCell ref="F26:M26"/>
    <mergeCell ref="N26:O26"/>
    <mergeCell ref="P26:Q26"/>
    <mergeCell ref="A27:B27"/>
    <mergeCell ref="C27:E27"/>
    <mergeCell ref="F27:M27"/>
    <mergeCell ref="N27:O27"/>
    <mergeCell ref="P27:Q27"/>
    <mergeCell ref="A24:B24"/>
    <mergeCell ref="C24:E24"/>
    <mergeCell ref="F24:M24"/>
    <mergeCell ref="N24:O24"/>
    <mergeCell ref="P24:Q24"/>
    <mergeCell ref="A25:B25"/>
    <mergeCell ref="C25:E25"/>
    <mergeCell ref="F25:M25"/>
    <mergeCell ref="N25:O25"/>
    <mergeCell ref="P25:Q25"/>
    <mergeCell ref="A22:B22"/>
    <mergeCell ref="C22:E22"/>
    <mergeCell ref="F22:M22"/>
    <mergeCell ref="N22:O22"/>
    <mergeCell ref="P22:Q22"/>
    <mergeCell ref="A23:B23"/>
    <mergeCell ref="C23:E23"/>
    <mergeCell ref="F23:M23"/>
    <mergeCell ref="N23:O23"/>
    <mergeCell ref="P23:Q23"/>
    <mergeCell ref="A20:B20"/>
    <mergeCell ref="C20:E20"/>
    <mergeCell ref="F20:M20"/>
    <mergeCell ref="N20:O20"/>
    <mergeCell ref="P20:Q20"/>
    <mergeCell ref="A21:B21"/>
    <mergeCell ref="C21:E21"/>
    <mergeCell ref="F21:M21"/>
    <mergeCell ref="N21:O21"/>
    <mergeCell ref="P21:Q21"/>
    <mergeCell ref="A5:B5"/>
    <mergeCell ref="C5:E5"/>
    <mergeCell ref="F5:M5"/>
    <mergeCell ref="N4:O4"/>
    <mergeCell ref="P4:Q4"/>
    <mergeCell ref="N5:O5"/>
    <mergeCell ref="P5:Q5"/>
    <mergeCell ref="A4:B4"/>
    <mergeCell ref="C4:E4"/>
    <mergeCell ref="F4:M4"/>
  </mergeCells>
  <phoneticPr fontId="5" type="noConversion"/>
  <printOptions horizontalCentered="1"/>
  <pageMargins left="0.39370078740157483" right="0.39370078740157483" top="0.59055118110236227" bottom="0.59055118110236227" header="0.19685039370078741" footer="0.19685039370078741"/>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pageSetUpPr fitToPage="1"/>
  </sheetPr>
  <dimension ref="A1:Q65"/>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4"/>
      <c r="B1" s="4"/>
      <c r="C1" s="4"/>
      <c r="D1" s="4"/>
      <c r="E1" s="4"/>
      <c r="F1" s="4"/>
      <c r="G1" s="4"/>
      <c r="H1" s="4"/>
      <c r="I1" s="4"/>
      <c r="J1" s="4"/>
      <c r="K1" s="37"/>
      <c r="L1" s="37"/>
      <c r="M1" s="37"/>
      <c r="N1" s="37"/>
      <c r="O1" s="37"/>
      <c r="P1" s="37"/>
      <c r="Q1" s="37"/>
    </row>
    <row r="2" spans="1:17" s="7" customFormat="1" ht="16.5" customHeight="1">
      <c r="A2" s="4"/>
      <c r="B2" s="71" t="s">
        <v>674</v>
      </c>
      <c r="C2" s="4"/>
      <c r="D2" s="4"/>
      <c r="E2" s="4"/>
      <c r="F2" s="4"/>
      <c r="G2" s="4"/>
      <c r="H2" s="4"/>
      <c r="I2" s="4"/>
      <c r="J2" s="4"/>
      <c r="K2" s="6"/>
      <c r="L2" s="6"/>
      <c r="M2" s="6"/>
      <c r="N2" s="6"/>
      <c r="O2" s="6"/>
      <c r="P2" s="6"/>
      <c r="Q2" s="6"/>
    </row>
    <row r="3" spans="1:17" s="7" customFormat="1" ht="5.0999999999999996" customHeight="1">
      <c r="A3" s="4"/>
      <c r="B3" s="46"/>
      <c r="C3" s="4"/>
      <c r="D3" s="4"/>
      <c r="E3" s="4"/>
      <c r="F3" s="4"/>
      <c r="G3" s="4"/>
      <c r="H3" s="4"/>
      <c r="I3" s="4"/>
      <c r="J3" s="4"/>
      <c r="K3" s="1"/>
      <c r="L3" s="1"/>
      <c r="M3" s="1"/>
      <c r="N3" s="1"/>
      <c r="O3" s="1"/>
      <c r="P3" s="1"/>
      <c r="Q3" s="1"/>
    </row>
    <row r="4" spans="1:17" ht="16.5" customHeight="1">
      <c r="A4" s="5"/>
      <c r="B4" s="64" t="s">
        <v>675</v>
      </c>
      <c r="C4" s="64"/>
      <c r="D4" s="64"/>
      <c r="E4" s="64"/>
      <c r="F4" s="64"/>
      <c r="G4" s="64"/>
      <c r="H4" s="64"/>
      <c r="I4" s="64"/>
      <c r="J4" s="64"/>
      <c r="K4" s="37"/>
      <c r="L4" s="37"/>
      <c r="M4" s="37"/>
      <c r="N4" s="37"/>
      <c r="O4" s="37"/>
      <c r="P4" s="37"/>
      <c r="Q4" s="37"/>
    </row>
    <row r="5" spans="1:17" ht="5.0999999999999996" customHeight="1">
      <c r="A5" s="5"/>
      <c r="B5" s="5"/>
      <c r="C5" s="65"/>
      <c r="D5" s="65"/>
      <c r="E5" s="65"/>
      <c r="F5" s="65"/>
      <c r="G5" s="65"/>
      <c r="H5" s="65"/>
      <c r="I5" s="65"/>
      <c r="J5" s="65"/>
      <c r="K5" s="37"/>
      <c r="L5" s="37"/>
      <c r="M5" s="37"/>
      <c r="N5" s="37"/>
      <c r="O5" s="37"/>
      <c r="P5" s="37"/>
      <c r="Q5" s="37"/>
    </row>
    <row r="6" spans="1:17" ht="16.5" customHeight="1">
      <c r="A6" s="5"/>
      <c r="B6" s="356" t="s">
        <v>804</v>
      </c>
      <c r="C6" s="356"/>
      <c r="D6" s="356"/>
      <c r="E6" s="356"/>
      <c r="F6" s="356"/>
      <c r="G6" s="356"/>
      <c r="H6" s="356"/>
      <c r="I6" s="356"/>
      <c r="J6" s="356"/>
      <c r="K6" s="356"/>
      <c r="L6" s="356"/>
      <c r="M6" s="356"/>
      <c r="N6" s="356"/>
      <c r="O6" s="356"/>
      <c r="P6" s="356"/>
      <c r="Q6" s="37"/>
    </row>
    <row r="7" spans="1:17" ht="16.5" customHeight="1">
      <c r="A7" s="5"/>
      <c r="B7" s="357"/>
      <c r="C7" s="357"/>
      <c r="D7" s="357"/>
      <c r="E7" s="357"/>
      <c r="F7" s="357"/>
      <c r="G7" s="357"/>
      <c r="H7" s="357"/>
      <c r="I7" s="357"/>
      <c r="J7" s="357"/>
      <c r="K7" s="357"/>
      <c r="L7" s="357"/>
      <c r="M7" s="357"/>
      <c r="N7" s="357"/>
      <c r="O7" s="357"/>
      <c r="P7" s="357"/>
      <c r="Q7" s="37"/>
    </row>
    <row r="8" spans="1:17" ht="16.5" customHeight="1">
      <c r="A8" s="5"/>
      <c r="B8" s="357"/>
      <c r="C8" s="357"/>
      <c r="D8" s="357"/>
      <c r="E8" s="357"/>
      <c r="F8" s="357"/>
      <c r="G8" s="357"/>
      <c r="H8" s="357"/>
      <c r="I8" s="357"/>
      <c r="J8" s="357"/>
      <c r="K8" s="357"/>
      <c r="L8" s="357"/>
      <c r="M8" s="357"/>
      <c r="N8" s="357"/>
      <c r="O8" s="357"/>
      <c r="P8" s="357"/>
      <c r="Q8" s="37"/>
    </row>
    <row r="9" spans="1:17" ht="13.5" customHeight="1">
      <c r="A9" s="5"/>
      <c r="B9" s="5"/>
      <c r="C9" s="5"/>
      <c r="D9" s="5"/>
      <c r="E9" s="5"/>
      <c r="F9" s="5"/>
      <c r="G9" s="5"/>
      <c r="H9" s="5"/>
      <c r="I9" s="5"/>
      <c r="J9" s="5"/>
      <c r="K9" s="37"/>
      <c r="L9" s="37"/>
      <c r="M9" s="37"/>
      <c r="N9" s="37"/>
      <c r="O9" s="37"/>
      <c r="P9" s="37"/>
      <c r="Q9" s="37"/>
    </row>
    <row r="10" spans="1:17" ht="16.5" customHeight="1">
      <c r="A10" s="5"/>
      <c r="B10" s="68" t="s">
        <v>805</v>
      </c>
      <c r="C10" s="68"/>
      <c r="D10" s="68"/>
      <c r="E10" s="68"/>
      <c r="F10" s="68"/>
      <c r="G10" s="68"/>
      <c r="H10" s="68"/>
      <c r="I10" s="68"/>
      <c r="J10" s="68"/>
      <c r="K10" s="129"/>
      <c r="L10" s="129"/>
      <c r="M10" s="129"/>
      <c r="N10" s="129"/>
      <c r="O10" s="129"/>
      <c r="P10" s="129"/>
      <c r="Q10" s="37"/>
    </row>
    <row r="11" spans="1:17" ht="5.0999999999999996" customHeight="1">
      <c r="A11" s="5"/>
      <c r="B11" s="5"/>
      <c r="C11" s="65"/>
      <c r="D11" s="65"/>
      <c r="E11" s="65"/>
      <c r="F11" s="65"/>
      <c r="G11" s="65"/>
      <c r="H11" s="65"/>
      <c r="I11" s="65"/>
      <c r="J11" s="65"/>
      <c r="K11" s="37"/>
      <c r="L11" s="37"/>
      <c r="M11" s="37"/>
      <c r="N11" s="37"/>
      <c r="O11" s="37"/>
      <c r="P11" s="37"/>
      <c r="Q11" s="37"/>
    </row>
    <row r="12" spans="1:17" ht="16.5" customHeight="1">
      <c r="A12" s="66"/>
      <c r="B12" s="126" t="s">
        <v>889</v>
      </c>
      <c r="C12" s="64"/>
      <c r="D12" s="64"/>
      <c r="E12" s="64"/>
      <c r="F12" s="64"/>
      <c r="G12" s="64"/>
      <c r="H12" s="64"/>
      <c r="I12" s="64"/>
      <c r="J12" s="5"/>
      <c r="K12" s="37"/>
      <c r="L12" s="37"/>
      <c r="M12" s="37"/>
      <c r="N12" s="37"/>
      <c r="O12" s="37"/>
      <c r="P12" s="37"/>
      <c r="Q12" s="37"/>
    </row>
    <row r="13" spans="1:17" ht="5.0999999999999996" customHeight="1" thickBot="1">
      <c r="A13" s="66"/>
      <c r="B13" s="126"/>
      <c r="C13" s="64"/>
      <c r="D13" s="64"/>
      <c r="E13" s="64"/>
      <c r="F13" s="64"/>
      <c r="G13" s="64"/>
      <c r="H13" s="64"/>
      <c r="I13" s="64"/>
      <c r="J13" s="5"/>
      <c r="K13" s="37"/>
      <c r="L13" s="37"/>
      <c r="M13" s="37"/>
      <c r="N13" s="37"/>
      <c r="O13" s="37"/>
      <c r="P13" s="37"/>
      <c r="Q13" s="37"/>
    </row>
    <row r="14" spans="1:17" ht="16.5" customHeight="1">
      <c r="A14" s="66"/>
      <c r="B14" s="5"/>
      <c r="C14" s="358" t="s">
        <v>891</v>
      </c>
      <c r="D14" s="358"/>
      <c r="E14" s="358"/>
      <c r="F14" s="358"/>
      <c r="G14" s="358"/>
      <c r="H14" s="358"/>
      <c r="I14" s="358"/>
      <c r="J14" s="358"/>
      <c r="K14" s="358"/>
      <c r="L14" s="358"/>
      <c r="M14" s="358"/>
      <c r="N14" s="358"/>
      <c r="O14" s="358"/>
      <c r="P14" s="37"/>
      <c r="Q14" s="37"/>
    </row>
    <row r="15" spans="1:17" ht="16.5" customHeight="1">
      <c r="A15" s="66"/>
      <c r="B15" s="5"/>
      <c r="C15" s="359"/>
      <c r="D15" s="359"/>
      <c r="E15" s="359"/>
      <c r="F15" s="359"/>
      <c r="G15" s="359"/>
      <c r="H15" s="359"/>
      <c r="I15" s="359"/>
      <c r="J15" s="359"/>
      <c r="K15" s="359"/>
      <c r="L15" s="359"/>
      <c r="M15" s="359"/>
      <c r="N15" s="359"/>
      <c r="O15" s="359"/>
      <c r="P15" s="37"/>
      <c r="Q15" s="37"/>
    </row>
    <row r="16" spans="1:17" ht="16.5" customHeight="1" thickBot="1">
      <c r="A16" s="66"/>
      <c r="B16" s="5"/>
      <c r="C16" s="360"/>
      <c r="D16" s="360"/>
      <c r="E16" s="360"/>
      <c r="F16" s="360"/>
      <c r="G16" s="360"/>
      <c r="H16" s="360"/>
      <c r="I16" s="360"/>
      <c r="J16" s="360"/>
      <c r="K16" s="360"/>
      <c r="L16" s="360"/>
      <c r="M16" s="360"/>
      <c r="N16" s="360"/>
      <c r="O16" s="360"/>
      <c r="P16" s="37"/>
      <c r="Q16" s="37"/>
    </row>
    <row r="17" spans="1:17" ht="16.5" customHeight="1">
      <c r="A17" s="66"/>
      <c r="B17" s="5"/>
      <c r="C17" s="361" t="s">
        <v>806</v>
      </c>
      <c r="D17" s="361"/>
      <c r="E17" s="361"/>
      <c r="F17" s="361"/>
      <c r="G17" s="361"/>
      <c r="H17" s="361"/>
      <c r="I17" s="361"/>
      <c r="J17" s="361"/>
      <c r="K17" s="361"/>
      <c r="L17" s="361"/>
      <c r="M17" s="361"/>
      <c r="N17" s="361"/>
      <c r="O17" s="361"/>
      <c r="P17" s="37"/>
      <c r="Q17" s="37"/>
    </row>
    <row r="18" spans="1:17" ht="16.5" customHeight="1">
      <c r="A18" s="66"/>
      <c r="B18" s="5"/>
      <c r="C18" s="362"/>
      <c r="D18" s="362"/>
      <c r="E18" s="362"/>
      <c r="F18" s="362"/>
      <c r="G18" s="362"/>
      <c r="H18" s="362"/>
      <c r="I18" s="362"/>
      <c r="J18" s="362"/>
      <c r="K18" s="362"/>
      <c r="L18" s="362"/>
      <c r="M18" s="362"/>
      <c r="N18" s="362"/>
      <c r="O18" s="362"/>
      <c r="P18" s="37"/>
      <c r="Q18" s="37"/>
    </row>
    <row r="19" spans="1:17" ht="16.5" customHeight="1" thickBot="1">
      <c r="A19" s="66"/>
      <c r="B19" s="5"/>
      <c r="C19" s="363"/>
      <c r="D19" s="363"/>
      <c r="E19" s="363"/>
      <c r="F19" s="363"/>
      <c r="G19" s="363"/>
      <c r="H19" s="363"/>
      <c r="I19" s="363"/>
      <c r="J19" s="363"/>
      <c r="K19" s="363"/>
      <c r="L19" s="363"/>
      <c r="M19" s="363"/>
      <c r="N19" s="363"/>
      <c r="O19" s="363"/>
      <c r="P19" s="37"/>
      <c r="Q19" s="37"/>
    </row>
    <row r="20" spans="1:17" ht="13.5" customHeight="1">
      <c r="A20" s="5"/>
      <c r="B20" s="5"/>
      <c r="C20" s="5"/>
      <c r="D20" s="5"/>
      <c r="E20" s="5"/>
      <c r="F20" s="5"/>
      <c r="G20" s="5"/>
      <c r="H20" s="5"/>
      <c r="I20" s="5"/>
      <c r="J20" s="5"/>
      <c r="K20" s="37"/>
      <c r="L20" s="37"/>
      <c r="M20" s="37"/>
      <c r="N20" s="37"/>
      <c r="O20" s="37"/>
      <c r="P20" s="37"/>
      <c r="Q20" s="37"/>
    </row>
    <row r="21" spans="1:17" ht="16.5" customHeight="1">
      <c r="A21" s="66"/>
      <c r="B21" s="126" t="s">
        <v>807</v>
      </c>
      <c r="C21" s="64"/>
      <c r="D21" s="64"/>
      <c r="E21" s="64"/>
      <c r="F21" s="64"/>
      <c r="G21" s="64"/>
      <c r="H21" s="64"/>
      <c r="I21" s="64"/>
      <c r="J21" s="5"/>
      <c r="K21" s="37"/>
      <c r="L21" s="37"/>
      <c r="M21" s="37"/>
      <c r="N21" s="37"/>
      <c r="O21" s="37"/>
      <c r="P21" s="37"/>
      <c r="Q21" s="37"/>
    </row>
    <row r="22" spans="1:17" ht="5.0999999999999996" customHeight="1" thickBot="1">
      <c r="A22" s="66"/>
      <c r="B22" s="126"/>
      <c r="C22" s="64"/>
      <c r="D22" s="64"/>
      <c r="E22" s="64"/>
      <c r="F22" s="64"/>
      <c r="G22" s="64"/>
      <c r="H22" s="64"/>
      <c r="I22" s="64"/>
      <c r="J22" s="5"/>
      <c r="K22" s="37"/>
      <c r="L22" s="37"/>
      <c r="M22" s="37"/>
      <c r="N22" s="37"/>
      <c r="O22" s="37"/>
      <c r="P22" s="37"/>
      <c r="Q22" s="37"/>
    </row>
    <row r="23" spans="1:17" ht="16.5" customHeight="1">
      <c r="A23" s="5"/>
      <c r="B23" s="364" t="s">
        <v>808</v>
      </c>
      <c r="C23" s="364"/>
      <c r="D23" s="364"/>
      <c r="E23" s="364"/>
      <c r="F23" s="365"/>
      <c r="G23" s="368" t="s">
        <v>890</v>
      </c>
      <c r="H23" s="369"/>
      <c r="I23" s="369"/>
      <c r="J23" s="369"/>
      <c r="K23" s="369"/>
      <c r="L23" s="369"/>
      <c r="M23" s="369"/>
      <c r="N23" s="369"/>
      <c r="O23" s="369"/>
      <c r="P23" s="369"/>
      <c r="Q23" s="37"/>
    </row>
    <row r="24" spans="1:17" ht="16.5" customHeight="1" thickBot="1">
      <c r="A24" s="5"/>
      <c r="B24" s="366"/>
      <c r="C24" s="366"/>
      <c r="D24" s="366"/>
      <c r="E24" s="366"/>
      <c r="F24" s="367"/>
      <c r="G24" s="370" t="s">
        <v>809</v>
      </c>
      <c r="H24" s="370"/>
      <c r="I24" s="371" t="s">
        <v>810</v>
      </c>
      <c r="J24" s="372"/>
      <c r="K24" s="371" t="s">
        <v>811</v>
      </c>
      <c r="L24" s="372"/>
      <c r="M24" s="371" t="s">
        <v>812</v>
      </c>
      <c r="N24" s="372"/>
      <c r="O24" s="370" t="s">
        <v>813</v>
      </c>
      <c r="P24" s="371"/>
      <c r="Q24" s="37"/>
    </row>
    <row r="25" spans="1:17" ht="16.5" customHeight="1">
      <c r="A25" s="66"/>
      <c r="B25" s="377" t="s">
        <v>681</v>
      </c>
      <c r="C25" s="377"/>
      <c r="D25" s="377"/>
      <c r="E25" s="377"/>
      <c r="F25" s="378"/>
      <c r="G25" s="381" t="s">
        <v>676</v>
      </c>
      <c r="H25" s="381"/>
      <c r="I25" s="381" t="s">
        <v>677</v>
      </c>
      <c r="J25" s="381"/>
      <c r="K25" s="381" t="s">
        <v>678</v>
      </c>
      <c r="L25" s="381"/>
      <c r="M25" s="381" t="s">
        <v>679</v>
      </c>
      <c r="N25" s="381"/>
      <c r="O25" s="381" t="s">
        <v>680</v>
      </c>
      <c r="P25" s="383"/>
      <c r="Q25" s="37"/>
    </row>
    <row r="26" spans="1:17" ht="16.5" customHeight="1">
      <c r="A26" s="66"/>
      <c r="B26" s="379"/>
      <c r="C26" s="379"/>
      <c r="D26" s="379"/>
      <c r="E26" s="379"/>
      <c r="F26" s="380"/>
      <c r="G26" s="382"/>
      <c r="H26" s="382"/>
      <c r="I26" s="382"/>
      <c r="J26" s="382"/>
      <c r="K26" s="382"/>
      <c r="L26" s="382"/>
      <c r="M26" s="382"/>
      <c r="N26" s="382"/>
      <c r="O26" s="382"/>
      <c r="P26" s="384"/>
      <c r="Q26" s="37"/>
    </row>
    <row r="27" spans="1:17" ht="16.5" customHeight="1">
      <c r="A27" s="66"/>
      <c r="B27" s="385" t="s">
        <v>814</v>
      </c>
      <c r="C27" s="385"/>
      <c r="D27" s="385"/>
      <c r="E27" s="385"/>
      <c r="F27" s="386"/>
      <c r="G27" s="373" t="s">
        <v>815</v>
      </c>
      <c r="H27" s="387"/>
      <c r="I27" s="373" t="s">
        <v>815</v>
      </c>
      <c r="J27" s="387"/>
      <c r="K27" s="373" t="s">
        <v>815</v>
      </c>
      <c r="L27" s="387"/>
      <c r="M27" s="373" t="s">
        <v>815</v>
      </c>
      <c r="N27" s="387"/>
      <c r="O27" s="373" t="s">
        <v>815</v>
      </c>
      <c r="P27" s="374"/>
      <c r="Q27" s="37"/>
    </row>
    <row r="28" spans="1:17" ht="16.5" customHeight="1">
      <c r="A28" s="66"/>
      <c r="B28" s="379"/>
      <c r="C28" s="379"/>
      <c r="D28" s="379"/>
      <c r="E28" s="379"/>
      <c r="F28" s="380"/>
      <c r="G28" s="375"/>
      <c r="H28" s="388"/>
      <c r="I28" s="375"/>
      <c r="J28" s="388"/>
      <c r="K28" s="375"/>
      <c r="L28" s="388"/>
      <c r="M28" s="375"/>
      <c r="N28" s="388"/>
      <c r="O28" s="375"/>
      <c r="P28" s="376"/>
      <c r="Q28" s="37"/>
    </row>
    <row r="29" spans="1:17" ht="16.5" customHeight="1">
      <c r="A29" s="66"/>
      <c r="B29" s="385" t="s">
        <v>682</v>
      </c>
      <c r="C29" s="385"/>
      <c r="D29" s="385"/>
      <c r="E29" s="385"/>
      <c r="F29" s="386"/>
      <c r="G29" s="373" t="s">
        <v>58</v>
      </c>
      <c r="H29" s="387"/>
      <c r="I29" s="373" t="s">
        <v>58</v>
      </c>
      <c r="J29" s="387"/>
      <c r="K29" s="373" t="s">
        <v>58</v>
      </c>
      <c r="L29" s="387"/>
      <c r="M29" s="373" t="s">
        <v>58</v>
      </c>
      <c r="N29" s="387"/>
      <c r="O29" s="373" t="s">
        <v>58</v>
      </c>
      <c r="P29" s="374"/>
      <c r="Q29" s="37"/>
    </row>
    <row r="30" spans="1:17" ht="16.5" customHeight="1" thickBot="1">
      <c r="A30" s="66"/>
      <c r="B30" s="404"/>
      <c r="C30" s="404"/>
      <c r="D30" s="404"/>
      <c r="E30" s="404"/>
      <c r="F30" s="405"/>
      <c r="G30" s="406"/>
      <c r="H30" s="407"/>
      <c r="I30" s="406"/>
      <c r="J30" s="407"/>
      <c r="K30" s="406"/>
      <c r="L30" s="407"/>
      <c r="M30" s="406"/>
      <c r="N30" s="407"/>
      <c r="O30" s="406"/>
      <c r="P30" s="408"/>
      <c r="Q30" s="37"/>
    </row>
    <row r="31" spans="1:17" ht="13.5" customHeight="1">
      <c r="A31" s="66"/>
      <c r="B31" s="5"/>
      <c r="C31" s="5"/>
      <c r="D31" s="5"/>
      <c r="E31" s="5"/>
      <c r="F31" s="66"/>
      <c r="G31" s="5"/>
      <c r="H31" s="5"/>
      <c r="I31" s="5"/>
      <c r="J31" s="5"/>
      <c r="K31" s="37"/>
      <c r="L31" s="37"/>
      <c r="M31" s="37"/>
      <c r="N31" s="37"/>
      <c r="O31" s="37"/>
      <c r="P31" s="37"/>
      <c r="Q31" s="37"/>
    </row>
    <row r="32" spans="1:17" ht="16.5" customHeight="1">
      <c r="A32" s="66"/>
      <c r="B32" s="126" t="s">
        <v>816</v>
      </c>
      <c r="C32" s="64"/>
      <c r="D32" s="64"/>
      <c r="E32" s="64"/>
      <c r="F32" s="64"/>
      <c r="G32" s="64"/>
      <c r="H32" s="64"/>
      <c r="I32" s="64"/>
      <c r="J32" s="5"/>
      <c r="K32" s="37"/>
      <c r="L32" s="37"/>
      <c r="M32" s="37"/>
      <c r="N32" s="37"/>
      <c r="O32" s="37"/>
      <c r="P32" s="37"/>
      <c r="Q32" s="37"/>
    </row>
    <row r="33" spans="1:17" ht="5.0999999999999996" customHeight="1" thickBot="1">
      <c r="A33" s="66"/>
      <c r="B33" s="126"/>
      <c r="C33" s="64"/>
      <c r="D33" s="64"/>
      <c r="E33" s="64"/>
      <c r="F33" s="64"/>
      <c r="G33" s="64"/>
      <c r="H33" s="64"/>
      <c r="I33" s="64"/>
      <c r="J33" s="5"/>
      <c r="K33" s="37"/>
      <c r="L33" s="37"/>
      <c r="M33" s="37"/>
      <c r="N33" s="37"/>
      <c r="O33" s="37"/>
      <c r="P33" s="37"/>
      <c r="Q33" s="37"/>
    </row>
    <row r="34" spans="1:17" ht="16.5" customHeight="1">
      <c r="A34" s="66"/>
      <c r="B34" s="5"/>
      <c r="C34" s="358" t="s">
        <v>817</v>
      </c>
      <c r="D34" s="358"/>
      <c r="E34" s="358"/>
      <c r="F34" s="358"/>
      <c r="G34" s="358"/>
      <c r="H34" s="358"/>
      <c r="I34" s="358"/>
      <c r="J34" s="358"/>
      <c r="K34" s="358"/>
      <c r="L34" s="358"/>
      <c r="M34" s="358"/>
      <c r="N34" s="358"/>
      <c r="O34" s="358"/>
      <c r="P34" s="37"/>
      <c r="Q34" s="37"/>
    </row>
    <row r="35" spans="1:17" ht="16.5" customHeight="1">
      <c r="A35" s="66"/>
      <c r="B35" s="5"/>
      <c r="C35" s="359"/>
      <c r="D35" s="359"/>
      <c r="E35" s="359"/>
      <c r="F35" s="359"/>
      <c r="G35" s="359"/>
      <c r="H35" s="359"/>
      <c r="I35" s="359"/>
      <c r="J35" s="359"/>
      <c r="K35" s="359"/>
      <c r="L35" s="359"/>
      <c r="M35" s="359"/>
      <c r="N35" s="359"/>
      <c r="O35" s="359"/>
      <c r="P35" s="37"/>
      <c r="Q35" s="37"/>
    </row>
    <row r="36" spans="1:17" ht="16.5" customHeight="1" thickBot="1">
      <c r="A36" s="66"/>
      <c r="B36" s="5"/>
      <c r="C36" s="360"/>
      <c r="D36" s="360"/>
      <c r="E36" s="360"/>
      <c r="F36" s="360"/>
      <c r="G36" s="360"/>
      <c r="H36" s="360"/>
      <c r="I36" s="360"/>
      <c r="J36" s="360"/>
      <c r="K36" s="360"/>
      <c r="L36" s="360"/>
      <c r="M36" s="360"/>
      <c r="N36" s="360"/>
      <c r="O36" s="360"/>
      <c r="P36" s="37"/>
      <c r="Q36" s="37"/>
    </row>
    <row r="37" spans="1:17" ht="16.5" customHeight="1">
      <c r="A37" s="66"/>
      <c r="B37" s="5"/>
      <c r="C37" s="361" t="s">
        <v>818</v>
      </c>
      <c r="D37" s="361"/>
      <c r="E37" s="361"/>
      <c r="F37" s="361"/>
      <c r="G37" s="361"/>
      <c r="H37" s="361"/>
      <c r="I37" s="361"/>
      <c r="J37" s="361"/>
      <c r="K37" s="361"/>
      <c r="L37" s="361"/>
      <c r="M37" s="361"/>
      <c r="N37" s="361"/>
      <c r="O37" s="361"/>
      <c r="P37" s="37"/>
      <c r="Q37" s="37"/>
    </row>
    <row r="38" spans="1:17" ht="16.5" customHeight="1">
      <c r="A38" s="66"/>
      <c r="B38" s="5"/>
      <c r="C38" s="362"/>
      <c r="D38" s="362"/>
      <c r="E38" s="362"/>
      <c r="F38" s="362"/>
      <c r="G38" s="362"/>
      <c r="H38" s="362"/>
      <c r="I38" s="362"/>
      <c r="J38" s="362"/>
      <c r="K38" s="362"/>
      <c r="L38" s="362"/>
      <c r="M38" s="362"/>
      <c r="N38" s="362"/>
      <c r="O38" s="362"/>
      <c r="P38" s="37"/>
      <c r="Q38" s="37"/>
    </row>
    <row r="39" spans="1:17" ht="16.5" customHeight="1" thickBot="1">
      <c r="A39" s="66"/>
      <c r="B39" s="5"/>
      <c r="C39" s="363"/>
      <c r="D39" s="363"/>
      <c r="E39" s="363"/>
      <c r="F39" s="363"/>
      <c r="G39" s="363"/>
      <c r="H39" s="363"/>
      <c r="I39" s="363"/>
      <c r="J39" s="363"/>
      <c r="K39" s="363"/>
      <c r="L39" s="363"/>
      <c r="M39" s="363"/>
      <c r="N39" s="363"/>
      <c r="O39" s="363"/>
      <c r="P39" s="37"/>
      <c r="Q39" s="37"/>
    </row>
    <row r="40" spans="1:17" ht="13.5" customHeight="1">
      <c r="A40" s="5"/>
      <c r="B40" s="5"/>
      <c r="C40" s="5"/>
      <c r="D40" s="5"/>
      <c r="E40" s="5"/>
      <c r="F40" s="5"/>
      <c r="G40" s="5"/>
      <c r="H40" s="5"/>
      <c r="I40" s="5"/>
      <c r="J40" s="5"/>
      <c r="K40" s="37"/>
      <c r="L40" s="37"/>
      <c r="M40" s="37"/>
      <c r="N40" s="37"/>
      <c r="O40" s="37"/>
      <c r="P40" s="37"/>
      <c r="Q40" s="37"/>
    </row>
    <row r="41" spans="1:17" ht="16.5" customHeight="1">
      <c r="A41" s="66"/>
      <c r="B41" s="126" t="s">
        <v>819</v>
      </c>
      <c r="C41" s="64"/>
      <c r="D41" s="64"/>
      <c r="E41" s="64"/>
      <c r="F41" s="64"/>
      <c r="G41" s="64"/>
      <c r="H41" s="64"/>
      <c r="I41" s="64"/>
      <c r="J41" s="5"/>
      <c r="K41" s="37"/>
      <c r="L41" s="37"/>
      <c r="M41" s="37"/>
      <c r="N41" s="37"/>
      <c r="O41" s="37"/>
      <c r="P41" s="37"/>
      <c r="Q41" s="37"/>
    </row>
    <row r="42" spans="1:17" ht="5.0999999999999996" customHeight="1" thickBot="1">
      <c r="A42" s="66"/>
      <c r="B42" s="126"/>
      <c r="C42" s="64"/>
      <c r="D42" s="64"/>
      <c r="E42" s="64"/>
      <c r="F42" s="64"/>
      <c r="G42" s="64"/>
      <c r="H42" s="64"/>
      <c r="I42" s="64"/>
      <c r="J42" s="5"/>
      <c r="K42" s="37"/>
      <c r="L42" s="37"/>
      <c r="M42" s="37"/>
      <c r="N42" s="37"/>
      <c r="O42" s="37"/>
      <c r="P42" s="37"/>
      <c r="Q42" s="37"/>
    </row>
    <row r="43" spans="1:17" ht="16.5" customHeight="1">
      <c r="A43" s="5"/>
      <c r="B43" s="409" t="s">
        <v>820</v>
      </c>
      <c r="C43" s="410"/>
      <c r="D43" s="410"/>
      <c r="E43" s="411" t="s">
        <v>821</v>
      </c>
      <c r="F43" s="364"/>
      <c r="G43" s="364"/>
      <c r="H43" s="364"/>
      <c r="I43" s="411" t="s">
        <v>822</v>
      </c>
      <c r="J43" s="364"/>
      <c r="K43" s="364"/>
      <c r="L43" s="364"/>
      <c r="M43" s="364"/>
      <c r="N43" s="364"/>
      <c r="O43" s="364"/>
      <c r="P43" s="364"/>
      <c r="Q43" s="37"/>
    </row>
    <row r="44" spans="1:17" ht="16.5" customHeight="1" thickBot="1">
      <c r="A44" s="5"/>
      <c r="B44" s="372"/>
      <c r="C44" s="370"/>
      <c r="D44" s="370"/>
      <c r="E44" s="412"/>
      <c r="F44" s="366"/>
      <c r="G44" s="366"/>
      <c r="H44" s="366"/>
      <c r="I44" s="412"/>
      <c r="J44" s="366"/>
      <c r="K44" s="366"/>
      <c r="L44" s="366"/>
      <c r="M44" s="366"/>
      <c r="N44" s="366"/>
      <c r="O44" s="366"/>
      <c r="P44" s="366"/>
      <c r="Q44" s="37"/>
    </row>
    <row r="45" spans="1:17" ht="16.5" customHeight="1">
      <c r="A45" s="66"/>
      <c r="B45" s="380" t="s">
        <v>823</v>
      </c>
      <c r="C45" s="389"/>
      <c r="D45" s="389"/>
      <c r="E45" s="392" t="s">
        <v>824</v>
      </c>
      <c r="F45" s="393"/>
      <c r="G45" s="393"/>
      <c r="H45" s="394"/>
      <c r="I45" s="398" t="s">
        <v>825</v>
      </c>
      <c r="J45" s="399"/>
      <c r="K45" s="399"/>
      <c r="L45" s="399"/>
      <c r="M45" s="399"/>
      <c r="N45" s="399"/>
      <c r="O45" s="399"/>
      <c r="P45" s="399"/>
      <c r="Q45" s="37"/>
    </row>
    <row r="46" spans="1:17" ht="16.5" customHeight="1">
      <c r="A46" s="66"/>
      <c r="B46" s="380"/>
      <c r="C46" s="389"/>
      <c r="D46" s="389"/>
      <c r="E46" s="395"/>
      <c r="F46" s="396"/>
      <c r="G46" s="396"/>
      <c r="H46" s="397"/>
      <c r="I46" s="400"/>
      <c r="J46" s="401"/>
      <c r="K46" s="401"/>
      <c r="L46" s="401"/>
      <c r="M46" s="401"/>
      <c r="N46" s="401"/>
      <c r="O46" s="401"/>
      <c r="P46" s="401"/>
      <c r="Q46" s="37"/>
    </row>
    <row r="47" spans="1:17" ht="16.5" customHeight="1">
      <c r="A47" s="66"/>
      <c r="B47" s="390"/>
      <c r="C47" s="391"/>
      <c r="D47" s="391"/>
      <c r="E47" s="375"/>
      <c r="F47" s="376"/>
      <c r="G47" s="376"/>
      <c r="H47" s="388"/>
      <c r="I47" s="402"/>
      <c r="J47" s="403"/>
      <c r="K47" s="403"/>
      <c r="L47" s="403"/>
      <c r="M47" s="403"/>
      <c r="N47" s="403"/>
      <c r="O47" s="403"/>
      <c r="P47" s="403"/>
      <c r="Q47" s="37"/>
    </row>
    <row r="48" spans="1:17" ht="16.5" customHeight="1">
      <c r="A48" s="66"/>
      <c r="B48" s="390" t="s">
        <v>778</v>
      </c>
      <c r="C48" s="391"/>
      <c r="D48" s="391"/>
      <c r="E48" s="382" t="s">
        <v>826</v>
      </c>
      <c r="F48" s="382"/>
      <c r="G48" s="382"/>
      <c r="H48" s="382"/>
      <c r="I48" s="413" t="s">
        <v>827</v>
      </c>
      <c r="J48" s="414"/>
      <c r="K48" s="414"/>
      <c r="L48" s="414"/>
      <c r="M48" s="414"/>
      <c r="N48" s="414"/>
      <c r="O48" s="414"/>
      <c r="P48" s="414"/>
      <c r="Q48" s="37"/>
    </row>
    <row r="49" spans="1:17" ht="16.5" customHeight="1">
      <c r="A49" s="66"/>
      <c r="B49" s="390"/>
      <c r="C49" s="391"/>
      <c r="D49" s="391"/>
      <c r="E49" s="382"/>
      <c r="F49" s="382"/>
      <c r="G49" s="382"/>
      <c r="H49" s="382"/>
      <c r="I49" s="400"/>
      <c r="J49" s="401"/>
      <c r="K49" s="401"/>
      <c r="L49" s="401"/>
      <c r="M49" s="401"/>
      <c r="N49" s="401"/>
      <c r="O49" s="401"/>
      <c r="P49" s="401"/>
      <c r="Q49" s="37"/>
    </row>
    <row r="50" spans="1:17" ht="16.5" customHeight="1">
      <c r="A50" s="66"/>
      <c r="B50" s="390"/>
      <c r="C50" s="391"/>
      <c r="D50" s="391"/>
      <c r="E50" s="382"/>
      <c r="F50" s="382"/>
      <c r="G50" s="382"/>
      <c r="H50" s="382"/>
      <c r="I50" s="402"/>
      <c r="J50" s="403"/>
      <c r="K50" s="403"/>
      <c r="L50" s="403"/>
      <c r="M50" s="403"/>
      <c r="N50" s="403"/>
      <c r="O50" s="403"/>
      <c r="P50" s="403"/>
      <c r="Q50" s="37"/>
    </row>
    <row r="51" spans="1:17" ht="16.5" customHeight="1">
      <c r="A51" s="66"/>
      <c r="B51" s="390" t="s">
        <v>828</v>
      </c>
      <c r="C51" s="391"/>
      <c r="D51" s="391"/>
      <c r="E51" s="382" t="s">
        <v>829</v>
      </c>
      <c r="F51" s="382"/>
      <c r="G51" s="382"/>
      <c r="H51" s="382"/>
      <c r="I51" s="413" t="s">
        <v>830</v>
      </c>
      <c r="J51" s="414"/>
      <c r="K51" s="414"/>
      <c r="L51" s="414"/>
      <c r="M51" s="414"/>
      <c r="N51" s="414"/>
      <c r="O51" s="414"/>
      <c r="P51" s="414"/>
      <c r="Q51" s="37"/>
    </row>
    <row r="52" spans="1:17" ht="16.5" customHeight="1">
      <c r="A52" s="66"/>
      <c r="B52" s="390"/>
      <c r="C52" s="391"/>
      <c r="D52" s="391"/>
      <c r="E52" s="382"/>
      <c r="F52" s="382"/>
      <c r="G52" s="382"/>
      <c r="H52" s="382"/>
      <c r="I52" s="400"/>
      <c r="J52" s="401"/>
      <c r="K52" s="401"/>
      <c r="L52" s="401"/>
      <c r="M52" s="401"/>
      <c r="N52" s="401"/>
      <c r="O52" s="401"/>
      <c r="P52" s="401"/>
      <c r="Q52" s="37"/>
    </row>
    <row r="53" spans="1:17" ht="16.5" customHeight="1">
      <c r="A53" s="66"/>
      <c r="B53" s="390"/>
      <c r="C53" s="391"/>
      <c r="D53" s="391"/>
      <c r="E53" s="382"/>
      <c r="F53" s="382"/>
      <c r="G53" s="382"/>
      <c r="H53" s="382"/>
      <c r="I53" s="402"/>
      <c r="J53" s="403"/>
      <c r="K53" s="403"/>
      <c r="L53" s="403"/>
      <c r="M53" s="403"/>
      <c r="N53" s="403"/>
      <c r="O53" s="403"/>
      <c r="P53" s="403"/>
      <c r="Q53" s="37"/>
    </row>
    <row r="54" spans="1:17" ht="16.5" customHeight="1">
      <c r="A54" s="66"/>
      <c r="B54" s="390" t="s">
        <v>851</v>
      </c>
      <c r="C54" s="391"/>
      <c r="D54" s="391"/>
      <c r="E54" s="382" t="s">
        <v>831</v>
      </c>
      <c r="F54" s="382"/>
      <c r="G54" s="382"/>
      <c r="H54" s="382"/>
      <c r="I54" s="413" t="s">
        <v>832</v>
      </c>
      <c r="J54" s="414"/>
      <c r="K54" s="414"/>
      <c r="L54" s="414"/>
      <c r="M54" s="414"/>
      <c r="N54" s="414"/>
      <c r="O54" s="414"/>
      <c r="P54" s="414"/>
      <c r="Q54" s="37"/>
    </row>
    <row r="55" spans="1:17" ht="16.5" customHeight="1">
      <c r="A55" s="66"/>
      <c r="B55" s="390"/>
      <c r="C55" s="391"/>
      <c r="D55" s="391"/>
      <c r="E55" s="382"/>
      <c r="F55" s="382"/>
      <c r="G55" s="382"/>
      <c r="H55" s="382"/>
      <c r="I55" s="400"/>
      <c r="J55" s="401"/>
      <c r="K55" s="401"/>
      <c r="L55" s="401"/>
      <c r="M55" s="401"/>
      <c r="N55" s="401"/>
      <c r="O55" s="401"/>
      <c r="P55" s="401"/>
      <c r="Q55" s="37"/>
    </row>
    <row r="56" spans="1:17" ht="16.5" customHeight="1">
      <c r="A56" s="66"/>
      <c r="B56" s="390"/>
      <c r="C56" s="391"/>
      <c r="D56" s="391"/>
      <c r="E56" s="382"/>
      <c r="F56" s="382"/>
      <c r="G56" s="382"/>
      <c r="H56" s="382"/>
      <c r="I56" s="402"/>
      <c r="J56" s="403"/>
      <c r="K56" s="403"/>
      <c r="L56" s="403"/>
      <c r="M56" s="403"/>
      <c r="N56" s="403"/>
      <c r="O56" s="403"/>
      <c r="P56" s="403"/>
      <c r="Q56" s="37"/>
    </row>
    <row r="57" spans="1:17" ht="16.5" customHeight="1">
      <c r="A57" s="66"/>
      <c r="B57" s="390" t="s">
        <v>740</v>
      </c>
      <c r="C57" s="391"/>
      <c r="D57" s="391"/>
      <c r="E57" s="382" t="s">
        <v>833</v>
      </c>
      <c r="F57" s="382"/>
      <c r="G57" s="382"/>
      <c r="H57" s="382"/>
      <c r="I57" s="413" t="s">
        <v>834</v>
      </c>
      <c r="J57" s="414"/>
      <c r="K57" s="414"/>
      <c r="L57" s="414"/>
      <c r="M57" s="414"/>
      <c r="N57" s="414"/>
      <c r="O57" s="414"/>
      <c r="P57" s="414"/>
      <c r="Q57" s="37"/>
    </row>
    <row r="58" spans="1:17" ht="16.5" customHeight="1">
      <c r="A58" s="66"/>
      <c r="B58" s="386"/>
      <c r="C58" s="415"/>
      <c r="D58" s="415"/>
      <c r="E58" s="418"/>
      <c r="F58" s="418"/>
      <c r="G58" s="418"/>
      <c r="H58" s="418"/>
      <c r="I58" s="400"/>
      <c r="J58" s="401"/>
      <c r="K58" s="401"/>
      <c r="L58" s="401"/>
      <c r="M58" s="401"/>
      <c r="N58" s="401"/>
      <c r="O58" s="401"/>
      <c r="P58" s="401"/>
      <c r="Q58" s="37"/>
    </row>
    <row r="59" spans="1:17" ht="16.5" customHeight="1" thickBot="1">
      <c r="A59" s="66"/>
      <c r="B59" s="416"/>
      <c r="C59" s="417"/>
      <c r="D59" s="417"/>
      <c r="E59" s="419"/>
      <c r="F59" s="419"/>
      <c r="G59" s="419"/>
      <c r="H59" s="419"/>
      <c r="I59" s="420"/>
      <c r="J59" s="421"/>
      <c r="K59" s="421"/>
      <c r="L59" s="421"/>
      <c r="M59" s="421"/>
      <c r="N59" s="421"/>
      <c r="O59" s="421"/>
      <c r="P59" s="421"/>
      <c r="Q59" s="37"/>
    </row>
    <row r="60" spans="1:17" ht="13.5" customHeight="1">
      <c r="A60" s="66"/>
      <c r="B60" s="5"/>
      <c r="C60" s="5"/>
      <c r="D60" s="5"/>
      <c r="E60" s="5"/>
      <c r="F60" s="66"/>
      <c r="G60" s="5"/>
      <c r="H60" s="5"/>
      <c r="I60" s="5"/>
      <c r="J60" s="5"/>
      <c r="K60" s="37"/>
      <c r="L60" s="37"/>
      <c r="M60" s="37"/>
      <c r="N60" s="37"/>
      <c r="O60" s="37"/>
      <c r="P60" s="37"/>
      <c r="Q60" s="37"/>
    </row>
    <row r="61" spans="1:17" ht="16.5" customHeight="1">
      <c r="A61" s="5"/>
      <c r="B61" s="69" t="s">
        <v>835</v>
      </c>
      <c r="C61" s="69"/>
      <c r="D61" s="70"/>
      <c r="E61" s="70"/>
      <c r="F61" s="70"/>
      <c r="G61" s="70"/>
      <c r="H61" s="70"/>
      <c r="I61" s="70"/>
      <c r="J61" s="5"/>
      <c r="K61" s="37"/>
      <c r="L61" s="37"/>
      <c r="M61" s="37"/>
      <c r="N61" s="37"/>
      <c r="O61" s="37"/>
      <c r="P61" s="37"/>
      <c r="Q61" s="37"/>
    </row>
    <row r="62" spans="1:17" ht="5.0999999999999996" customHeight="1">
      <c r="A62" s="5"/>
      <c r="B62" s="5"/>
      <c r="C62" s="5"/>
      <c r="D62" s="5"/>
      <c r="E62" s="5"/>
      <c r="F62" s="5"/>
      <c r="G62" s="5"/>
      <c r="H62" s="5"/>
      <c r="I62" s="5"/>
      <c r="J62" s="5"/>
      <c r="K62" s="37"/>
      <c r="L62" s="37"/>
      <c r="M62" s="37"/>
      <c r="N62" s="37"/>
      <c r="O62" s="37"/>
      <c r="P62" s="37"/>
      <c r="Q62" s="37"/>
    </row>
    <row r="63" spans="1:17" ht="16.5" customHeight="1">
      <c r="A63" s="5"/>
      <c r="B63" s="173" t="s">
        <v>683</v>
      </c>
      <c r="C63" s="171"/>
      <c r="D63" s="171"/>
      <c r="E63" s="171"/>
      <c r="F63" s="171"/>
      <c r="G63" s="171"/>
      <c r="H63" s="171"/>
      <c r="I63" s="171"/>
      <c r="J63" s="171"/>
      <c r="K63" s="171"/>
      <c r="L63" s="171"/>
      <c r="M63" s="171"/>
      <c r="N63" s="171"/>
      <c r="O63" s="171"/>
      <c r="P63" s="171"/>
    </row>
    <row r="64" spans="1:17" ht="16.5" customHeight="1">
      <c r="A64" s="5"/>
      <c r="B64" s="174" t="s">
        <v>684</v>
      </c>
      <c r="C64" s="172"/>
      <c r="D64" s="172"/>
      <c r="E64" s="172"/>
      <c r="F64" s="172"/>
      <c r="G64" s="172"/>
      <c r="H64" s="172"/>
      <c r="I64" s="172"/>
      <c r="J64" s="172"/>
      <c r="K64" s="172"/>
      <c r="L64" s="172"/>
      <c r="M64" s="172"/>
      <c r="N64" s="172"/>
      <c r="O64" s="172"/>
      <c r="P64" s="172"/>
    </row>
    <row r="65" ht="13.5" customHeight="1"/>
  </sheetData>
  <mergeCells count="48">
    <mergeCell ref="B54:D56"/>
    <mergeCell ref="E54:H56"/>
    <mergeCell ref="I54:P56"/>
    <mergeCell ref="B57:D59"/>
    <mergeCell ref="E57:H59"/>
    <mergeCell ref="I57:P59"/>
    <mergeCell ref="B48:D50"/>
    <mergeCell ref="E48:H50"/>
    <mergeCell ref="I48:P50"/>
    <mergeCell ref="B51:D53"/>
    <mergeCell ref="E51:H53"/>
    <mergeCell ref="I51:P53"/>
    <mergeCell ref="B45:D47"/>
    <mergeCell ref="E45:H47"/>
    <mergeCell ref="I45:P47"/>
    <mergeCell ref="B29:F30"/>
    <mergeCell ref="G29:H30"/>
    <mergeCell ref="I29:J30"/>
    <mergeCell ref="K29:L30"/>
    <mergeCell ref="M29:N30"/>
    <mergeCell ref="O29:P30"/>
    <mergeCell ref="C34:O36"/>
    <mergeCell ref="C37:O39"/>
    <mergeCell ref="B43:D44"/>
    <mergeCell ref="E43:H44"/>
    <mergeCell ref="I43:P44"/>
    <mergeCell ref="O27:P28"/>
    <mergeCell ref="B25:F26"/>
    <mergeCell ref="G25:H26"/>
    <mergeCell ref="I25:J26"/>
    <mergeCell ref="K25:L26"/>
    <mergeCell ref="M25:N26"/>
    <mergeCell ref="O25:P26"/>
    <mergeCell ref="B27:F28"/>
    <mergeCell ref="G27:H28"/>
    <mergeCell ref="I27:J28"/>
    <mergeCell ref="K27:L28"/>
    <mergeCell ref="M27:N28"/>
    <mergeCell ref="B6:P8"/>
    <mergeCell ref="C14:O16"/>
    <mergeCell ref="C17:O19"/>
    <mergeCell ref="B23:F24"/>
    <mergeCell ref="G23:P23"/>
    <mergeCell ref="G24:H24"/>
    <mergeCell ref="I24:J24"/>
    <mergeCell ref="K24:L24"/>
    <mergeCell ref="M24:N24"/>
    <mergeCell ref="O24:P24"/>
  </mergeCells>
  <phoneticPr fontId="1" type="noConversion"/>
  <printOptions horizontalCentered="1"/>
  <pageMargins left="0.39370078740157483" right="0.39370078740157483" top="0.59055118110236227" bottom="0.59055118110236227" header="0.19685039370078741" footer="0.19685039370078741"/>
  <pageSetup paperSize="9" fitToHeight="0" orientation="portrait" r:id="rId1"/>
  <rowBreaks count="1" manualBreakCount="1">
    <brk id="40" max="16"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V29"/>
  <sheetViews>
    <sheetView showGridLines="0" view="pageBreakPreview" zoomScale="85" zoomScaleNormal="100" zoomScaleSheetLayoutView="85" workbookViewId="0">
      <pane ySplit="6" topLeftCell="A7" activePane="bottomLeft" state="frozen"/>
      <selection pane="bottomLeft"/>
    </sheetView>
  </sheetViews>
  <sheetFormatPr defaultColWidth="9" defaultRowHeight="13.5"/>
  <cols>
    <col min="1" max="1" width="5.75" style="7" customWidth="1"/>
    <col min="2" max="5" width="19.75" style="7" customWidth="1"/>
    <col min="6" max="7" width="12.25" style="7" customWidth="1"/>
    <col min="8" max="10" width="3.625" style="7" customWidth="1"/>
    <col min="11" max="11" width="6.25" style="7" customWidth="1"/>
    <col min="12" max="12" width="12.25" style="7" customWidth="1"/>
    <col min="13" max="16384" width="9" style="7"/>
  </cols>
  <sheetData>
    <row r="1" spans="1:22" s="5" customFormat="1">
      <c r="A1" s="4"/>
      <c r="B1" s="4"/>
      <c r="C1" s="4"/>
      <c r="D1" s="4"/>
      <c r="E1" s="4"/>
      <c r="F1" s="4"/>
      <c r="G1" s="4"/>
      <c r="H1" s="4"/>
      <c r="I1" s="4"/>
      <c r="J1" s="4"/>
      <c r="K1" s="4"/>
      <c r="L1" s="4"/>
    </row>
    <row r="2" spans="1:22" ht="18" customHeight="1">
      <c r="A2" s="422" t="s">
        <v>900</v>
      </c>
      <c r="B2" s="422"/>
      <c r="C2" s="422"/>
      <c r="D2" s="422"/>
      <c r="E2" s="422"/>
      <c r="F2" s="422"/>
      <c r="G2" s="422"/>
      <c r="H2" s="422"/>
      <c r="I2" s="422"/>
      <c r="J2" s="422"/>
      <c r="K2" s="422"/>
      <c r="L2" s="422"/>
      <c r="M2" s="9"/>
      <c r="N2" s="10"/>
      <c r="O2" s="10"/>
      <c r="P2" s="10"/>
      <c r="Q2" s="10"/>
      <c r="R2" s="10"/>
      <c r="S2" s="10"/>
      <c r="T2" s="10"/>
      <c r="U2" s="10"/>
      <c r="V2" s="10"/>
    </row>
    <row r="3" spans="1:22" ht="5.0999999999999996" customHeight="1" thickBot="1">
      <c r="A3" s="1"/>
      <c r="B3" s="1"/>
      <c r="C3" s="1"/>
      <c r="D3" s="1"/>
      <c r="E3" s="1"/>
      <c r="F3" s="1"/>
      <c r="G3" s="1"/>
      <c r="H3" s="1"/>
      <c r="I3" s="1"/>
      <c r="J3" s="1"/>
      <c r="K3" s="1"/>
      <c r="L3" s="1"/>
    </row>
    <row r="4" spans="1:22" ht="17.25" thickBot="1">
      <c r="A4" s="1"/>
      <c r="B4" s="1"/>
      <c r="C4" s="1"/>
      <c r="D4" s="1"/>
      <c r="E4" s="1"/>
      <c r="F4" s="1"/>
      <c r="G4" s="1"/>
      <c r="H4" s="1"/>
      <c r="I4" s="1"/>
      <c r="J4" s="1"/>
      <c r="K4" s="72" t="s">
        <v>691</v>
      </c>
      <c r="L4" s="75">
        <v>4</v>
      </c>
    </row>
    <row r="5" spans="1:22" ht="16.5" customHeight="1">
      <c r="A5" s="324" t="s">
        <v>692</v>
      </c>
      <c r="B5" s="320" t="s">
        <v>693</v>
      </c>
      <c r="C5" s="321"/>
      <c r="D5" s="321"/>
      <c r="E5" s="321"/>
      <c r="F5" s="321"/>
      <c r="G5" s="324"/>
      <c r="H5" s="424" t="s">
        <v>694</v>
      </c>
      <c r="I5" s="424"/>
      <c r="J5" s="424"/>
      <c r="K5" s="425"/>
      <c r="L5" s="426" t="s">
        <v>670</v>
      </c>
    </row>
    <row r="6" spans="1:22" ht="14.25" thickBot="1">
      <c r="A6" s="423"/>
      <c r="B6" s="127" t="s">
        <v>695</v>
      </c>
      <c r="C6" s="74" t="s">
        <v>696</v>
      </c>
      <c r="D6" s="74" t="s">
        <v>697</v>
      </c>
      <c r="E6" s="74" t="s">
        <v>698</v>
      </c>
      <c r="F6" s="74" t="s">
        <v>699</v>
      </c>
      <c r="G6" s="74" t="s">
        <v>700</v>
      </c>
      <c r="H6" s="74" t="s">
        <v>701</v>
      </c>
      <c r="I6" s="74" t="s">
        <v>702</v>
      </c>
      <c r="J6" s="74" t="s">
        <v>703</v>
      </c>
      <c r="K6" s="74" t="s">
        <v>704</v>
      </c>
      <c r="L6" s="427"/>
    </row>
    <row r="7" spans="1:22" ht="16.5" customHeight="1">
      <c r="A7" s="232">
        <f ca="1">HYPERLINK("[" &amp; MID(CELL("filename"),SEARCH("[",CELL("filename"))+1, SEARCH("]",CELL("filename"))-SEARCH("[",CELL("filename"))-1) &amp; "]'요약 통계'!" &amp; ADDRESS(4,ROW()+5,1,TRUE),ROW()-6)</f>
        <v>1</v>
      </c>
      <c r="B7" s="79" t="s">
        <v>705</v>
      </c>
      <c r="C7" s="170" t="s">
        <v>1235</v>
      </c>
      <c r="D7" s="79" t="s">
        <v>706</v>
      </c>
      <c r="E7" s="78" t="s">
        <v>707</v>
      </c>
      <c r="F7" s="78" t="s">
        <v>708</v>
      </c>
      <c r="G7" s="78" t="s">
        <v>709</v>
      </c>
      <c r="H7" s="78">
        <v>3</v>
      </c>
      <c r="I7" s="78">
        <v>3</v>
      </c>
      <c r="J7" s="78">
        <v>2</v>
      </c>
      <c r="K7" s="235" t="str">
        <f>IF(H7+I7+J7&lt;=2,"-",IF(H7+I7+J7&gt;=7,"상",IF(H7+I7+J7&gt;=5,"중","하")))</f>
        <v>상</v>
      </c>
      <c r="L7" s="80"/>
    </row>
    <row r="8" spans="1:22">
      <c r="A8" s="233">
        <f t="shared" ref="A8:A29" ca="1" si="0">HYPERLINK("[" &amp; MID(CELL("filename"),SEARCH("[",CELL("filename"))+1, SEARCH("]",CELL("filename"))-SEARCH("[",CELL("filename"))-1) &amp; "]'요약 통계'!" &amp; ADDRESS(4,ROW()+5,1,TRUE),ROW()-6)</f>
        <v>2</v>
      </c>
      <c r="B8" s="82" t="s">
        <v>853</v>
      </c>
      <c r="C8" s="82" t="s">
        <v>1236</v>
      </c>
      <c r="D8" s="82" t="s">
        <v>710</v>
      </c>
      <c r="E8" s="81" t="s">
        <v>711</v>
      </c>
      <c r="F8" s="81" t="s">
        <v>712</v>
      </c>
      <c r="G8" s="81" t="s">
        <v>713</v>
      </c>
      <c r="H8" s="81">
        <v>3</v>
      </c>
      <c r="I8" s="81">
        <v>3</v>
      </c>
      <c r="J8" s="81">
        <v>2</v>
      </c>
      <c r="K8" s="81" t="str">
        <f>IF(H8+I8+J8&lt;=2,"-",IF(H8+I8+J8&gt;=7,"상",IF(H8+I8+J8&gt;=5,"중","하")))</f>
        <v>상</v>
      </c>
      <c r="L8" s="83"/>
    </row>
    <row r="9" spans="1:22">
      <c r="A9" s="233">
        <f t="shared" ca="1" si="0"/>
        <v>3</v>
      </c>
      <c r="B9" s="82"/>
      <c r="C9" s="82"/>
      <c r="D9" s="82"/>
      <c r="E9" s="81"/>
      <c r="F9" s="81"/>
      <c r="G9" s="81"/>
      <c r="H9" s="81"/>
      <c r="I9" s="81"/>
      <c r="J9" s="81"/>
      <c r="K9" s="81" t="str">
        <f t="shared" ref="K9:K16" si="1">IF(H9+I9+J9&lt;=2,"-",IF(H9+I9+J9&gt;=7,"상",IF(H9+I9+J9&gt;=5,"중","하")))</f>
        <v>-</v>
      </c>
      <c r="L9" s="83"/>
    </row>
    <row r="10" spans="1:22">
      <c r="A10" s="233">
        <f t="shared" ca="1" si="0"/>
        <v>4</v>
      </c>
      <c r="B10" s="82"/>
      <c r="C10" s="82"/>
      <c r="D10" s="82"/>
      <c r="E10" s="81"/>
      <c r="F10" s="81"/>
      <c r="G10" s="81"/>
      <c r="H10" s="81"/>
      <c r="I10" s="81"/>
      <c r="J10" s="81"/>
      <c r="K10" s="81" t="str">
        <f t="shared" si="1"/>
        <v>-</v>
      </c>
      <c r="L10" s="83"/>
    </row>
    <row r="11" spans="1:22">
      <c r="A11" s="233">
        <f t="shared" ca="1" si="0"/>
        <v>5</v>
      </c>
      <c r="B11" s="82"/>
      <c r="C11" s="82"/>
      <c r="D11" s="82"/>
      <c r="E11" s="81"/>
      <c r="F11" s="81"/>
      <c r="G11" s="81"/>
      <c r="H11" s="81"/>
      <c r="I11" s="81"/>
      <c r="J11" s="81"/>
      <c r="K11" s="81" t="str">
        <f t="shared" si="1"/>
        <v>-</v>
      </c>
      <c r="L11" s="83"/>
    </row>
    <row r="12" spans="1:22">
      <c r="A12" s="233">
        <f t="shared" ca="1" si="0"/>
        <v>6</v>
      </c>
      <c r="B12" s="82"/>
      <c r="C12" s="82"/>
      <c r="D12" s="82"/>
      <c r="E12" s="81"/>
      <c r="F12" s="81"/>
      <c r="G12" s="81"/>
      <c r="H12" s="81"/>
      <c r="I12" s="81"/>
      <c r="J12" s="81"/>
      <c r="K12" s="81" t="str">
        <f t="shared" si="1"/>
        <v>-</v>
      </c>
      <c r="L12" s="83"/>
    </row>
    <row r="13" spans="1:22">
      <c r="A13" s="233">
        <f t="shared" ca="1" si="0"/>
        <v>7</v>
      </c>
      <c r="B13" s="82"/>
      <c r="C13" s="82"/>
      <c r="D13" s="82"/>
      <c r="E13" s="81"/>
      <c r="F13" s="81"/>
      <c r="G13" s="81"/>
      <c r="H13" s="81"/>
      <c r="I13" s="81"/>
      <c r="J13" s="81"/>
      <c r="K13" s="81" t="str">
        <f t="shared" si="1"/>
        <v>-</v>
      </c>
      <c r="L13" s="83"/>
    </row>
    <row r="14" spans="1:22">
      <c r="A14" s="233">
        <f t="shared" ca="1" si="0"/>
        <v>8</v>
      </c>
      <c r="B14" s="82"/>
      <c r="C14" s="82"/>
      <c r="D14" s="82"/>
      <c r="E14" s="81"/>
      <c r="F14" s="81"/>
      <c r="G14" s="81"/>
      <c r="H14" s="81"/>
      <c r="I14" s="81"/>
      <c r="J14" s="81"/>
      <c r="K14" s="81" t="str">
        <f t="shared" si="1"/>
        <v>-</v>
      </c>
      <c r="L14" s="83"/>
    </row>
    <row r="15" spans="1:22">
      <c r="A15" s="233">
        <f t="shared" ca="1" si="0"/>
        <v>9</v>
      </c>
      <c r="B15" s="82"/>
      <c r="C15" s="82"/>
      <c r="D15" s="82"/>
      <c r="E15" s="81"/>
      <c r="F15" s="81"/>
      <c r="G15" s="81"/>
      <c r="H15" s="81"/>
      <c r="I15" s="81"/>
      <c r="J15" s="81"/>
      <c r="K15" s="81" t="str">
        <f t="shared" si="1"/>
        <v>-</v>
      </c>
      <c r="L15" s="83"/>
    </row>
    <row r="16" spans="1:22">
      <c r="A16" s="233">
        <f t="shared" ca="1" si="0"/>
        <v>10</v>
      </c>
      <c r="B16" s="82"/>
      <c r="C16" s="82"/>
      <c r="D16" s="82"/>
      <c r="E16" s="81"/>
      <c r="F16" s="81"/>
      <c r="G16" s="81"/>
      <c r="H16" s="81"/>
      <c r="I16" s="81"/>
      <c r="J16" s="81"/>
      <c r="K16" s="81" t="str">
        <f t="shared" si="1"/>
        <v>-</v>
      </c>
      <c r="L16" s="83"/>
    </row>
    <row r="17" spans="1:12">
      <c r="A17" s="233">
        <f t="shared" ca="1" si="0"/>
        <v>11</v>
      </c>
      <c r="B17" s="82"/>
      <c r="C17" s="82"/>
      <c r="D17" s="82"/>
      <c r="E17" s="81"/>
      <c r="F17" s="81"/>
      <c r="G17" s="81"/>
      <c r="H17" s="81"/>
      <c r="I17" s="81"/>
      <c r="J17" s="81"/>
      <c r="K17" s="81" t="str">
        <f t="shared" ref="K17:K27" si="2">IF(H17+I17+J17&lt;=2,"-",IF(H17+I17+J17&gt;=7,"상",IF(H17+I17+J17&gt;=5,"중","하")))</f>
        <v>-</v>
      </c>
      <c r="L17" s="83"/>
    </row>
    <row r="18" spans="1:12">
      <c r="A18" s="233">
        <f t="shared" ca="1" si="0"/>
        <v>12</v>
      </c>
      <c r="B18" s="82"/>
      <c r="C18" s="82"/>
      <c r="D18" s="82"/>
      <c r="E18" s="81"/>
      <c r="F18" s="81"/>
      <c r="G18" s="81"/>
      <c r="H18" s="81"/>
      <c r="I18" s="81"/>
      <c r="J18" s="81"/>
      <c r="K18" s="81" t="str">
        <f t="shared" si="2"/>
        <v>-</v>
      </c>
      <c r="L18" s="83"/>
    </row>
    <row r="19" spans="1:12">
      <c r="A19" s="233">
        <f t="shared" ca="1" si="0"/>
        <v>13</v>
      </c>
      <c r="B19" s="82"/>
      <c r="C19" s="82"/>
      <c r="D19" s="82"/>
      <c r="E19" s="81"/>
      <c r="F19" s="81"/>
      <c r="G19" s="81"/>
      <c r="H19" s="81"/>
      <c r="I19" s="81"/>
      <c r="J19" s="81"/>
      <c r="K19" s="81" t="str">
        <f t="shared" si="2"/>
        <v>-</v>
      </c>
      <c r="L19" s="83"/>
    </row>
    <row r="20" spans="1:12">
      <c r="A20" s="233">
        <f t="shared" ca="1" si="0"/>
        <v>14</v>
      </c>
      <c r="B20" s="82"/>
      <c r="C20" s="82"/>
      <c r="D20" s="82"/>
      <c r="E20" s="81"/>
      <c r="F20" s="81"/>
      <c r="G20" s="81"/>
      <c r="H20" s="81"/>
      <c r="I20" s="81"/>
      <c r="J20" s="81"/>
      <c r="K20" s="81" t="str">
        <f t="shared" si="2"/>
        <v>-</v>
      </c>
      <c r="L20" s="83"/>
    </row>
    <row r="21" spans="1:12">
      <c r="A21" s="233">
        <f t="shared" ca="1" si="0"/>
        <v>15</v>
      </c>
      <c r="B21" s="82"/>
      <c r="C21" s="82"/>
      <c r="D21" s="82"/>
      <c r="E21" s="81"/>
      <c r="F21" s="81"/>
      <c r="G21" s="81"/>
      <c r="H21" s="81"/>
      <c r="I21" s="81"/>
      <c r="J21" s="81"/>
      <c r="K21" s="81" t="str">
        <f t="shared" si="2"/>
        <v>-</v>
      </c>
      <c r="L21" s="83"/>
    </row>
    <row r="22" spans="1:12">
      <c r="A22" s="233">
        <f t="shared" ca="1" si="0"/>
        <v>16</v>
      </c>
      <c r="B22" s="82"/>
      <c r="C22" s="82"/>
      <c r="D22" s="82"/>
      <c r="E22" s="81"/>
      <c r="F22" s="81"/>
      <c r="G22" s="81"/>
      <c r="H22" s="81"/>
      <c r="I22" s="81"/>
      <c r="J22" s="81"/>
      <c r="K22" s="81" t="str">
        <f t="shared" si="2"/>
        <v>-</v>
      </c>
      <c r="L22" s="83"/>
    </row>
    <row r="23" spans="1:12">
      <c r="A23" s="233">
        <f t="shared" ca="1" si="0"/>
        <v>17</v>
      </c>
      <c r="B23" s="82"/>
      <c r="C23" s="82"/>
      <c r="D23" s="82"/>
      <c r="E23" s="81"/>
      <c r="F23" s="81"/>
      <c r="G23" s="81"/>
      <c r="H23" s="81"/>
      <c r="I23" s="81"/>
      <c r="J23" s="81"/>
      <c r="K23" s="81" t="str">
        <f t="shared" si="2"/>
        <v>-</v>
      </c>
      <c r="L23" s="83"/>
    </row>
    <row r="24" spans="1:12">
      <c r="A24" s="233">
        <f t="shared" ca="1" si="0"/>
        <v>18</v>
      </c>
      <c r="B24" s="82"/>
      <c r="C24" s="82"/>
      <c r="D24" s="82"/>
      <c r="E24" s="81"/>
      <c r="F24" s="81"/>
      <c r="G24" s="81"/>
      <c r="H24" s="81"/>
      <c r="I24" s="81"/>
      <c r="J24" s="81"/>
      <c r="K24" s="81" t="str">
        <f t="shared" si="2"/>
        <v>-</v>
      </c>
      <c r="L24" s="83"/>
    </row>
    <row r="25" spans="1:12">
      <c r="A25" s="233">
        <f t="shared" ca="1" si="0"/>
        <v>19</v>
      </c>
      <c r="B25" s="82"/>
      <c r="C25" s="82"/>
      <c r="D25" s="82"/>
      <c r="E25" s="81"/>
      <c r="F25" s="81"/>
      <c r="G25" s="81"/>
      <c r="H25" s="81"/>
      <c r="I25" s="81"/>
      <c r="J25" s="81"/>
      <c r="K25" s="81" t="str">
        <f t="shared" si="2"/>
        <v>-</v>
      </c>
      <c r="L25" s="83"/>
    </row>
    <row r="26" spans="1:12">
      <c r="A26" s="233">
        <f t="shared" ca="1" si="0"/>
        <v>20</v>
      </c>
      <c r="B26" s="82"/>
      <c r="C26" s="82"/>
      <c r="D26" s="82"/>
      <c r="E26" s="81"/>
      <c r="F26" s="81"/>
      <c r="G26" s="81"/>
      <c r="H26" s="81"/>
      <c r="I26" s="81"/>
      <c r="J26" s="81"/>
      <c r="K26" s="81" t="str">
        <f t="shared" si="2"/>
        <v>-</v>
      </c>
      <c r="L26" s="83"/>
    </row>
    <row r="27" spans="1:12">
      <c r="A27" s="233">
        <f t="shared" ca="1" si="0"/>
        <v>21</v>
      </c>
      <c r="B27" s="82"/>
      <c r="C27" s="82"/>
      <c r="D27" s="82"/>
      <c r="E27" s="81"/>
      <c r="F27" s="81"/>
      <c r="G27" s="81"/>
      <c r="H27" s="81"/>
      <c r="I27" s="81"/>
      <c r="J27" s="81"/>
      <c r="K27" s="81" t="str">
        <f t="shared" si="2"/>
        <v>-</v>
      </c>
      <c r="L27" s="83"/>
    </row>
    <row r="28" spans="1:12">
      <c r="A28" s="233">
        <f t="shared" ca="1" si="0"/>
        <v>22</v>
      </c>
      <c r="B28" s="82"/>
      <c r="C28" s="82"/>
      <c r="D28" s="82"/>
      <c r="E28" s="81"/>
      <c r="F28" s="81"/>
      <c r="G28" s="81"/>
      <c r="H28" s="81"/>
      <c r="I28" s="81"/>
      <c r="J28" s="81"/>
      <c r="K28" s="81" t="str">
        <f>IF(H28+I28+J28&lt;=2,"-",IF(H28+I28+J28&gt;=7,"상",IF(H28+I28+J28&gt;=5,"중","하")))</f>
        <v>-</v>
      </c>
      <c r="L28" s="83"/>
    </row>
    <row r="29" spans="1:12" ht="14.25" thickBot="1">
      <c r="A29" s="234">
        <f t="shared" ca="1" si="0"/>
        <v>23</v>
      </c>
      <c r="B29" s="221"/>
      <c r="C29" s="221"/>
      <c r="D29" s="221"/>
      <c r="E29" s="222"/>
      <c r="F29" s="222"/>
      <c r="G29" s="222"/>
      <c r="H29" s="222"/>
      <c r="I29" s="222"/>
      <c r="J29" s="222"/>
      <c r="K29" s="222" t="str">
        <f>IF(H29+I29+J29&lt;=2,"-",IF(H29+I29+J29&gt;=7,"상",IF(H29+I29+J29&gt;=5,"중","하")))</f>
        <v>-</v>
      </c>
      <c r="L29" s="223"/>
    </row>
  </sheetData>
  <mergeCells count="5">
    <mergeCell ref="A2:L2"/>
    <mergeCell ref="A5:A6"/>
    <mergeCell ref="H5:K5"/>
    <mergeCell ref="L5:L6"/>
    <mergeCell ref="B5:G5"/>
  </mergeCells>
  <phoneticPr fontId="1" type="noConversion"/>
  <dataValidations count="1">
    <dataValidation type="list" showInputMessage="1" showErrorMessage="1" sqref="L4 L65513 L131049 L196585 L262121 L327657 L393193 L458729 L524265 L589801 L655337 L720873 L786409 L851945 L917481 L983017" xr:uid="{00000000-0002-0000-0600-000000000000}">
      <formula1>"-,1,2,3,4,5,6,7,8,9"</formula1>
    </dataValidation>
  </dataValidations>
  <printOptions horizontalCentered="1"/>
  <pageMargins left="0.39370078740157483" right="0.39370078740157483" top="0.59055118110236227" bottom="0.59055118110236227" header="0.19685039370078741" footer="0.19685039370078741"/>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heets_copy">
                <anchor moveWithCells="1" sizeWithCells="1">
                  <from>
                    <xdr:col>9</xdr:col>
                    <xdr:colOff>266700</xdr:colOff>
                    <xdr:row>0</xdr:row>
                    <xdr:rowOff>0</xdr:rowOff>
                  </from>
                  <to>
                    <xdr:col>11</xdr:col>
                    <xdr:colOff>942975</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2"/>
  <sheetViews>
    <sheetView showGridLines="0" view="pageBreakPreview" zoomScale="85" zoomScaleNormal="85" zoomScaleSheetLayoutView="85" workbookViewId="0"/>
  </sheetViews>
  <sheetFormatPr defaultColWidth="9" defaultRowHeight="13.5" customHeight="1"/>
  <cols>
    <col min="1" max="2" width="12.5" style="5" customWidth="1"/>
    <col min="3" max="10" width="9.5" style="5" customWidth="1"/>
    <col min="11" max="16384" width="9" style="5"/>
  </cols>
  <sheetData>
    <row r="1" spans="1:10">
      <c r="A1" s="4"/>
      <c r="B1" s="4"/>
      <c r="C1" s="4"/>
      <c r="D1" s="4"/>
      <c r="E1" s="4"/>
      <c r="F1" s="4"/>
      <c r="G1" s="4"/>
      <c r="H1" s="4"/>
      <c r="I1" s="4"/>
      <c r="J1" s="4"/>
    </row>
    <row r="2" spans="1:10" ht="17.25">
      <c r="A2" s="422" t="s">
        <v>841</v>
      </c>
      <c r="B2" s="438"/>
      <c r="C2" s="438"/>
      <c r="D2" s="438"/>
      <c r="E2" s="438"/>
      <c r="F2" s="438"/>
      <c r="G2" s="438"/>
      <c r="H2" s="438"/>
      <c r="I2" s="438"/>
      <c r="J2" s="438"/>
    </row>
    <row r="3" spans="1:10" ht="4.5" customHeight="1" thickBot="1">
      <c r="A3" s="430"/>
      <c r="B3" s="430"/>
      <c r="C3" s="430"/>
      <c r="D3" s="430"/>
      <c r="E3" s="430"/>
      <c r="F3" s="430"/>
      <c r="G3" s="430"/>
      <c r="H3" s="430"/>
      <c r="I3" s="430"/>
      <c r="J3" s="430"/>
    </row>
    <row r="4" spans="1:10" ht="17.25" customHeight="1" thickBot="1">
      <c r="A4" s="439" t="s">
        <v>689</v>
      </c>
      <c r="B4" s="440"/>
      <c r="C4" s="182" t="s">
        <v>842</v>
      </c>
      <c r="D4" s="182" t="s">
        <v>843</v>
      </c>
      <c r="E4" s="182" t="s">
        <v>778</v>
      </c>
      <c r="F4" s="182" t="s">
        <v>726</v>
      </c>
      <c r="G4" s="182" t="s">
        <v>844</v>
      </c>
      <c r="H4" s="183" t="s">
        <v>845</v>
      </c>
      <c r="I4" s="184" t="s">
        <v>846</v>
      </c>
      <c r="J4" s="184" t="s">
        <v>847</v>
      </c>
    </row>
    <row r="5" spans="1:10" ht="16.5" customHeight="1" thickBot="1">
      <c r="A5" s="441" t="s">
        <v>849</v>
      </c>
      <c r="B5" s="442"/>
      <c r="C5" s="185">
        <f ca="1">MAX(점검대상!$A:$A)</f>
        <v>23</v>
      </c>
      <c r="D5" s="185">
        <f ca="1">'요약 통계'!$G89</f>
        <v>166</v>
      </c>
      <c r="E5" s="185">
        <f ca="1">'요약 통계'!$H89</f>
        <v>0</v>
      </c>
      <c r="F5" s="185">
        <f ca="1">'요약 통계'!$I89</f>
        <v>1</v>
      </c>
      <c r="G5" s="185" cm="1">
        <f t="array" aca="1" ref="G5" ca="1">SUMPRODUCT(('요약 통계'!$E$6:$E$88)*('요약 통계'!$G$6:$G$88))</f>
        <v>608</v>
      </c>
      <c r="H5" s="185" cm="1">
        <f t="array" aca="1" ref="H5" ca="1">SUMPRODUCT(('요약 통계'!$E$6:$E$88)*('요약 통계'!$H$6:$H$88))</f>
        <v>0</v>
      </c>
      <c r="I5" s="186">
        <f ca="1">IF(G5=0,"N/A",H5/G5)</f>
        <v>0</v>
      </c>
      <c r="J5" s="187" t="str">
        <f ca="1">IF($I$5&gt;=0.9,"우수",IF($I$5&gt;=0.8,"양호",IF($I$5&gt;=0.7,"보통",IF($I$5&gt;=0.6,"미흡","취약"))))</f>
        <v>취약</v>
      </c>
    </row>
    <row r="6" spans="1:10">
      <c r="A6" s="48"/>
      <c r="B6" s="4"/>
      <c r="C6" s="4"/>
      <c r="D6" s="4"/>
      <c r="E6" s="4"/>
      <c r="F6" s="4"/>
      <c r="G6" s="4"/>
      <c r="H6" s="4"/>
      <c r="I6" s="4"/>
      <c r="J6" s="4"/>
    </row>
    <row r="7" spans="1:10" ht="17.25">
      <c r="A7" s="422" t="s">
        <v>720</v>
      </c>
      <c r="B7" s="438"/>
      <c r="C7" s="438"/>
      <c r="D7" s="438"/>
      <c r="E7" s="438"/>
      <c r="F7" s="438"/>
      <c r="G7" s="438"/>
      <c r="H7" s="438"/>
      <c r="I7" s="438"/>
      <c r="J7" s="438"/>
    </row>
    <row r="8" spans="1:10" ht="4.5" customHeight="1" thickBot="1">
      <c r="A8" s="430"/>
      <c r="B8" s="430"/>
      <c r="C8" s="430"/>
      <c r="D8" s="430"/>
      <c r="E8" s="430"/>
      <c r="F8" s="430"/>
      <c r="G8" s="430"/>
      <c r="H8" s="430"/>
      <c r="I8" s="430"/>
      <c r="J8" s="430"/>
    </row>
    <row r="9" spans="1:10">
      <c r="A9" s="431" t="s">
        <v>715</v>
      </c>
      <c r="B9" s="432"/>
      <c r="C9" s="432" t="s">
        <v>721</v>
      </c>
      <c r="D9" s="432"/>
      <c r="E9" s="432"/>
      <c r="F9" s="432"/>
      <c r="G9" s="432"/>
      <c r="H9" s="432" t="s">
        <v>722</v>
      </c>
      <c r="I9" s="432"/>
      <c r="J9" s="435"/>
    </row>
    <row r="10" spans="1:10" ht="14.25" thickBot="1">
      <c r="A10" s="433"/>
      <c r="B10" s="434"/>
      <c r="C10" s="62" t="s">
        <v>723</v>
      </c>
      <c r="D10" s="62" t="s">
        <v>724</v>
      </c>
      <c r="E10" s="62" t="s">
        <v>725</v>
      </c>
      <c r="F10" s="62" t="s">
        <v>726</v>
      </c>
      <c r="G10" s="62" t="s">
        <v>727</v>
      </c>
      <c r="H10" s="62" t="s">
        <v>728</v>
      </c>
      <c r="I10" s="62" t="s">
        <v>840</v>
      </c>
      <c r="J10" s="63" t="s">
        <v>729</v>
      </c>
    </row>
    <row r="11" spans="1:10">
      <c r="A11" s="436" t="s">
        <v>716</v>
      </c>
      <c r="B11" s="437"/>
      <c r="C11" s="84">
        <f>COUNTIF('통합 점검결과'!$I:$I,'보안수준 통계'!$A11)</f>
        <v>1</v>
      </c>
      <c r="D11" s="84">
        <f>C11-G11</f>
        <v>1</v>
      </c>
      <c r="E11" s="84">
        <f>COUNTIFS('통합 점검결과'!$I:$I,'보안수준 통계'!$A11,'통합 점검결과'!$M:$M,$E$10)</f>
        <v>0</v>
      </c>
      <c r="F11" s="84">
        <f>COUNTIFS('통합 점검결과'!$I:$I,'보안수준 통계'!$A11,'통합 점검결과'!$M:$M,$F$10)</f>
        <v>1</v>
      </c>
      <c r="G11" s="84">
        <f>COUNTIFS('통합 점검결과'!$I:$I,'보안수준 통계'!$A11,'통합 점검결과'!$M:$M,"N/A")</f>
        <v>0</v>
      </c>
      <c r="H11" s="84">
        <f t="array" aca="1" ref="H11" ca="1">SUMPRODUCT(('요약 통계'!$A$6:$A$88=$A11)*('요약 통계'!$E$6:$E$88)*('요약 통계'!$G$6:$G$88))</f>
        <v>522</v>
      </c>
      <c r="I11" s="84">
        <f t="array" aca="1" ref="I11" ca="1">SUMPRODUCT(('요약 통계'!$A$6:$A$88=$A11)*('요약 통계'!$E$6:$E$88)*('요약 통계'!$H$6:$H$88))</f>
        <v>0</v>
      </c>
      <c r="J11" s="188">
        <f ca="1">IF(H11=0,"N/A",I11/H11)</f>
        <v>0</v>
      </c>
    </row>
    <row r="12" spans="1:10">
      <c r="A12" s="428" t="s">
        <v>717</v>
      </c>
      <c r="B12" s="429"/>
      <c r="C12" s="85">
        <f>COUNTIF('통합 점검결과'!$I:$I,'보안수준 통계'!$A12)</f>
        <v>0</v>
      </c>
      <c r="D12" s="85">
        <f>C12-G12</f>
        <v>0</v>
      </c>
      <c r="E12" s="85">
        <f>COUNTIFS('통합 점검결과'!$I:$I,'보안수준 통계'!$A12,'통합 점검결과'!$M:$M,$E$10)</f>
        <v>0</v>
      </c>
      <c r="F12" s="85">
        <f>COUNTIFS('통합 점검결과'!$I:$I,'보안수준 통계'!$A12,'통합 점검결과'!$M:$M,$F$10)</f>
        <v>0</v>
      </c>
      <c r="G12" s="85">
        <f>COUNTIFS('통합 점검결과'!$I:$I,'보안수준 통계'!$A12,'통합 점검결과'!$M:$M,"N/A")</f>
        <v>0</v>
      </c>
      <c r="H12" s="85">
        <f t="array" aca="1" ref="H12" ca="1">SUMPRODUCT(('요약 통계'!$A$6:$A$88=$A12)*('요약 통계'!$E$6:$E$88)*('요약 통계'!$G$6:$G$88))</f>
        <v>66</v>
      </c>
      <c r="I12" s="86">
        <f t="array" aca="1" ref="I12" ca="1">SUMPRODUCT(('요약 통계'!$A$6:$A$88=$A12)*('요약 통계'!$E$6:$E$88)*('요약 통계'!$H$6:$H$88))</f>
        <v>0</v>
      </c>
      <c r="J12" s="189">
        <f ca="1">IF(H12=0,"N/A",I12/H12)</f>
        <v>0</v>
      </c>
    </row>
    <row r="13" spans="1:10" ht="14.25" thickBot="1">
      <c r="A13" s="428" t="s">
        <v>718</v>
      </c>
      <c r="B13" s="429"/>
      <c r="C13" s="85">
        <f>COUNTIF('통합 점검결과'!$I:$I,'보안수준 통계'!$A13)</f>
        <v>0</v>
      </c>
      <c r="D13" s="85">
        <f>C13-G13</f>
        <v>0</v>
      </c>
      <c r="E13" s="85">
        <f>COUNTIFS('통합 점검결과'!$I:$I,'보안수준 통계'!$A13,'통합 점검결과'!$M:$M,$E$10)</f>
        <v>0</v>
      </c>
      <c r="F13" s="85">
        <f>COUNTIFS('통합 점검결과'!$I:$I,'보안수준 통계'!$A13,'통합 점검결과'!$M:$M,$F$10)</f>
        <v>0</v>
      </c>
      <c r="G13" s="85">
        <f>COUNTIFS('통합 점검결과'!$I:$I,'보안수준 통계'!$A13,'통합 점검결과'!$M:$M,"N/A")</f>
        <v>0</v>
      </c>
      <c r="H13" s="85">
        <f t="array" aca="1" ref="H13" ca="1">SUMPRODUCT(('요약 통계'!$A$6:$A$88=$A13)*('요약 통계'!$E$6:$E$88)*('요약 통계'!$G$6:$G$88))</f>
        <v>20</v>
      </c>
      <c r="I13" s="86">
        <f t="array" aca="1" ref="I13" ca="1">SUMPRODUCT(('요약 통계'!$A$6:$A$88=$A13)*('요약 통계'!$E$6:$E$88)*('요약 통계'!$H$6:$H$88))</f>
        <v>0</v>
      </c>
      <c r="J13" s="189">
        <f ca="1">IF(H13=0,"N/A",I13/H13)</f>
        <v>0</v>
      </c>
    </row>
    <row r="14" spans="1:10" ht="14.25" thickBot="1">
      <c r="A14" s="443" t="s">
        <v>719</v>
      </c>
      <c r="B14" s="444"/>
      <c r="C14" s="110">
        <f t="shared" ref="C14:G14" si="0">SUM(C11:C13)</f>
        <v>1</v>
      </c>
      <c r="D14" s="110">
        <f t="shared" si="0"/>
        <v>1</v>
      </c>
      <c r="E14" s="110">
        <f t="shared" si="0"/>
        <v>0</v>
      </c>
      <c r="F14" s="110">
        <f t="shared" si="0"/>
        <v>1</v>
      </c>
      <c r="G14" s="110">
        <f t="shared" si="0"/>
        <v>0</v>
      </c>
      <c r="H14" s="110">
        <f ca="1">SUM(H11:H13)</f>
        <v>608</v>
      </c>
      <c r="I14" s="110">
        <f ca="1">SUM(I11:I13)</f>
        <v>0</v>
      </c>
      <c r="J14" s="190">
        <f ca="1">IF(H14=0,"N/A",I14/H14)</f>
        <v>0</v>
      </c>
    </row>
    <row r="15" spans="1:10">
      <c r="A15" s="48"/>
      <c r="B15" s="4"/>
      <c r="C15" s="4"/>
      <c r="D15" s="4"/>
      <c r="E15" s="4"/>
      <c r="F15" s="4"/>
      <c r="G15" s="4"/>
      <c r="H15" s="4"/>
      <c r="I15" s="4"/>
      <c r="J15" s="4"/>
    </row>
    <row r="16" spans="1:10" ht="17.25" customHeight="1">
      <c r="A16" s="445" t="s">
        <v>730</v>
      </c>
      <c r="B16" s="445"/>
      <c r="C16" s="445"/>
      <c r="D16" s="445"/>
      <c r="E16" s="445"/>
      <c r="F16" s="445"/>
      <c r="G16" s="445"/>
      <c r="H16" s="445"/>
      <c r="I16" s="445"/>
      <c r="J16" s="445"/>
    </row>
    <row r="17" spans="1:10" ht="4.5" customHeight="1">
      <c r="H17" s="34"/>
      <c r="I17" s="34"/>
      <c r="J17" s="34"/>
    </row>
    <row r="18" spans="1:10">
      <c r="A18" s="4"/>
      <c r="B18" s="4"/>
      <c r="C18" s="4"/>
      <c r="D18" s="4"/>
      <c r="E18" s="4"/>
      <c r="F18" s="4"/>
      <c r="G18" s="4"/>
      <c r="H18" s="34"/>
      <c r="I18" s="34"/>
      <c r="J18" s="34"/>
    </row>
    <row r="19" spans="1:10">
      <c r="A19" s="4"/>
      <c r="B19" s="4"/>
      <c r="C19" s="4"/>
      <c r="D19" s="4"/>
      <c r="E19" s="4"/>
      <c r="F19" s="4"/>
      <c r="G19" s="4"/>
      <c r="H19" s="34"/>
      <c r="I19" s="34"/>
      <c r="J19" s="34"/>
    </row>
    <row r="20" spans="1:10">
      <c r="H20" s="34"/>
      <c r="I20" s="34"/>
      <c r="J20" s="34"/>
    </row>
    <row r="21" spans="1:10">
      <c r="H21" s="34"/>
      <c r="I21" s="34"/>
      <c r="J21" s="34"/>
    </row>
    <row r="22" spans="1:10">
      <c r="H22" s="34"/>
      <c r="I22" s="34"/>
      <c r="J22" s="34"/>
    </row>
    <row r="23" spans="1:10">
      <c r="H23" s="34"/>
      <c r="I23" s="34"/>
      <c r="J23" s="34"/>
    </row>
    <row r="24" spans="1:10">
      <c r="H24" s="34"/>
      <c r="I24" s="34"/>
      <c r="J24" s="34"/>
    </row>
    <row r="25" spans="1:10">
      <c r="H25" s="34"/>
      <c r="I25" s="34"/>
      <c r="J25" s="34"/>
    </row>
    <row r="26" spans="1:10">
      <c r="H26" s="34"/>
      <c r="I26" s="34"/>
      <c r="J26" s="34"/>
    </row>
    <row r="27" spans="1:10">
      <c r="H27" s="34"/>
      <c r="I27" s="34"/>
      <c r="J27" s="34"/>
    </row>
    <row r="28" spans="1:10">
      <c r="H28" s="34"/>
      <c r="I28" s="34"/>
      <c r="J28" s="34"/>
    </row>
    <row r="29" spans="1:10">
      <c r="H29" s="34"/>
      <c r="I29" s="34"/>
      <c r="J29" s="34"/>
    </row>
    <row r="30" spans="1:10">
      <c r="H30" s="34"/>
      <c r="I30" s="34"/>
      <c r="J30" s="34"/>
    </row>
    <row r="31" spans="1:10">
      <c r="H31" s="34"/>
      <c r="I31" s="34"/>
      <c r="J31" s="34"/>
    </row>
    <row r="32" spans="1:10">
      <c r="H32" s="34"/>
      <c r="I32" s="34"/>
      <c r="J32" s="34"/>
    </row>
    <row r="33" spans="1:10">
      <c r="H33" s="34"/>
      <c r="I33" s="34"/>
      <c r="J33" s="34"/>
    </row>
    <row r="34" spans="1:10">
      <c r="A34" s="4"/>
      <c r="B34" s="4"/>
      <c r="C34" s="4"/>
      <c r="D34" s="4"/>
      <c r="E34" s="4"/>
      <c r="F34" s="4"/>
      <c r="G34" s="4"/>
      <c r="H34" s="4"/>
    </row>
    <row r="35" spans="1:10" ht="17.25">
      <c r="A35" s="422" t="s">
        <v>731</v>
      </c>
      <c r="B35" s="446"/>
      <c r="C35" s="446"/>
      <c r="D35" s="446"/>
      <c r="E35" s="446"/>
      <c r="F35" s="446"/>
      <c r="G35" s="446"/>
      <c r="H35" s="446"/>
      <c r="I35" s="446"/>
      <c r="J35" s="446"/>
    </row>
    <row r="36" spans="1:10" ht="4.5" customHeight="1" thickBot="1">
      <c r="A36" s="430"/>
      <c r="B36" s="430"/>
      <c r="C36" s="430"/>
      <c r="D36" s="430"/>
      <c r="E36" s="430"/>
      <c r="F36" s="430"/>
      <c r="G36" s="430"/>
      <c r="H36" s="430"/>
      <c r="I36" s="430"/>
      <c r="J36" s="430"/>
    </row>
    <row r="37" spans="1:10">
      <c r="A37" s="431" t="s">
        <v>732</v>
      </c>
      <c r="B37" s="432"/>
      <c r="C37" s="432" t="s">
        <v>721</v>
      </c>
      <c r="D37" s="432"/>
      <c r="E37" s="432"/>
      <c r="F37" s="432"/>
      <c r="G37" s="432"/>
      <c r="H37" s="432" t="s">
        <v>722</v>
      </c>
      <c r="I37" s="432"/>
      <c r="J37" s="435"/>
    </row>
    <row r="38" spans="1:10" ht="14.25" thickBot="1">
      <c r="A38" s="433"/>
      <c r="B38" s="434"/>
      <c r="C38" s="62" t="s">
        <v>723</v>
      </c>
      <c r="D38" s="62" t="s">
        <v>724</v>
      </c>
      <c r="E38" s="62" t="s">
        <v>725</v>
      </c>
      <c r="F38" s="62" t="s">
        <v>726</v>
      </c>
      <c r="G38" s="62" t="s">
        <v>727</v>
      </c>
      <c r="H38" s="62" t="s">
        <v>728</v>
      </c>
      <c r="I38" s="62" t="s">
        <v>840</v>
      </c>
      <c r="J38" s="63" t="s">
        <v>729</v>
      </c>
    </row>
    <row r="39" spans="1:10" ht="14.25" customHeight="1">
      <c r="A39" s="447" t="str">
        <f ca="1">INDIRECT(ADDRESS(ROW()-32,2,1,TRUE,"점검대상"))</f>
        <v>WINDOWS(샘플)</v>
      </c>
      <c r="B39" s="448"/>
      <c r="C39" s="108">
        <f ca="1">COUNTIF('통합 점검결과'!$B:$B,$A39)</f>
        <v>1</v>
      </c>
      <c r="D39" s="108">
        <f ca="1">C39-G39</f>
        <v>1</v>
      </c>
      <c r="E39" s="108">
        <f ca="1">COUNTIFS('통합 점검결과'!$B:$B,$A39,'통합 점검결과'!$M:$M,$E$38)</f>
        <v>0</v>
      </c>
      <c r="F39" s="108">
        <f ca="1">COUNTIFS('통합 점검결과'!$B:$B,$A39,'통합 점검결과'!$M:$M,$F$38)</f>
        <v>1</v>
      </c>
      <c r="G39" s="108">
        <f ca="1">COUNTIFS('통합 점검결과'!$B:$B,$A39,'통합 점검결과'!$M:$M,"N/A")</f>
        <v>0</v>
      </c>
      <c r="H39" s="108">
        <f ca="1">SUMIFS('통합 점검결과'!$L:$L,'통합 점검결과'!$B:$B,'보안수준 통계'!$A39)-SUMIFS('통합 점검결과'!$L:$L,'통합 점검결과'!$B:$B,'보안수준 통계'!$A39,'통합 점검결과'!$M:$M,"N/A")</f>
        <v>3</v>
      </c>
      <c r="I39" s="109">
        <f ca="1">SUMIFS('통합 점검결과'!$L:$L,'통합 점검결과'!$B:$B,'보안수준 통계'!$A39,'통합 점검결과'!$M:$M,"양호")</f>
        <v>0</v>
      </c>
      <c r="J39" s="188">
        <f ca="1">IF(H39=0,"N/A",I39/H39)</f>
        <v>0</v>
      </c>
    </row>
    <row r="40" spans="1:10" ht="14.25" customHeight="1">
      <c r="A40" s="449" t="str">
        <f ca="1">INDIRECT(ADDRESS(ROW()-32,2,1,TRUE,"점검대상"))</f>
        <v>WINDOWS(샘플)_이행</v>
      </c>
      <c r="B40" s="450"/>
      <c r="C40" s="85">
        <f ca="1">COUNTIF('통합 점검결과'!$B:$B,$A40)</f>
        <v>0</v>
      </c>
      <c r="D40" s="85">
        <f ca="1">C40-G40</f>
        <v>0</v>
      </c>
      <c r="E40" s="85">
        <f ca="1">COUNTIFS('통합 점검결과'!$B:$B,$A40,'통합 점검결과'!$M:$M,$E$38)</f>
        <v>0</v>
      </c>
      <c r="F40" s="85">
        <f ca="1">COUNTIFS('통합 점검결과'!$B:$B,$A40,'통합 점검결과'!$M:$M,$F$38)</f>
        <v>0</v>
      </c>
      <c r="G40" s="85">
        <f ca="1">COUNTIFS('통합 점검결과'!$B:$B,$A40,'통합 점검결과'!$M:$M,"N/A")</f>
        <v>0</v>
      </c>
      <c r="H40" s="85">
        <f ca="1">SUMIFS('통합 점검결과'!$L:$L,'통합 점검결과'!$B:$B,'보안수준 통계'!$A40)-SUMIFS('통합 점검결과'!$L:$L,'통합 점검결과'!$B:$B,'보안수준 통계'!$A40,'통합 점검결과'!$M:$M,"N/A")</f>
        <v>0</v>
      </c>
      <c r="I40" s="86">
        <f ca="1">SUMIFS('통합 점검결과'!$L:$L,'통합 점검결과'!$B:$B,'보안수준 통계'!$A40,'통합 점검결과'!$M:$M,"양호")</f>
        <v>0</v>
      </c>
      <c r="J40" s="189" t="str">
        <f ca="1">IF(H40=0,"N/A",I40/H40)</f>
        <v>N/A</v>
      </c>
    </row>
    <row r="41" spans="1:10" ht="14.25" customHeight="1" thickBot="1">
      <c r="A41" s="451">
        <f ca="1">INDIRECT(ADDRESS(ROW()-32,2,1,TRUE,"점검대상"))</f>
        <v>0</v>
      </c>
      <c r="B41" s="452"/>
      <c r="C41" s="85">
        <f ca="1">COUNTIF('통합 점검결과'!$B:$B,$A41)</f>
        <v>0</v>
      </c>
      <c r="D41" s="85">
        <f ca="1">C41-G41</f>
        <v>0</v>
      </c>
      <c r="E41" s="85">
        <f ca="1">COUNTIFS('통합 점검결과'!$B:$B,$A41,'통합 점검결과'!$M:$M,$E$38)</f>
        <v>0</v>
      </c>
      <c r="F41" s="85">
        <f ca="1">COUNTIFS('통합 점검결과'!$B:$B,$A41,'통합 점검결과'!$M:$M,$F$38)</f>
        <v>0</v>
      </c>
      <c r="G41" s="85">
        <f ca="1">COUNTIFS('통합 점검결과'!$B:$B,$A41,'통합 점검결과'!$M:$M,"N/A")</f>
        <v>0</v>
      </c>
      <c r="H41" s="85">
        <f ca="1">SUMIFS('통합 점검결과'!$L:$L,'통합 점검결과'!$B:$B,'보안수준 통계'!$A41)-SUMIFS('통합 점검결과'!$L:$L,'통합 점검결과'!$B:$B,'보안수준 통계'!$A41,'통합 점검결과'!$M:$M,"N/A")</f>
        <v>0</v>
      </c>
      <c r="I41" s="86">
        <f ca="1">SUMIFS('통합 점검결과'!$L:$L,'통합 점검결과'!$B:$B,'보안수준 통계'!$A41,'통합 점검결과'!$M:$M,"양호")</f>
        <v>0</v>
      </c>
      <c r="J41" s="189" t="str">
        <f ca="1">IF(H41=0,"N/A",I41/H41)</f>
        <v>N/A</v>
      </c>
    </row>
    <row r="42" spans="1:10" ht="14.25" thickBot="1">
      <c r="A42" s="443" t="s">
        <v>719</v>
      </c>
      <c r="B42" s="444"/>
      <c r="C42" s="110">
        <f t="shared" ref="C42:H42" ca="1" si="1">SUM(C39:C41)</f>
        <v>1</v>
      </c>
      <c r="D42" s="110">
        <f t="shared" ca="1" si="1"/>
        <v>1</v>
      </c>
      <c r="E42" s="110">
        <f t="shared" ca="1" si="1"/>
        <v>0</v>
      </c>
      <c r="F42" s="110">
        <f t="shared" ca="1" si="1"/>
        <v>1</v>
      </c>
      <c r="G42" s="110">
        <f t="shared" ca="1" si="1"/>
        <v>0</v>
      </c>
      <c r="H42" s="110">
        <f t="shared" ca="1" si="1"/>
        <v>3</v>
      </c>
      <c r="I42" s="110">
        <f ca="1">SUM(I39:I41)</f>
        <v>0</v>
      </c>
      <c r="J42" s="190">
        <f ca="1">IF(H42=0,"N/A",I42/H42)</f>
        <v>0</v>
      </c>
    </row>
  </sheetData>
  <mergeCells count="23">
    <mergeCell ref="A2:J2"/>
    <mergeCell ref="A3:J3"/>
    <mergeCell ref="A4:B4"/>
    <mergeCell ref="A5:B5"/>
    <mergeCell ref="A42:B42"/>
    <mergeCell ref="A16:J16"/>
    <mergeCell ref="A35:J35"/>
    <mergeCell ref="A36:J36"/>
    <mergeCell ref="A37:B38"/>
    <mergeCell ref="C37:G37"/>
    <mergeCell ref="H37:J37"/>
    <mergeCell ref="A39:B39"/>
    <mergeCell ref="A40:B40"/>
    <mergeCell ref="A41:B41"/>
    <mergeCell ref="A14:B14"/>
    <mergeCell ref="A7:J7"/>
    <mergeCell ref="A12:B12"/>
    <mergeCell ref="A13:B13"/>
    <mergeCell ref="A8:J8"/>
    <mergeCell ref="A9:B10"/>
    <mergeCell ref="C9:G9"/>
    <mergeCell ref="H9:J9"/>
    <mergeCell ref="A11:B11"/>
  </mergeCells>
  <phoneticPr fontId="1" type="noConversion"/>
  <printOptions horizontalCentered="1"/>
  <pageMargins left="0.39370078740157483" right="0.39370078740157483" top="0.59055118110236227" bottom="0.59055118110236227" header="0.19685039370078741" footer="0.19685039370078741"/>
  <pageSetup paperSize="9" scale="86"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O144"/>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5" s="5" customFormat="1" ht="13.5">
      <c r="K1" s="41"/>
      <c r="L1" s="41"/>
    </row>
    <row r="2" spans="1:15" s="7" customFormat="1" ht="18" customHeight="1">
      <c r="A2" s="71" t="s">
        <v>839</v>
      </c>
      <c r="B2" s="6"/>
      <c r="C2" s="6"/>
      <c r="D2" s="6"/>
      <c r="E2" s="6"/>
      <c r="F2" s="6"/>
      <c r="G2" s="6"/>
      <c r="H2" s="6"/>
      <c r="I2" s="6"/>
      <c r="J2" s="6"/>
      <c r="K2" s="6"/>
      <c r="L2" s="6"/>
    </row>
    <row r="3" spans="1:15" s="7" customFormat="1" ht="5.0999999999999996" customHeight="1" thickBot="1">
      <c r="B3" s="1"/>
      <c r="C3" s="1"/>
      <c r="D3" s="1"/>
      <c r="E3" s="1"/>
      <c r="F3" s="1"/>
      <c r="G3" s="1"/>
      <c r="H3" s="1"/>
      <c r="I3" s="1"/>
      <c r="J3" s="1"/>
      <c r="K3" s="1"/>
      <c r="L3" s="1"/>
    </row>
    <row r="4" spans="1:15" ht="18" customHeight="1">
      <c r="A4" s="324" t="s">
        <v>685</v>
      </c>
      <c r="B4" s="424"/>
      <c r="C4" s="424"/>
      <c r="D4" s="424" t="s">
        <v>733</v>
      </c>
      <c r="E4" s="424" t="s">
        <v>690</v>
      </c>
      <c r="F4" s="424" t="s">
        <v>734</v>
      </c>
      <c r="G4" s="424"/>
      <c r="H4" s="424"/>
      <c r="I4" s="424"/>
      <c r="J4" s="424"/>
      <c r="K4" s="458"/>
      <c r="L4" s="458" t="str">
        <f t="shared" ref="L4:N4" ca="1" si="0">HYPERLINK("[" &amp; MID(CELL("filename"),SEARCH("[",CELL("filename"))+1, SEARCH("]",CELL("filename"))-SEARCH("[",CELL("filename"))-1) &amp; "]'" &amp; INDIRECT(ADDRESS(COLUMN()-5,2,1,TRUE,"점검대상")) &amp; "'!A1",INDIRECT(ADDRESS(COLUMN()-5,2,1,TRUE,"점검대상")))</f>
        <v>WINDOWS(샘플)</v>
      </c>
      <c r="M4" s="456" t="str">
        <f t="shared" ca="1" si="0"/>
        <v>WINDOWS(샘플)_이행</v>
      </c>
      <c r="N4" s="456">
        <f t="shared" ca="1" si="0"/>
        <v>0</v>
      </c>
      <c r="O4" s="455"/>
    </row>
    <row r="5" spans="1:15" ht="17.25" thickBot="1">
      <c r="A5" s="73" t="s">
        <v>735</v>
      </c>
      <c r="B5" s="74" t="s">
        <v>736</v>
      </c>
      <c r="C5" s="74" t="s">
        <v>737</v>
      </c>
      <c r="D5" s="460"/>
      <c r="E5" s="460"/>
      <c r="F5" s="74" t="s">
        <v>738</v>
      </c>
      <c r="G5" s="74" t="s">
        <v>724</v>
      </c>
      <c r="H5" s="74" t="s">
        <v>739</v>
      </c>
      <c r="I5" s="74" t="s">
        <v>740</v>
      </c>
      <c r="J5" s="74" t="s">
        <v>741</v>
      </c>
      <c r="K5" s="459"/>
      <c r="L5" s="459"/>
      <c r="M5" s="457"/>
      <c r="N5" s="457"/>
      <c r="O5" s="455"/>
    </row>
    <row r="6" spans="1:15" ht="16.5" customHeight="1">
      <c r="A6" s="164" t="s">
        <v>742</v>
      </c>
      <c r="B6" s="93" t="s">
        <v>110</v>
      </c>
      <c r="C6" s="87" t="s">
        <v>864</v>
      </c>
      <c r="D6" s="76" t="s">
        <v>743</v>
      </c>
      <c r="E6" s="76">
        <v>3</v>
      </c>
      <c r="F6" s="76">
        <f ca="1">COUNTA($K6:INDIRECT(ADDRESS(ROW(),MATCH("",$4:$4,-1),1,1)))</f>
        <v>2</v>
      </c>
      <c r="G6" s="76">
        <f t="shared" ref="G6:G88" ca="1" si="1">F6-J6</f>
        <v>2</v>
      </c>
      <c r="H6" s="76">
        <f ca="1">COUNTIF($K6:INDIRECT(ADDRESS(ROW(),MATCH("",$4:$4,-1),1,1)),H$5)</f>
        <v>0</v>
      </c>
      <c r="I6" s="76">
        <f ca="1">COUNTIF($K6:INDIRECT(ADDRESS(ROW(),MATCH("",$4:$4,-1),1,1)),I$5)</f>
        <v>1</v>
      </c>
      <c r="J6" s="76">
        <f ca="1">COUNTIF($K6:INDIRECT(ADDRESS(ROW(),MATCH("",$4:$4,-1),1,1)),"N/A")</f>
        <v>0</v>
      </c>
      <c r="K6" s="88"/>
      <c r="L6" s="88" t="str" cm="1">
        <f t="array" aca="1" ref="L6" ca="1">IFERROR(INDEX('통합 점검결과'!$M:$M,MATCH(1,('통합 점검결과'!$B:$B=L$4)*('통합 점검결과'!$J:$J=$B6),0)),"")</f>
        <v>취약</v>
      </c>
      <c r="M6" s="89" t="str" cm="1">
        <f t="array" aca="1" ref="M6" ca="1">IFERROR(INDEX('통합 점검결과'!$M:$M,MATCH(1,('통합 점검결과'!$B:$B=M$4)*('통합 점검결과'!$J:$J=$B6),0)),"")</f>
        <v/>
      </c>
      <c r="N6" s="89" t="str" cm="1">
        <f t="array" aca="1" ref="N6" ca="1">IFERROR(INDEX('통합 점검결과'!$M:$M,MATCH(1,('통합 점검결과'!$B:$B=N$4)*('통합 점검결과'!$J:$J=$B6),0)),"")</f>
        <v/>
      </c>
    </row>
    <row r="7" spans="1:15" ht="16.5" customHeight="1">
      <c r="A7" s="165" t="s">
        <v>742</v>
      </c>
      <c r="B7" s="94" t="s">
        <v>116</v>
      </c>
      <c r="C7" s="90" t="s">
        <v>865</v>
      </c>
      <c r="D7" s="77" t="s">
        <v>743</v>
      </c>
      <c r="E7" s="77">
        <v>3</v>
      </c>
      <c r="F7" s="77">
        <f ca="1">COUNTA($K7:INDIRECT(ADDRESS(ROW(),MATCH("",$4:$4,-1),1,1)))</f>
        <v>2</v>
      </c>
      <c r="G7" s="77">
        <f t="shared" ca="1" si="1"/>
        <v>2</v>
      </c>
      <c r="H7" s="77">
        <f ca="1">COUNTIF($K7:INDIRECT(ADDRESS(ROW(),MATCH("",$4:$4,-1),1,1)),H$5)</f>
        <v>0</v>
      </c>
      <c r="I7" s="77">
        <f ca="1">COUNTIF($K7:INDIRECT(ADDRESS(ROW(),MATCH("",$4:$4,-1),1,1)),I$5)</f>
        <v>0</v>
      </c>
      <c r="J7" s="77">
        <f ca="1">COUNTIF($K7:INDIRECT(ADDRESS(ROW(),MATCH("",$4:$4,-1),1,1)),"N/A")</f>
        <v>0</v>
      </c>
      <c r="K7" s="91"/>
      <c r="L7" s="91" t="str" cm="1">
        <f t="array" aca="1" ref="L7" ca="1">IFERROR(INDEX('통합 점검결과'!$M:$M,MATCH(1,('통합 점검결과'!$B:$B=L$4)*('통합 점검결과'!$J:$J=$B7),0)),"")</f>
        <v/>
      </c>
      <c r="M7" s="92" t="str" cm="1">
        <f t="array" aca="1" ref="M7" ca="1">IFERROR(INDEX('통합 점검결과'!$M:$M,MATCH(1,('통합 점검결과'!$B:$B=M$4)*('통합 점검결과'!$J:$J=$B7),0)),"")</f>
        <v/>
      </c>
      <c r="N7" s="92" t="str" cm="1">
        <f t="array" aca="1" ref="N7" ca="1">IFERROR(INDEX('통합 점검결과'!$M:$M,MATCH(1,('통합 점검결과'!$B:$B=N$4)*('통합 점검결과'!$J:$J=$B7),0)),"")</f>
        <v/>
      </c>
    </row>
    <row r="8" spans="1:15" ht="16.5" customHeight="1">
      <c r="A8" s="165" t="s">
        <v>742</v>
      </c>
      <c r="B8" s="94" t="s">
        <v>118</v>
      </c>
      <c r="C8" s="90" t="s">
        <v>119</v>
      </c>
      <c r="D8" s="77" t="s">
        <v>743</v>
      </c>
      <c r="E8" s="77">
        <v>3</v>
      </c>
      <c r="F8" s="77">
        <f ca="1">COUNTA($K8:INDIRECT(ADDRESS(ROW(),MATCH("",$4:$4,-1),1,1)))</f>
        <v>2</v>
      </c>
      <c r="G8" s="77">
        <f t="shared" ca="1" si="1"/>
        <v>2</v>
      </c>
      <c r="H8" s="77">
        <f ca="1">COUNTIF($K8:INDIRECT(ADDRESS(ROW(),MATCH("",$4:$4,-1),1,1)),H$5)</f>
        <v>0</v>
      </c>
      <c r="I8" s="77">
        <f ca="1">COUNTIF($K8:INDIRECT(ADDRESS(ROW(),MATCH("",$4:$4,-1),1,1)),I$5)</f>
        <v>0</v>
      </c>
      <c r="J8" s="77">
        <f ca="1">COUNTIF($K8:INDIRECT(ADDRESS(ROW(),MATCH("",$4:$4,-1),1,1)),"N/A")</f>
        <v>0</v>
      </c>
      <c r="K8" s="91"/>
      <c r="L8" s="91" t="str" cm="1">
        <f t="array" aca="1" ref="L8" ca="1">IFERROR(INDEX('통합 점검결과'!$M:$M,MATCH(1,('통합 점검결과'!$B:$B=L$4)*('통합 점검결과'!$J:$J=$B8),0)),"")</f>
        <v/>
      </c>
      <c r="M8" s="92" t="str" cm="1">
        <f t="array" aca="1" ref="M8" ca="1">IFERROR(INDEX('통합 점검결과'!$M:$M,MATCH(1,('통합 점검결과'!$B:$B=M$4)*('통합 점검결과'!$J:$J=$B8),0)),"")</f>
        <v/>
      </c>
      <c r="N8" s="92" t="str" cm="1">
        <f t="array" aca="1" ref="N8" ca="1">IFERROR(INDEX('통합 점검결과'!$M:$M,MATCH(1,('통합 점검결과'!$B:$B=N$4)*('통합 점검결과'!$J:$J=$B8),0)),"")</f>
        <v/>
      </c>
    </row>
    <row r="9" spans="1:15" ht="16.5" customHeight="1">
      <c r="A9" s="165" t="s">
        <v>742</v>
      </c>
      <c r="B9" s="94" t="s">
        <v>125</v>
      </c>
      <c r="C9" s="90" t="s">
        <v>126</v>
      </c>
      <c r="D9" s="77" t="s">
        <v>714</v>
      </c>
      <c r="E9" s="77">
        <v>5</v>
      </c>
      <c r="F9" s="77">
        <f ca="1">COUNTA($K9:INDIRECT(ADDRESS(ROW(),MATCH("",$4:$4,-1),1,1)))</f>
        <v>2</v>
      </c>
      <c r="G9" s="77">
        <f t="shared" ca="1" si="1"/>
        <v>2</v>
      </c>
      <c r="H9" s="77">
        <f ca="1">COUNTIF($K9:INDIRECT(ADDRESS(ROW(),MATCH("",$4:$4,-1),1,1)),H$5)</f>
        <v>0</v>
      </c>
      <c r="I9" s="77">
        <f ca="1">COUNTIF($K9:INDIRECT(ADDRESS(ROW(),MATCH("",$4:$4,-1),1,1)),I$5)</f>
        <v>0</v>
      </c>
      <c r="J9" s="77">
        <f ca="1">COUNTIF($K9:INDIRECT(ADDRESS(ROW(),MATCH("",$4:$4,-1),1,1)),"N/A")</f>
        <v>0</v>
      </c>
      <c r="K9" s="91"/>
      <c r="L9" s="91" t="str" cm="1">
        <f t="array" aca="1" ref="L9" ca="1">IFERROR(INDEX('통합 점검결과'!$M:$M,MATCH(1,('통합 점검결과'!$B:$B=L$4)*('통합 점검결과'!$J:$J=$B9),0)),"")</f>
        <v/>
      </c>
      <c r="M9" s="92" t="str" cm="1">
        <f t="array" aca="1" ref="M9" ca="1">IFERROR(INDEX('통합 점검결과'!$M:$M,MATCH(1,('통합 점검결과'!$B:$B=M$4)*('통합 점검결과'!$J:$J=$B9),0)),"")</f>
        <v/>
      </c>
      <c r="N9" s="92" t="str" cm="1">
        <f t="array" aca="1" ref="N9" ca="1">IFERROR(INDEX('통합 점검결과'!$M:$M,MATCH(1,('통합 점검결과'!$B:$B=N$4)*('통합 점검결과'!$J:$J=$B9),0)),"")</f>
        <v/>
      </c>
    </row>
    <row r="10" spans="1:15" ht="16.5" customHeight="1">
      <c r="A10" s="165" t="s">
        <v>742</v>
      </c>
      <c r="B10" s="94" t="s">
        <v>133</v>
      </c>
      <c r="C10" s="90" t="s">
        <v>134</v>
      </c>
      <c r="D10" s="77" t="s">
        <v>714</v>
      </c>
      <c r="E10" s="77">
        <v>4</v>
      </c>
      <c r="F10" s="77">
        <f ca="1">COUNTA($K10:INDIRECT(ADDRESS(ROW(),MATCH("",$4:$4,-1),1,1)))</f>
        <v>2</v>
      </c>
      <c r="G10" s="77">
        <f t="shared" ca="1" si="1"/>
        <v>2</v>
      </c>
      <c r="H10" s="77">
        <f ca="1">COUNTIF($K10:INDIRECT(ADDRESS(ROW(),MATCH("",$4:$4,-1),1,1)),H$5)</f>
        <v>0</v>
      </c>
      <c r="I10" s="77">
        <f ca="1">COUNTIF($K10:INDIRECT(ADDRESS(ROW(),MATCH("",$4:$4,-1),1,1)),I$5)</f>
        <v>0</v>
      </c>
      <c r="J10" s="77">
        <f ca="1">COUNTIF($K10:INDIRECT(ADDRESS(ROW(),MATCH("",$4:$4,-1),1,1)),"N/A")</f>
        <v>0</v>
      </c>
      <c r="K10" s="91"/>
      <c r="L10" s="91" t="str" cm="1">
        <f t="array" aca="1" ref="L10" ca="1">IFERROR(INDEX('통합 점검결과'!$M:$M,MATCH(1,('통합 점검결과'!$B:$B=L$4)*('통합 점검결과'!$J:$J=$B10),0)),"")</f>
        <v/>
      </c>
      <c r="M10" s="92" t="str" cm="1">
        <f t="array" aca="1" ref="M10" ca="1">IFERROR(INDEX('통합 점검결과'!$M:$M,MATCH(1,('통합 점검결과'!$B:$B=M$4)*('통합 점검결과'!$J:$J=$B10),0)),"")</f>
        <v/>
      </c>
      <c r="N10" s="92" t="str" cm="1">
        <f t="array" aca="1" ref="N10" ca="1">IFERROR(INDEX('통합 점검결과'!$M:$M,MATCH(1,('통합 점검결과'!$B:$B=N$4)*('통합 점검결과'!$J:$J=$B10),0)),"")</f>
        <v/>
      </c>
    </row>
    <row r="11" spans="1:15" ht="16.5" customHeight="1">
      <c r="A11" s="165" t="s">
        <v>742</v>
      </c>
      <c r="B11" s="94" t="s">
        <v>140</v>
      </c>
      <c r="C11" s="90" t="s">
        <v>141</v>
      </c>
      <c r="D11" s="77" t="s">
        <v>714</v>
      </c>
      <c r="E11" s="77">
        <v>5</v>
      </c>
      <c r="F11" s="77">
        <f ca="1">COUNTA($K11:INDIRECT(ADDRESS(ROW(),MATCH("",$4:$4,-1),1,1)))</f>
        <v>2</v>
      </c>
      <c r="G11" s="77">
        <f t="shared" ref="G11:G47" ca="1" si="2">F11-J11</f>
        <v>2</v>
      </c>
      <c r="H11" s="77">
        <f ca="1">COUNTIF($K11:INDIRECT(ADDRESS(ROW(),MATCH("",$4:$4,-1),1,1)),H$5)</f>
        <v>0</v>
      </c>
      <c r="I11" s="77">
        <f ca="1">COUNTIF($K11:INDIRECT(ADDRESS(ROW(),MATCH("",$4:$4,-1),1,1)),I$5)</f>
        <v>0</v>
      </c>
      <c r="J11" s="77">
        <f ca="1">COUNTIF($K11:INDIRECT(ADDRESS(ROW(),MATCH("",$4:$4,-1),1,1)),"N/A")</f>
        <v>0</v>
      </c>
      <c r="K11" s="91"/>
      <c r="L11" s="91" t="str" cm="1">
        <f t="array" aca="1" ref="L11" ca="1">IFERROR(INDEX('통합 점검결과'!$M:$M,MATCH(1,('통합 점검결과'!$B:$B=L$4)*('통합 점검결과'!$J:$J=$B11),0)),"")</f>
        <v/>
      </c>
      <c r="M11" s="92" t="str" cm="1">
        <f t="array" aca="1" ref="M11" ca="1">IFERROR(INDEX('통합 점검결과'!$M:$M,MATCH(1,('통합 점검결과'!$B:$B=M$4)*('통합 점검결과'!$J:$J=$B11),0)),"")</f>
        <v/>
      </c>
      <c r="N11" s="92" t="str" cm="1">
        <f t="array" aca="1" ref="N11" ca="1">IFERROR(INDEX('통합 점검결과'!$M:$M,MATCH(1,('통합 점검결과'!$B:$B=N$4)*('통합 점검결과'!$J:$J=$B11),0)),"")</f>
        <v/>
      </c>
    </row>
    <row r="12" spans="1:15" ht="16.5" customHeight="1">
      <c r="A12" s="165" t="s">
        <v>742</v>
      </c>
      <c r="B12" s="94" t="s">
        <v>148</v>
      </c>
      <c r="C12" s="90" t="s">
        <v>149</v>
      </c>
      <c r="D12" s="77" t="s">
        <v>714</v>
      </c>
      <c r="E12" s="77">
        <v>5</v>
      </c>
      <c r="F12" s="77">
        <f ca="1">COUNTA($K12:INDIRECT(ADDRESS(ROW(),MATCH("",$4:$4,-1),1,1)))</f>
        <v>2</v>
      </c>
      <c r="G12" s="77">
        <f t="shared" ca="1" si="2"/>
        <v>2</v>
      </c>
      <c r="H12" s="77">
        <f ca="1">COUNTIF($K12:INDIRECT(ADDRESS(ROW(),MATCH("",$4:$4,-1),1,1)),H$5)</f>
        <v>0</v>
      </c>
      <c r="I12" s="77">
        <f ca="1">COUNTIF($K12:INDIRECT(ADDRESS(ROW(),MATCH("",$4:$4,-1),1,1)),I$5)</f>
        <v>0</v>
      </c>
      <c r="J12" s="77">
        <f ca="1">COUNTIF($K12:INDIRECT(ADDRESS(ROW(),MATCH("",$4:$4,-1),1,1)),"N/A")</f>
        <v>0</v>
      </c>
      <c r="K12" s="91"/>
      <c r="L12" s="91" t="str" cm="1">
        <f t="array" aca="1" ref="L12" ca="1">IFERROR(INDEX('통합 점검결과'!$M:$M,MATCH(1,('통합 점검결과'!$B:$B=L$4)*('통합 점검결과'!$J:$J=$B12),0)),"")</f>
        <v/>
      </c>
      <c r="M12" s="92" t="str" cm="1">
        <f t="array" aca="1" ref="M12" ca="1">IFERROR(INDEX('통합 점검결과'!$M:$M,MATCH(1,('통합 점검결과'!$B:$B=M$4)*('통합 점검결과'!$J:$J=$B12),0)),"")</f>
        <v/>
      </c>
      <c r="N12" s="92" t="str" cm="1">
        <f t="array" aca="1" ref="N12" ca="1">IFERROR(INDEX('통합 점검결과'!$M:$M,MATCH(1,('통합 점검결과'!$B:$B=N$4)*('통합 점검결과'!$J:$J=$B12),0)),"")</f>
        <v/>
      </c>
    </row>
    <row r="13" spans="1:15" ht="16.5" customHeight="1">
      <c r="A13" s="165" t="s">
        <v>742</v>
      </c>
      <c r="B13" s="94" t="s">
        <v>154</v>
      </c>
      <c r="C13" s="90" t="s">
        <v>155</v>
      </c>
      <c r="D13" s="77" t="s">
        <v>743</v>
      </c>
      <c r="E13" s="77">
        <v>3</v>
      </c>
      <c r="F13" s="77">
        <f ca="1">COUNTA($K13:INDIRECT(ADDRESS(ROW(),MATCH("",$4:$4,-1),1,1)))</f>
        <v>2</v>
      </c>
      <c r="G13" s="77">
        <f t="shared" ca="1" si="2"/>
        <v>2</v>
      </c>
      <c r="H13" s="77">
        <f ca="1">COUNTIF($K13:INDIRECT(ADDRESS(ROW(),MATCH("",$4:$4,-1),1,1)),H$5)</f>
        <v>0</v>
      </c>
      <c r="I13" s="77">
        <f ca="1">COUNTIF($K13:INDIRECT(ADDRESS(ROW(),MATCH("",$4:$4,-1),1,1)),I$5)</f>
        <v>0</v>
      </c>
      <c r="J13" s="77">
        <f ca="1">COUNTIF($K13:INDIRECT(ADDRESS(ROW(),MATCH("",$4:$4,-1),1,1)),"N/A")</f>
        <v>0</v>
      </c>
      <c r="K13" s="91"/>
      <c r="L13" s="91" t="str" cm="1">
        <f t="array" aca="1" ref="L13" ca="1">IFERROR(INDEX('통합 점검결과'!$M:$M,MATCH(1,('통합 점검결과'!$B:$B=L$4)*('통합 점검결과'!$J:$J=$B13),0)),"")</f>
        <v/>
      </c>
      <c r="M13" s="92" t="str" cm="1">
        <f t="array" aca="1" ref="M13" ca="1">IFERROR(INDEX('통합 점검결과'!$M:$M,MATCH(1,('통합 점검결과'!$B:$B=M$4)*('통합 점검결과'!$J:$J=$B13),0)),"")</f>
        <v/>
      </c>
      <c r="N13" s="92" t="str" cm="1">
        <f t="array" aca="1" ref="N13" ca="1">IFERROR(INDEX('통합 점검결과'!$M:$M,MATCH(1,('통합 점검결과'!$B:$B=N$4)*('통합 점검결과'!$J:$J=$B13),0)),"")</f>
        <v/>
      </c>
    </row>
    <row r="14" spans="1:15" ht="16.5" customHeight="1">
      <c r="A14" s="165" t="s">
        <v>742</v>
      </c>
      <c r="B14" s="94" t="s">
        <v>161</v>
      </c>
      <c r="C14" s="90" t="s">
        <v>162</v>
      </c>
      <c r="D14" s="77" t="s">
        <v>743</v>
      </c>
      <c r="E14" s="77">
        <v>3</v>
      </c>
      <c r="F14" s="77">
        <f ca="1">COUNTA($K14:INDIRECT(ADDRESS(ROW(),MATCH("",$4:$4,-1),1,1)))</f>
        <v>2</v>
      </c>
      <c r="G14" s="77">
        <f t="shared" ca="1" si="2"/>
        <v>2</v>
      </c>
      <c r="H14" s="77">
        <f ca="1">COUNTIF($K14:INDIRECT(ADDRESS(ROW(),MATCH("",$4:$4,-1),1,1)),H$5)</f>
        <v>0</v>
      </c>
      <c r="I14" s="77">
        <f ca="1">COUNTIF($K14:INDIRECT(ADDRESS(ROW(),MATCH("",$4:$4,-1),1,1)),I$5)</f>
        <v>0</v>
      </c>
      <c r="J14" s="77">
        <f ca="1">COUNTIF($K14:INDIRECT(ADDRESS(ROW(),MATCH("",$4:$4,-1),1,1)),"N/A")</f>
        <v>0</v>
      </c>
      <c r="K14" s="91"/>
      <c r="L14" s="91" t="str" cm="1">
        <f t="array" aca="1" ref="L14" ca="1">IFERROR(INDEX('통합 점검결과'!$M:$M,MATCH(1,('통합 점검결과'!$B:$B=L$4)*('통합 점검결과'!$J:$J=$B14),0)),"")</f>
        <v/>
      </c>
      <c r="M14" s="92" t="str" cm="1">
        <f t="array" aca="1" ref="M14" ca="1">IFERROR(INDEX('통합 점검결과'!$M:$M,MATCH(1,('통합 점검결과'!$B:$B=M$4)*('통합 점검결과'!$J:$J=$B14),0)),"")</f>
        <v/>
      </c>
      <c r="N14" s="92" t="str" cm="1">
        <f t="array" aca="1" ref="N14" ca="1">IFERROR(INDEX('통합 점검결과'!$M:$M,MATCH(1,('통합 점검결과'!$B:$B=N$4)*('통합 점검결과'!$J:$J=$B14),0)),"")</f>
        <v/>
      </c>
    </row>
    <row r="15" spans="1:15" ht="16.5" customHeight="1">
      <c r="A15" s="165" t="s">
        <v>742</v>
      </c>
      <c r="B15" s="94" t="s">
        <v>169</v>
      </c>
      <c r="C15" s="90" t="s">
        <v>170</v>
      </c>
      <c r="D15" s="77" t="s">
        <v>743</v>
      </c>
      <c r="E15" s="77">
        <v>3</v>
      </c>
      <c r="F15" s="77">
        <f ca="1">COUNTA($K15:INDIRECT(ADDRESS(ROW(),MATCH("",$4:$4,-1),1,1)))</f>
        <v>2</v>
      </c>
      <c r="G15" s="77">
        <f t="shared" ca="1" si="2"/>
        <v>2</v>
      </c>
      <c r="H15" s="77">
        <f ca="1">COUNTIF($K15:INDIRECT(ADDRESS(ROW(),MATCH("",$4:$4,-1),1,1)),H$5)</f>
        <v>0</v>
      </c>
      <c r="I15" s="77">
        <f ca="1">COUNTIF($K15:INDIRECT(ADDRESS(ROW(),MATCH("",$4:$4,-1),1,1)),I$5)</f>
        <v>0</v>
      </c>
      <c r="J15" s="77">
        <f ca="1">COUNTIF($K15:INDIRECT(ADDRESS(ROW(),MATCH("",$4:$4,-1),1,1)),"N/A")</f>
        <v>0</v>
      </c>
      <c r="K15" s="91"/>
      <c r="L15" s="91" t="str" cm="1">
        <f t="array" aca="1" ref="L15" ca="1">IFERROR(INDEX('통합 점검결과'!$M:$M,MATCH(1,('통합 점검결과'!$B:$B=L$4)*('통합 점검결과'!$J:$J=$B15),0)),"")</f>
        <v/>
      </c>
      <c r="M15" s="92" t="str" cm="1">
        <f t="array" aca="1" ref="M15" ca="1">IFERROR(INDEX('통합 점검결과'!$M:$M,MATCH(1,('통합 점검결과'!$B:$B=M$4)*('통합 점검결과'!$J:$J=$B15),0)),"")</f>
        <v/>
      </c>
      <c r="N15" s="92" t="str" cm="1">
        <f t="array" aca="1" ref="N15" ca="1">IFERROR(INDEX('통합 점검결과'!$M:$M,MATCH(1,('통합 점검결과'!$B:$B=N$4)*('통합 점검결과'!$J:$J=$B15),0)),"")</f>
        <v/>
      </c>
    </row>
    <row r="16" spans="1:15" ht="16.5" customHeight="1">
      <c r="A16" s="165" t="s">
        <v>742</v>
      </c>
      <c r="B16" s="94" t="s">
        <v>176</v>
      </c>
      <c r="C16" s="90" t="s">
        <v>177</v>
      </c>
      <c r="D16" s="77" t="s">
        <v>714</v>
      </c>
      <c r="E16" s="77">
        <v>4</v>
      </c>
      <c r="F16" s="77">
        <f ca="1">COUNTA($K16:INDIRECT(ADDRESS(ROW(),MATCH("",$4:$4,-1),1,1)))</f>
        <v>2</v>
      </c>
      <c r="G16" s="77">
        <f t="shared" ca="1" si="2"/>
        <v>2</v>
      </c>
      <c r="H16" s="77">
        <f ca="1">COUNTIF($K16:INDIRECT(ADDRESS(ROW(),MATCH("",$4:$4,-1),1,1)),H$5)</f>
        <v>0</v>
      </c>
      <c r="I16" s="77">
        <f ca="1">COUNTIF($K16:INDIRECT(ADDRESS(ROW(),MATCH("",$4:$4,-1),1,1)),I$5)</f>
        <v>0</v>
      </c>
      <c r="J16" s="77">
        <f ca="1">COUNTIF($K16:INDIRECT(ADDRESS(ROW(),MATCH("",$4:$4,-1),1,1)),"N/A")</f>
        <v>0</v>
      </c>
      <c r="K16" s="91"/>
      <c r="L16" s="91" t="str" cm="1">
        <f t="array" aca="1" ref="L16" ca="1">IFERROR(INDEX('통합 점검결과'!$M:$M,MATCH(1,('통합 점검결과'!$B:$B=L$4)*('통합 점검결과'!$J:$J=$B16),0)),"")</f>
        <v/>
      </c>
      <c r="M16" s="92" t="str" cm="1">
        <f t="array" aca="1" ref="M16" ca="1">IFERROR(INDEX('통합 점검결과'!$M:$M,MATCH(1,('통합 점검결과'!$B:$B=M$4)*('통합 점검결과'!$J:$J=$B16),0)),"")</f>
        <v/>
      </c>
      <c r="N16" s="92" t="str" cm="1">
        <f t="array" aca="1" ref="N16" ca="1">IFERROR(INDEX('통합 점검결과'!$M:$M,MATCH(1,('통합 점검결과'!$B:$B=N$4)*('통합 점검결과'!$J:$J=$B16),0)),"")</f>
        <v/>
      </c>
    </row>
    <row r="17" spans="1:14" ht="16.5" customHeight="1">
      <c r="A17" s="165" t="s">
        <v>742</v>
      </c>
      <c r="B17" s="94" t="s">
        <v>182</v>
      </c>
      <c r="C17" s="90" t="s">
        <v>183</v>
      </c>
      <c r="D17" s="77" t="s">
        <v>744</v>
      </c>
      <c r="E17" s="77">
        <v>2</v>
      </c>
      <c r="F17" s="77">
        <f ca="1">COUNTA($K17:INDIRECT(ADDRESS(ROW(),MATCH("",$4:$4,-1),1,1)))</f>
        <v>2</v>
      </c>
      <c r="G17" s="77">
        <f t="shared" ca="1" si="2"/>
        <v>2</v>
      </c>
      <c r="H17" s="77">
        <f ca="1">COUNTIF($K17:INDIRECT(ADDRESS(ROW(),MATCH("",$4:$4,-1),1,1)),H$5)</f>
        <v>0</v>
      </c>
      <c r="I17" s="77">
        <f ca="1">COUNTIF($K17:INDIRECT(ADDRESS(ROW(),MATCH("",$4:$4,-1),1,1)),I$5)</f>
        <v>0</v>
      </c>
      <c r="J17" s="77">
        <f ca="1">COUNTIF($K17:INDIRECT(ADDRESS(ROW(),MATCH("",$4:$4,-1),1,1)),"N/A")</f>
        <v>0</v>
      </c>
      <c r="K17" s="91"/>
      <c r="L17" s="91" t="str" cm="1">
        <f t="array" aca="1" ref="L17" ca="1">IFERROR(INDEX('통합 점검결과'!$M:$M,MATCH(1,('통합 점검결과'!$B:$B=L$4)*('통합 점검결과'!$J:$J=$B17),0)),"")</f>
        <v/>
      </c>
      <c r="M17" s="92" t="str" cm="1">
        <f t="array" aca="1" ref="M17" ca="1">IFERROR(INDEX('통합 점검결과'!$M:$M,MATCH(1,('통합 점검결과'!$B:$B=M$4)*('통합 점검결과'!$J:$J=$B17),0)),"")</f>
        <v/>
      </c>
      <c r="N17" s="92" t="str" cm="1">
        <f t="array" aca="1" ref="N17" ca="1">IFERROR(INDEX('통합 점검결과'!$M:$M,MATCH(1,('통합 점검결과'!$B:$B=N$4)*('통합 점검결과'!$J:$J=$B17),0)),"")</f>
        <v/>
      </c>
    </row>
    <row r="18" spans="1:14" ht="16.5" customHeight="1">
      <c r="A18" s="165" t="s">
        <v>742</v>
      </c>
      <c r="B18" s="94" t="s">
        <v>190</v>
      </c>
      <c r="C18" s="90" t="s">
        <v>191</v>
      </c>
      <c r="D18" s="77" t="s">
        <v>743</v>
      </c>
      <c r="E18" s="77">
        <v>3</v>
      </c>
      <c r="F18" s="77">
        <f ca="1">COUNTA($K18:INDIRECT(ADDRESS(ROW(),MATCH("",$4:$4,-1),1,1)))</f>
        <v>2</v>
      </c>
      <c r="G18" s="77">
        <f t="shared" ca="1" si="2"/>
        <v>2</v>
      </c>
      <c r="H18" s="77">
        <f ca="1">COUNTIF($K18:INDIRECT(ADDRESS(ROW(),MATCH("",$4:$4,-1),1,1)),H$5)</f>
        <v>0</v>
      </c>
      <c r="I18" s="77">
        <f ca="1">COUNTIF($K18:INDIRECT(ADDRESS(ROW(),MATCH("",$4:$4,-1),1,1)),I$5)</f>
        <v>0</v>
      </c>
      <c r="J18" s="77">
        <f ca="1">COUNTIF($K18:INDIRECT(ADDRESS(ROW(),MATCH("",$4:$4,-1),1,1)),"N/A")</f>
        <v>0</v>
      </c>
      <c r="K18" s="91"/>
      <c r="L18" s="91" t="str" cm="1">
        <f t="array" aca="1" ref="L18" ca="1">IFERROR(INDEX('통합 점검결과'!$M:$M,MATCH(1,('통합 점검결과'!$B:$B=L$4)*('통합 점검결과'!$J:$J=$B18),0)),"")</f>
        <v/>
      </c>
      <c r="M18" s="92" t="str" cm="1">
        <f t="array" aca="1" ref="M18" ca="1">IFERROR(INDEX('통합 점검결과'!$M:$M,MATCH(1,('통합 점검결과'!$B:$B=M$4)*('통합 점검결과'!$J:$J=$B18),0)),"")</f>
        <v/>
      </c>
      <c r="N18" s="92" t="str" cm="1">
        <f t="array" aca="1" ref="N18" ca="1">IFERROR(INDEX('통합 점검결과'!$M:$M,MATCH(1,('통합 점검결과'!$B:$B=N$4)*('통합 점검결과'!$J:$J=$B18),0)),"")</f>
        <v/>
      </c>
    </row>
    <row r="19" spans="1:14" ht="16.5" customHeight="1">
      <c r="A19" s="165" t="s">
        <v>742</v>
      </c>
      <c r="B19" s="94" t="s">
        <v>197</v>
      </c>
      <c r="C19" s="90" t="s">
        <v>198</v>
      </c>
      <c r="D19" s="77" t="s">
        <v>714</v>
      </c>
      <c r="E19" s="77">
        <v>5</v>
      </c>
      <c r="F19" s="77">
        <f ca="1">COUNTA($K19:INDIRECT(ADDRESS(ROW(),MATCH("",$4:$4,-1),1,1)))</f>
        <v>2</v>
      </c>
      <c r="G19" s="77">
        <f t="shared" ca="1" si="2"/>
        <v>2</v>
      </c>
      <c r="H19" s="77">
        <f ca="1">COUNTIF($K19:INDIRECT(ADDRESS(ROW(),MATCH("",$4:$4,-1),1,1)),H$5)</f>
        <v>0</v>
      </c>
      <c r="I19" s="77">
        <f ca="1">COUNTIF($K19:INDIRECT(ADDRESS(ROW(),MATCH("",$4:$4,-1),1,1)),I$5)</f>
        <v>0</v>
      </c>
      <c r="J19" s="77">
        <f ca="1">COUNTIF($K19:INDIRECT(ADDRESS(ROW(),MATCH("",$4:$4,-1),1,1)),"N/A")</f>
        <v>0</v>
      </c>
      <c r="K19" s="91"/>
      <c r="L19" s="91" t="str" cm="1">
        <f t="array" aca="1" ref="L19" ca="1">IFERROR(INDEX('통합 점검결과'!$M:$M,MATCH(1,('통합 점검결과'!$B:$B=L$4)*('통합 점검결과'!$J:$J=$B19),0)),"")</f>
        <v/>
      </c>
      <c r="M19" s="92" t="str" cm="1">
        <f t="array" aca="1" ref="M19" ca="1">IFERROR(INDEX('통합 점검결과'!$M:$M,MATCH(1,('통합 점검결과'!$B:$B=M$4)*('통합 점검결과'!$J:$J=$B19),0)),"")</f>
        <v/>
      </c>
      <c r="N19" s="92" t="str" cm="1">
        <f t="array" aca="1" ref="N19" ca="1">IFERROR(INDEX('통합 점검결과'!$M:$M,MATCH(1,('통합 점검결과'!$B:$B=N$4)*('통합 점검결과'!$J:$J=$B19),0)),"")</f>
        <v/>
      </c>
    </row>
    <row r="20" spans="1:14" ht="16.5" customHeight="1">
      <c r="A20" s="165" t="s">
        <v>742</v>
      </c>
      <c r="B20" s="94" t="s">
        <v>205</v>
      </c>
      <c r="C20" s="90" t="s">
        <v>206</v>
      </c>
      <c r="D20" s="77" t="s">
        <v>743</v>
      </c>
      <c r="E20" s="77">
        <v>3</v>
      </c>
      <c r="F20" s="77">
        <f ca="1">COUNTA($K20:INDIRECT(ADDRESS(ROW(),MATCH("",$4:$4,-1),1,1)))</f>
        <v>2</v>
      </c>
      <c r="G20" s="77">
        <f t="shared" ca="1" si="2"/>
        <v>2</v>
      </c>
      <c r="H20" s="77">
        <f ca="1">COUNTIF($K20:INDIRECT(ADDRESS(ROW(),MATCH("",$4:$4,-1),1,1)),H$5)</f>
        <v>0</v>
      </c>
      <c r="I20" s="77">
        <f ca="1">COUNTIF($K20:INDIRECT(ADDRESS(ROW(),MATCH("",$4:$4,-1),1,1)),I$5)</f>
        <v>0</v>
      </c>
      <c r="J20" s="77">
        <f ca="1">COUNTIF($K20:INDIRECT(ADDRESS(ROW(),MATCH("",$4:$4,-1),1,1)),"N/A")</f>
        <v>0</v>
      </c>
      <c r="K20" s="91"/>
      <c r="L20" s="91" t="str" cm="1">
        <f t="array" aca="1" ref="L20" ca="1">IFERROR(INDEX('통합 점검결과'!$M:$M,MATCH(1,('통합 점검결과'!$B:$B=L$4)*('통합 점검결과'!$J:$J=$B20),0)),"")</f>
        <v/>
      </c>
      <c r="M20" s="92" t="str" cm="1">
        <f t="array" aca="1" ref="M20" ca="1">IFERROR(INDEX('통합 점검결과'!$M:$M,MATCH(1,('통합 점검결과'!$B:$B=M$4)*('통합 점검결과'!$J:$J=$B20),0)),"")</f>
        <v/>
      </c>
      <c r="N20" s="92" t="str" cm="1">
        <f t="array" aca="1" ref="N20" ca="1">IFERROR(INDEX('통합 점검결과'!$M:$M,MATCH(1,('통합 점검결과'!$B:$B=N$4)*('통합 점검결과'!$J:$J=$B20),0)),"")</f>
        <v/>
      </c>
    </row>
    <row r="21" spans="1:14" ht="16.5" customHeight="1">
      <c r="A21" s="165" t="s">
        <v>742</v>
      </c>
      <c r="B21" s="94" t="s">
        <v>212</v>
      </c>
      <c r="C21" s="90" t="s">
        <v>213</v>
      </c>
      <c r="D21" s="77" t="s">
        <v>743</v>
      </c>
      <c r="E21" s="77">
        <v>3</v>
      </c>
      <c r="F21" s="77">
        <f ca="1">COUNTA($K21:INDIRECT(ADDRESS(ROW(),MATCH("",$4:$4,-1),1,1)))</f>
        <v>2</v>
      </c>
      <c r="G21" s="77">
        <f t="shared" ca="1" si="2"/>
        <v>2</v>
      </c>
      <c r="H21" s="77">
        <f ca="1">COUNTIF($K21:INDIRECT(ADDRESS(ROW(),MATCH("",$4:$4,-1),1,1)),H$5)</f>
        <v>0</v>
      </c>
      <c r="I21" s="77">
        <f ca="1">COUNTIF($K21:INDIRECT(ADDRESS(ROW(),MATCH("",$4:$4,-1),1,1)),I$5)</f>
        <v>0</v>
      </c>
      <c r="J21" s="77">
        <f ca="1">COUNTIF($K21:INDIRECT(ADDRESS(ROW(),MATCH("",$4:$4,-1),1,1)),"N/A")</f>
        <v>0</v>
      </c>
      <c r="K21" s="91"/>
      <c r="L21" s="91" t="str" cm="1">
        <f t="array" aca="1" ref="L21" ca="1">IFERROR(INDEX('통합 점검결과'!$M:$M,MATCH(1,('통합 점검결과'!$B:$B=L$4)*('통합 점검결과'!$J:$J=$B21),0)),"")</f>
        <v/>
      </c>
      <c r="M21" s="92" t="str" cm="1">
        <f t="array" aca="1" ref="M21" ca="1">IFERROR(INDEX('통합 점검결과'!$M:$M,MATCH(1,('통합 점검결과'!$B:$B=M$4)*('통합 점검결과'!$J:$J=$B21),0)),"")</f>
        <v/>
      </c>
      <c r="N21" s="92" t="str" cm="1">
        <f t="array" aca="1" ref="N21" ca="1">IFERROR(INDEX('통합 점검결과'!$M:$M,MATCH(1,('통합 점검결과'!$B:$B=N$4)*('통합 점검결과'!$J:$J=$B21),0)),"")</f>
        <v/>
      </c>
    </row>
    <row r="22" spans="1:14" ht="16.5" customHeight="1">
      <c r="A22" s="165" t="s">
        <v>742</v>
      </c>
      <c r="B22" s="94" t="s">
        <v>218</v>
      </c>
      <c r="C22" s="90" t="s">
        <v>219</v>
      </c>
      <c r="D22" s="77" t="s">
        <v>714</v>
      </c>
      <c r="E22" s="77">
        <v>5</v>
      </c>
      <c r="F22" s="77">
        <f ca="1">COUNTA($K22:INDIRECT(ADDRESS(ROW(),MATCH("",$4:$4,-1),1,1)))</f>
        <v>2</v>
      </c>
      <c r="G22" s="77">
        <f t="shared" ca="1" si="2"/>
        <v>2</v>
      </c>
      <c r="H22" s="77">
        <f ca="1">COUNTIF($K22:INDIRECT(ADDRESS(ROW(),MATCH("",$4:$4,-1),1,1)),H$5)</f>
        <v>0</v>
      </c>
      <c r="I22" s="77">
        <f ca="1">COUNTIF($K22:INDIRECT(ADDRESS(ROW(),MATCH("",$4:$4,-1),1,1)),I$5)</f>
        <v>0</v>
      </c>
      <c r="J22" s="77">
        <f ca="1">COUNTIF($K22:INDIRECT(ADDRESS(ROW(),MATCH("",$4:$4,-1),1,1)),"N/A")</f>
        <v>0</v>
      </c>
      <c r="K22" s="91"/>
      <c r="L22" s="91" t="str" cm="1">
        <f t="array" aca="1" ref="L22" ca="1">IFERROR(INDEX('통합 점검결과'!$M:$M,MATCH(1,('통합 점검결과'!$B:$B=L$4)*('통합 점검결과'!$J:$J=$B22),0)),"")</f>
        <v/>
      </c>
      <c r="M22" s="92" t="str" cm="1">
        <f t="array" aca="1" ref="M22" ca="1">IFERROR(INDEX('통합 점검결과'!$M:$M,MATCH(1,('통합 점검결과'!$B:$B=M$4)*('통합 점검결과'!$J:$J=$B22),0)),"")</f>
        <v/>
      </c>
      <c r="N22" s="92" t="str" cm="1">
        <f t="array" aca="1" ref="N22" ca="1">IFERROR(INDEX('통합 점검결과'!$M:$M,MATCH(1,('통합 점검결과'!$B:$B=N$4)*('통합 점검결과'!$J:$J=$B22),0)),"")</f>
        <v/>
      </c>
    </row>
    <row r="23" spans="1:14" ht="16.5" customHeight="1">
      <c r="A23" s="165" t="s">
        <v>742</v>
      </c>
      <c r="B23" s="94" t="s">
        <v>225</v>
      </c>
      <c r="C23" s="90" t="s">
        <v>226</v>
      </c>
      <c r="D23" s="77" t="s">
        <v>714</v>
      </c>
      <c r="E23" s="77">
        <v>5</v>
      </c>
      <c r="F23" s="77">
        <f ca="1">COUNTA($K23:INDIRECT(ADDRESS(ROW(),MATCH("",$4:$4,-1),1,1)))</f>
        <v>2</v>
      </c>
      <c r="G23" s="77">
        <f t="shared" ca="1" si="2"/>
        <v>2</v>
      </c>
      <c r="H23" s="77">
        <f ca="1">COUNTIF($K23:INDIRECT(ADDRESS(ROW(),MATCH("",$4:$4,-1),1,1)),H$5)</f>
        <v>0</v>
      </c>
      <c r="I23" s="77">
        <f ca="1">COUNTIF($K23:INDIRECT(ADDRESS(ROW(),MATCH("",$4:$4,-1),1,1)),I$5)</f>
        <v>0</v>
      </c>
      <c r="J23" s="77">
        <f ca="1">COUNTIF($K23:INDIRECT(ADDRESS(ROW(),MATCH("",$4:$4,-1),1,1)),"N/A")</f>
        <v>0</v>
      </c>
      <c r="K23" s="91"/>
      <c r="L23" s="91" t="str" cm="1">
        <f t="array" aca="1" ref="L23" ca="1">IFERROR(INDEX('통합 점검결과'!$M:$M,MATCH(1,('통합 점검결과'!$B:$B=L$4)*('통합 점검결과'!$J:$J=$B23),0)),"")</f>
        <v/>
      </c>
      <c r="M23" s="92" t="str" cm="1">
        <f t="array" aca="1" ref="M23" ca="1">IFERROR(INDEX('통합 점검결과'!$M:$M,MATCH(1,('통합 점검결과'!$B:$B=M$4)*('통합 점검결과'!$J:$J=$B23),0)),"")</f>
        <v/>
      </c>
      <c r="N23" s="92" t="str" cm="1">
        <f t="array" aca="1" ref="N23" ca="1">IFERROR(INDEX('통합 점검결과'!$M:$M,MATCH(1,('통합 점검결과'!$B:$B=N$4)*('통합 점검결과'!$J:$J=$B23),0)),"")</f>
        <v/>
      </c>
    </row>
    <row r="24" spans="1:14" ht="16.5" customHeight="1">
      <c r="A24" s="165" t="s">
        <v>742</v>
      </c>
      <c r="B24" s="94" t="s">
        <v>232</v>
      </c>
      <c r="C24" s="90" t="s">
        <v>233</v>
      </c>
      <c r="D24" s="77" t="s">
        <v>714</v>
      </c>
      <c r="E24" s="77">
        <v>5</v>
      </c>
      <c r="F24" s="77">
        <f ca="1">COUNTA($K24:INDIRECT(ADDRESS(ROW(),MATCH("",$4:$4,-1),1,1)))</f>
        <v>2</v>
      </c>
      <c r="G24" s="77">
        <f t="shared" ca="1" si="2"/>
        <v>2</v>
      </c>
      <c r="H24" s="77">
        <f ca="1">COUNTIF($K24:INDIRECT(ADDRESS(ROW(),MATCH("",$4:$4,-1),1,1)),H$5)</f>
        <v>0</v>
      </c>
      <c r="I24" s="77">
        <f ca="1">COUNTIF($K24:INDIRECT(ADDRESS(ROW(),MATCH("",$4:$4,-1),1,1)),I$5)</f>
        <v>0</v>
      </c>
      <c r="J24" s="77">
        <f ca="1">COUNTIF($K24:INDIRECT(ADDRESS(ROW(),MATCH("",$4:$4,-1),1,1)),"N/A")</f>
        <v>0</v>
      </c>
      <c r="K24" s="91"/>
      <c r="L24" s="91" t="str" cm="1">
        <f t="array" aca="1" ref="L24" ca="1">IFERROR(INDEX('통합 점검결과'!$M:$M,MATCH(1,('통합 점검결과'!$B:$B=L$4)*('통합 점검결과'!$J:$J=$B24),0)),"")</f>
        <v/>
      </c>
      <c r="M24" s="92" t="str" cm="1">
        <f t="array" aca="1" ref="M24" ca="1">IFERROR(INDEX('통합 점검결과'!$M:$M,MATCH(1,('통합 점검결과'!$B:$B=M$4)*('통합 점검결과'!$J:$J=$B24),0)),"")</f>
        <v/>
      </c>
      <c r="N24" s="92" t="str" cm="1">
        <f t="array" aca="1" ref="N24" ca="1">IFERROR(INDEX('통합 점검결과'!$M:$M,MATCH(1,('통합 점검결과'!$B:$B=N$4)*('통합 점검결과'!$J:$J=$B24),0)),"")</f>
        <v/>
      </c>
    </row>
    <row r="25" spans="1:14" ht="16.5" customHeight="1">
      <c r="A25" s="165" t="s">
        <v>742</v>
      </c>
      <c r="B25" s="94" t="s">
        <v>239</v>
      </c>
      <c r="C25" s="90" t="s">
        <v>240</v>
      </c>
      <c r="D25" s="77" t="s">
        <v>714</v>
      </c>
      <c r="E25" s="77">
        <v>4</v>
      </c>
      <c r="F25" s="77">
        <f ca="1">COUNTA($K25:INDIRECT(ADDRESS(ROW(),MATCH("",$4:$4,-1),1,1)))</f>
        <v>2</v>
      </c>
      <c r="G25" s="77">
        <f t="shared" ca="1" si="2"/>
        <v>2</v>
      </c>
      <c r="H25" s="77">
        <f ca="1">COUNTIF($K25:INDIRECT(ADDRESS(ROW(),MATCH("",$4:$4,-1),1,1)),H$5)</f>
        <v>0</v>
      </c>
      <c r="I25" s="77">
        <f ca="1">COUNTIF($K25:INDIRECT(ADDRESS(ROW(),MATCH("",$4:$4,-1),1,1)),I$5)</f>
        <v>0</v>
      </c>
      <c r="J25" s="77">
        <f ca="1">COUNTIF($K25:INDIRECT(ADDRESS(ROW(),MATCH("",$4:$4,-1),1,1)),"N/A")</f>
        <v>0</v>
      </c>
      <c r="K25" s="91"/>
      <c r="L25" s="91" t="str" cm="1">
        <f t="array" aca="1" ref="L25" ca="1">IFERROR(INDEX('통합 점검결과'!$M:$M,MATCH(1,('통합 점검결과'!$B:$B=L$4)*('통합 점검결과'!$J:$J=$B25),0)),"")</f>
        <v/>
      </c>
      <c r="M25" s="92" t="str" cm="1">
        <f t="array" aca="1" ref="M25" ca="1">IFERROR(INDEX('통합 점검결과'!$M:$M,MATCH(1,('통합 점검결과'!$B:$B=M$4)*('통합 점검결과'!$J:$J=$B25),0)),"")</f>
        <v/>
      </c>
      <c r="N25" s="92" t="str" cm="1">
        <f t="array" aca="1" ref="N25" ca="1">IFERROR(INDEX('통합 점검결과'!$M:$M,MATCH(1,('통합 점검결과'!$B:$B=N$4)*('통합 점검결과'!$J:$J=$B25),0)),"")</f>
        <v/>
      </c>
    </row>
    <row r="26" spans="1:14" ht="16.5" customHeight="1">
      <c r="A26" s="165" t="s">
        <v>742</v>
      </c>
      <c r="B26" s="94" t="s">
        <v>246</v>
      </c>
      <c r="C26" s="90" t="s">
        <v>247</v>
      </c>
      <c r="D26" s="77" t="s">
        <v>714</v>
      </c>
      <c r="E26" s="77">
        <v>4</v>
      </c>
      <c r="F26" s="77">
        <f ca="1">COUNTA($K26:INDIRECT(ADDRESS(ROW(),MATCH("",$4:$4,-1),1,1)))</f>
        <v>2</v>
      </c>
      <c r="G26" s="77">
        <f t="shared" ca="1" si="2"/>
        <v>2</v>
      </c>
      <c r="H26" s="77">
        <f ca="1">COUNTIF($K26:INDIRECT(ADDRESS(ROW(),MATCH("",$4:$4,-1),1,1)),H$5)</f>
        <v>0</v>
      </c>
      <c r="I26" s="77">
        <f ca="1">COUNTIF($K26:INDIRECT(ADDRESS(ROW(),MATCH("",$4:$4,-1),1,1)),I$5)</f>
        <v>0</v>
      </c>
      <c r="J26" s="77">
        <f ca="1">COUNTIF($K26:INDIRECT(ADDRESS(ROW(),MATCH("",$4:$4,-1),1,1)),"N/A")</f>
        <v>0</v>
      </c>
      <c r="K26" s="91"/>
      <c r="L26" s="91" t="str" cm="1">
        <f t="array" aca="1" ref="L26" ca="1">IFERROR(INDEX('통합 점검결과'!$M:$M,MATCH(1,('통합 점검결과'!$B:$B=L$4)*('통합 점검결과'!$J:$J=$B26),0)),"")</f>
        <v/>
      </c>
      <c r="M26" s="92" t="str" cm="1">
        <f t="array" aca="1" ref="M26" ca="1">IFERROR(INDEX('통합 점검결과'!$M:$M,MATCH(1,('통합 점검결과'!$B:$B=M$4)*('통합 점검결과'!$J:$J=$B26),0)),"")</f>
        <v/>
      </c>
      <c r="N26" s="92" t="str" cm="1">
        <f t="array" aca="1" ref="N26" ca="1">IFERROR(INDEX('통합 점검결과'!$M:$M,MATCH(1,('통합 점검결과'!$B:$B=N$4)*('통합 점검결과'!$J:$J=$B26),0)),"")</f>
        <v/>
      </c>
    </row>
    <row r="27" spans="1:14" ht="16.5" customHeight="1">
      <c r="A27" s="165" t="s">
        <v>742</v>
      </c>
      <c r="B27" s="94" t="s">
        <v>253</v>
      </c>
      <c r="C27" s="90" t="s">
        <v>254</v>
      </c>
      <c r="D27" s="77" t="s">
        <v>714</v>
      </c>
      <c r="E27" s="77">
        <v>5</v>
      </c>
      <c r="F27" s="77">
        <f ca="1">COUNTA($K27:INDIRECT(ADDRESS(ROW(),MATCH("",$4:$4,-1),1,1)))</f>
        <v>2</v>
      </c>
      <c r="G27" s="77">
        <f t="shared" ca="1" si="2"/>
        <v>2</v>
      </c>
      <c r="H27" s="77">
        <f ca="1">COUNTIF($K27:INDIRECT(ADDRESS(ROW(),MATCH("",$4:$4,-1),1,1)),H$5)</f>
        <v>0</v>
      </c>
      <c r="I27" s="77">
        <f ca="1">COUNTIF($K27:INDIRECT(ADDRESS(ROW(),MATCH("",$4:$4,-1),1,1)),I$5)</f>
        <v>0</v>
      </c>
      <c r="J27" s="77">
        <f ca="1">COUNTIF($K27:INDIRECT(ADDRESS(ROW(),MATCH("",$4:$4,-1),1,1)),"N/A")</f>
        <v>0</v>
      </c>
      <c r="K27" s="91"/>
      <c r="L27" s="91" t="str" cm="1">
        <f t="array" aca="1" ref="L27" ca="1">IFERROR(INDEX('통합 점검결과'!$M:$M,MATCH(1,('통합 점검결과'!$B:$B=L$4)*('통합 점검결과'!$J:$J=$B27),0)),"")</f>
        <v/>
      </c>
      <c r="M27" s="92" t="str" cm="1">
        <f t="array" aca="1" ref="M27" ca="1">IFERROR(INDEX('통합 점검결과'!$M:$M,MATCH(1,('통합 점검결과'!$B:$B=M$4)*('통합 점검결과'!$J:$J=$B27),0)),"")</f>
        <v/>
      </c>
      <c r="N27" s="92" t="str" cm="1">
        <f t="array" aca="1" ref="N27" ca="1">IFERROR(INDEX('통합 점검결과'!$M:$M,MATCH(1,('통합 점검결과'!$B:$B=N$4)*('통합 점검결과'!$J:$J=$B27),0)),"")</f>
        <v/>
      </c>
    </row>
    <row r="28" spans="1:14" ht="16.5" customHeight="1">
      <c r="A28" s="165" t="s">
        <v>742</v>
      </c>
      <c r="B28" s="94" t="s">
        <v>260</v>
      </c>
      <c r="C28" s="90" t="s">
        <v>261</v>
      </c>
      <c r="D28" s="77" t="s">
        <v>714</v>
      </c>
      <c r="E28" s="77">
        <v>4</v>
      </c>
      <c r="F28" s="77">
        <f ca="1">COUNTA($K28:INDIRECT(ADDRESS(ROW(),MATCH("",$4:$4,-1),1,1)))</f>
        <v>2</v>
      </c>
      <c r="G28" s="77">
        <f t="shared" ca="1" si="2"/>
        <v>2</v>
      </c>
      <c r="H28" s="77">
        <f ca="1">COUNTIF($K28:INDIRECT(ADDRESS(ROW(),MATCH("",$4:$4,-1),1,1)),H$5)</f>
        <v>0</v>
      </c>
      <c r="I28" s="77">
        <f ca="1">COUNTIF($K28:INDIRECT(ADDRESS(ROW(),MATCH("",$4:$4,-1),1,1)),I$5)</f>
        <v>0</v>
      </c>
      <c r="J28" s="77">
        <f ca="1">COUNTIF($K28:INDIRECT(ADDRESS(ROW(),MATCH("",$4:$4,-1),1,1)),"N/A")</f>
        <v>0</v>
      </c>
      <c r="K28" s="91"/>
      <c r="L28" s="91" t="str" cm="1">
        <f t="array" aca="1" ref="L28" ca="1">IFERROR(INDEX('통합 점검결과'!$M:$M,MATCH(1,('통합 점검결과'!$B:$B=L$4)*('통합 점검결과'!$J:$J=$B28),0)),"")</f>
        <v/>
      </c>
      <c r="M28" s="92" t="str" cm="1">
        <f t="array" aca="1" ref="M28" ca="1">IFERROR(INDEX('통합 점검결과'!$M:$M,MATCH(1,('통합 점검결과'!$B:$B=M$4)*('통합 점검결과'!$J:$J=$B28),0)),"")</f>
        <v/>
      </c>
      <c r="N28" s="92" t="str" cm="1">
        <f t="array" aca="1" ref="N28" ca="1">IFERROR(INDEX('통합 점검결과'!$M:$M,MATCH(1,('통합 점검결과'!$B:$B=N$4)*('통합 점검결과'!$J:$J=$B28),0)),"")</f>
        <v/>
      </c>
    </row>
    <row r="29" spans="1:14" ht="16.5" customHeight="1">
      <c r="A29" s="165" t="s">
        <v>742</v>
      </c>
      <c r="B29" s="94" t="s">
        <v>267</v>
      </c>
      <c r="C29" s="90" t="s">
        <v>268</v>
      </c>
      <c r="D29" s="77" t="s">
        <v>714</v>
      </c>
      <c r="E29" s="77">
        <v>4</v>
      </c>
      <c r="F29" s="77">
        <f ca="1">COUNTA($K29:INDIRECT(ADDRESS(ROW(),MATCH("",$4:$4,-1),1,1)))</f>
        <v>2</v>
      </c>
      <c r="G29" s="77">
        <f t="shared" ca="1" si="2"/>
        <v>2</v>
      </c>
      <c r="H29" s="77">
        <f ca="1">COUNTIF($K29:INDIRECT(ADDRESS(ROW(),MATCH("",$4:$4,-1),1,1)),H$5)</f>
        <v>0</v>
      </c>
      <c r="I29" s="77">
        <f ca="1">COUNTIF($K29:INDIRECT(ADDRESS(ROW(),MATCH("",$4:$4,-1),1,1)),I$5)</f>
        <v>0</v>
      </c>
      <c r="J29" s="77">
        <f ca="1">COUNTIF($K29:INDIRECT(ADDRESS(ROW(),MATCH("",$4:$4,-1),1,1)),"N/A")</f>
        <v>0</v>
      </c>
      <c r="K29" s="91"/>
      <c r="L29" s="91" t="str" cm="1">
        <f t="array" aca="1" ref="L29" ca="1">IFERROR(INDEX('통합 점검결과'!$M:$M,MATCH(1,('통합 점검결과'!$B:$B=L$4)*('통합 점검결과'!$J:$J=$B29),0)),"")</f>
        <v/>
      </c>
      <c r="M29" s="92" t="str" cm="1">
        <f t="array" aca="1" ref="M29" ca="1">IFERROR(INDEX('통합 점검결과'!$M:$M,MATCH(1,('통합 점검결과'!$B:$B=M$4)*('통합 점검결과'!$J:$J=$B29),0)),"")</f>
        <v/>
      </c>
      <c r="N29" s="92" t="str" cm="1">
        <f t="array" aca="1" ref="N29" ca="1">IFERROR(INDEX('통합 점검결과'!$M:$M,MATCH(1,('통합 점검결과'!$B:$B=N$4)*('통합 점검결과'!$J:$J=$B29),0)),"")</f>
        <v/>
      </c>
    </row>
    <row r="30" spans="1:14" ht="16.5" customHeight="1">
      <c r="A30" s="165" t="s">
        <v>742</v>
      </c>
      <c r="B30" s="94" t="s">
        <v>274</v>
      </c>
      <c r="C30" s="90" t="s">
        <v>275</v>
      </c>
      <c r="D30" s="77" t="s">
        <v>743</v>
      </c>
      <c r="E30" s="77">
        <v>3</v>
      </c>
      <c r="F30" s="77">
        <f ca="1">COUNTA($K30:INDIRECT(ADDRESS(ROW(),MATCH("",$4:$4,-1),1,1)))</f>
        <v>2</v>
      </c>
      <c r="G30" s="77">
        <f t="shared" ca="1" si="2"/>
        <v>2</v>
      </c>
      <c r="H30" s="77">
        <f ca="1">COUNTIF($K30:INDIRECT(ADDRESS(ROW(),MATCH("",$4:$4,-1),1,1)),H$5)</f>
        <v>0</v>
      </c>
      <c r="I30" s="77">
        <f ca="1">COUNTIF($K30:INDIRECT(ADDRESS(ROW(),MATCH("",$4:$4,-1),1,1)),I$5)</f>
        <v>0</v>
      </c>
      <c r="J30" s="77">
        <f ca="1">COUNTIF($K30:INDIRECT(ADDRESS(ROW(),MATCH("",$4:$4,-1),1,1)),"N/A")</f>
        <v>0</v>
      </c>
      <c r="K30" s="91"/>
      <c r="L30" s="91" t="str" cm="1">
        <f t="array" aca="1" ref="L30" ca="1">IFERROR(INDEX('통합 점검결과'!$M:$M,MATCH(1,('통합 점검결과'!$B:$B=L$4)*('통합 점검결과'!$J:$J=$B30),0)),"")</f>
        <v/>
      </c>
      <c r="M30" s="92" t="str" cm="1">
        <f t="array" aca="1" ref="M30" ca="1">IFERROR(INDEX('통합 점검결과'!$M:$M,MATCH(1,('통합 점검결과'!$B:$B=M$4)*('통합 점검결과'!$J:$J=$B30),0)),"")</f>
        <v/>
      </c>
      <c r="N30" s="92" t="str" cm="1">
        <f t="array" aca="1" ref="N30" ca="1">IFERROR(INDEX('통합 점검결과'!$M:$M,MATCH(1,('통합 점검결과'!$B:$B=N$4)*('통합 점검결과'!$J:$J=$B30),0)),"")</f>
        <v/>
      </c>
    </row>
    <row r="31" spans="1:14" ht="16.5" customHeight="1">
      <c r="A31" s="165" t="s">
        <v>742</v>
      </c>
      <c r="B31" s="94" t="s">
        <v>280</v>
      </c>
      <c r="C31" s="90" t="s">
        <v>281</v>
      </c>
      <c r="D31" s="77" t="s">
        <v>714</v>
      </c>
      <c r="E31" s="77">
        <v>5</v>
      </c>
      <c r="F31" s="77">
        <f ca="1">COUNTA($K31:INDIRECT(ADDRESS(ROW(),MATCH("",$4:$4,-1),1,1)))</f>
        <v>2</v>
      </c>
      <c r="G31" s="77">
        <f t="shared" ca="1" si="2"/>
        <v>2</v>
      </c>
      <c r="H31" s="77">
        <f ca="1">COUNTIF($K31:INDIRECT(ADDRESS(ROW(),MATCH("",$4:$4,-1),1,1)),H$5)</f>
        <v>0</v>
      </c>
      <c r="I31" s="77">
        <f ca="1">COUNTIF($K31:INDIRECT(ADDRESS(ROW(),MATCH("",$4:$4,-1),1,1)),I$5)</f>
        <v>0</v>
      </c>
      <c r="J31" s="77">
        <f ca="1">COUNTIF($K31:INDIRECT(ADDRESS(ROW(),MATCH("",$4:$4,-1),1,1)),"N/A")</f>
        <v>0</v>
      </c>
      <c r="K31" s="91"/>
      <c r="L31" s="91" t="str" cm="1">
        <f t="array" aca="1" ref="L31" ca="1">IFERROR(INDEX('통합 점검결과'!$M:$M,MATCH(1,('통합 점검결과'!$B:$B=L$4)*('통합 점검결과'!$J:$J=$B31),0)),"")</f>
        <v/>
      </c>
      <c r="M31" s="92" t="str" cm="1">
        <f t="array" aca="1" ref="M31" ca="1">IFERROR(INDEX('통합 점검결과'!$M:$M,MATCH(1,('통합 점검결과'!$B:$B=M$4)*('통합 점검결과'!$J:$J=$B31),0)),"")</f>
        <v/>
      </c>
      <c r="N31" s="92" t="str" cm="1">
        <f t="array" aca="1" ref="N31" ca="1">IFERROR(INDEX('통합 점검결과'!$M:$M,MATCH(1,('통합 점검결과'!$B:$B=N$4)*('통합 점검결과'!$J:$J=$B31),0)),"")</f>
        <v/>
      </c>
    </row>
    <row r="32" spans="1:14" ht="16.5" customHeight="1">
      <c r="A32" s="165" t="s">
        <v>742</v>
      </c>
      <c r="B32" s="94" t="s">
        <v>287</v>
      </c>
      <c r="C32" s="90" t="s">
        <v>288</v>
      </c>
      <c r="D32" s="77" t="s">
        <v>714</v>
      </c>
      <c r="E32" s="77">
        <v>5</v>
      </c>
      <c r="F32" s="77">
        <f ca="1">COUNTA($K32:INDIRECT(ADDRESS(ROW(),MATCH("",$4:$4,-1),1,1)))</f>
        <v>2</v>
      </c>
      <c r="G32" s="77">
        <f t="shared" ca="1" si="2"/>
        <v>2</v>
      </c>
      <c r="H32" s="77">
        <f ca="1">COUNTIF($K32:INDIRECT(ADDRESS(ROW(),MATCH("",$4:$4,-1),1,1)),H$5)</f>
        <v>0</v>
      </c>
      <c r="I32" s="77">
        <f ca="1">COUNTIF($K32:INDIRECT(ADDRESS(ROW(),MATCH("",$4:$4,-1),1,1)),I$5)</f>
        <v>0</v>
      </c>
      <c r="J32" s="77">
        <f ca="1">COUNTIF($K32:INDIRECT(ADDRESS(ROW(),MATCH("",$4:$4,-1),1,1)),"N/A")</f>
        <v>0</v>
      </c>
      <c r="K32" s="91"/>
      <c r="L32" s="91" t="str" cm="1">
        <f t="array" aca="1" ref="L32" ca="1">IFERROR(INDEX('통합 점검결과'!$M:$M,MATCH(1,('통합 점검결과'!$B:$B=L$4)*('통합 점검결과'!$J:$J=$B32),0)),"")</f>
        <v/>
      </c>
      <c r="M32" s="92" t="str" cm="1">
        <f t="array" aca="1" ref="M32" ca="1">IFERROR(INDEX('통합 점검결과'!$M:$M,MATCH(1,('통합 점검결과'!$B:$B=M$4)*('통합 점검결과'!$J:$J=$B32),0)),"")</f>
        <v/>
      </c>
      <c r="N32" s="92" t="str" cm="1">
        <f t="array" aca="1" ref="N32" ca="1">IFERROR(INDEX('통합 점검결과'!$M:$M,MATCH(1,('통합 점검결과'!$B:$B=N$4)*('통합 점검결과'!$J:$J=$B32),0)),"")</f>
        <v/>
      </c>
    </row>
    <row r="33" spans="1:14" ht="16.5" customHeight="1">
      <c r="A33" s="165" t="s">
        <v>742</v>
      </c>
      <c r="B33" s="94" t="s">
        <v>294</v>
      </c>
      <c r="C33" s="90" t="s">
        <v>295</v>
      </c>
      <c r="D33" s="77" t="s">
        <v>714</v>
      </c>
      <c r="E33" s="77">
        <v>4</v>
      </c>
      <c r="F33" s="77">
        <f ca="1">COUNTA($K33:INDIRECT(ADDRESS(ROW(),MATCH("",$4:$4,-1),1,1)))</f>
        <v>2</v>
      </c>
      <c r="G33" s="77">
        <f t="shared" ca="1" si="2"/>
        <v>2</v>
      </c>
      <c r="H33" s="77">
        <f ca="1">COUNTIF($K33:INDIRECT(ADDRESS(ROW(),MATCH("",$4:$4,-1),1,1)),H$5)</f>
        <v>0</v>
      </c>
      <c r="I33" s="77">
        <f ca="1">COUNTIF($K33:INDIRECT(ADDRESS(ROW(),MATCH("",$4:$4,-1),1,1)),I$5)</f>
        <v>0</v>
      </c>
      <c r="J33" s="77">
        <f ca="1">COUNTIF($K33:INDIRECT(ADDRESS(ROW(),MATCH("",$4:$4,-1),1,1)),"N/A")</f>
        <v>0</v>
      </c>
      <c r="K33" s="91"/>
      <c r="L33" s="91" t="str" cm="1">
        <f t="array" aca="1" ref="L33" ca="1">IFERROR(INDEX('통합 점검결과'!$M:$M,MATCH(1,('통합 점검결과'!$B:$B=L$4)*('통합 점검결과'!$J:$J=$B33),0)),"")</f>
        <v/>
      </c>
      <c r="M33" s="92" t="str" cm="1">
        <f t="array" aca="1" ref="M33" ca="1">IFERROR(INDEX('통합 점검결과'!$M:$M,MATCH(1,('통합 점검결과'!$B:$B=M$4)*('통합 점검결과'!$J:$J=$B33),0)),"")</f>
        <v/>
      </c>
      <c r="N33" s="92" t="str" cm="1">
        <f t="array" aca="1" ref="N33" ca="1">IFERROR(INDEX('통합 점검결과'!$M:$M,MATCH(1,('통합 점검결과'!$B:$B=N$4)*('통합 점검결과'!$J:$J=$B33),0)),"")</f>
        <v/>
      </c>
    </row>
    <row r="34" spans="1:14" ht="16.5" customHeight="1">
      <c r="A34" s="165" t="s">
        <v>742</v>
      </c>
      <c r="B34" s="94" t="s">
        <v>301</v>
      </c>
      <c r="C34" s="90" t="s">
        <v>302</v>
      </c>
      <c r="D34" s="77" t="s">
        <v>714</v>
      </c>
      <c r="E34" s="77">
        <v>5</v>
      </c>
      <c r="F34" s="77">
        <f ca="1">COUNTA($K34:INDIRECT(ADDRESS(ROW(),MATCH("",$4:$4,-1),1,1)))</f>
        <v>2</v>
      </c>
      <c r="G34" s="77">
        <f t="shared" ca="1" si="2"/>
        <v>2</v>
      </c>
      <c r="H34" s="77">
        <f ca="1">COUNTIF($K34:INDIRECT(ADDRESS(ROW(),MATCH("",$4:$4,-1),1,1)),H$5)</f>
        <v>0</v>
      </c>
      <c r="I34" s="77">
        <f ca="1">COUNTIF($K34:INDIRECT(ADDRESS(ROW(),MATCH("",$4:$4,-1),1,1)),I$5)</f>
        <v>0</v>
      </c>
      <c r="J34" s="77">
        <f ca="1">COUNTIF($K34:INDIRECT(ADDRESS(ROW(),MATCH("",$4:$4,-1),1,1)),"N/A")</f>
        <v>0</v>
      </c>
      <c r="K34" s="91"/>
      <c r="L34" s="91" t="str" cm="1">
        <f t="array" aca="1" ref="L34" ca="1">IFERROR(INDEX('통합 점검결과'!$M:$M,MATCH(1,('통합 점검결과'!$B:$B=L$4)*('통합 점검결과'!$J:$J=$B34),0)),"")</f>
        <v/>
      </c>
      <c r="M34" s="92" t="str" cm="1">
        <f t="array" aca="1" ref="M34" ca="1">IFERROR(INDEX('통합 점검결과'!$M:$M,MATCH(1,('통합 점검결과'!$B:$B=M$4)*('통합 점검결과'!$J:$J=$B34),0)),"")</f>
        <v/>
      </c>
      <c r="N34" s="92" t="str" cm="1">
        <f t="array" aca="1" ref="N34" ca="1">IFERROR(INDEX('통합 점검결과'!$M:$M,MATCH(1,('통합 점검결과'!$B:$B=N$4)*('통합 점검결과'!$J:$J=$B34),0)),"")</f>
        <v/>
      </c>
    </row>
    <row r="35" spans="1:14" ht="16.5" customHeight="1">
      <c r="A35" s="165" t="s">
        <v>742</v>
      </c>
      <c r="B35" s="94" t="s">
        <v>308</v>
      </c>
      <c r="C35" s="90" t="s">
        <v>309</v>
      </c>
      <c r="D35" s="77" t="s">
        <v>714</v>
      </c>
      <c r="E35" s="77">
        <v>5</v>
      </c>
      <c r="F35" s="77">
        <f ca="1">COUNTA($K35:INDIRECT(ADDRESS(ROW(),MATCH("",$4:$4,-1),1,1)))</f>
        <v>2</v>
      </c>
      <c r="G35" s="77">
        <f t="shared" ca="1" si="2"/>
        <v>2</v>
      </c>
      <c r="H35" s="77">
        <f ca="1">COUNTIF($K35:INDIRECT(ADDRESS(ROW(),MATCH("",$4:$4,-1),1,1)),H$5)</f>
        <v>0</v>
      </c>
      <c r="I35" s="77">
        <f ca="1">COUNTIF($K35:INDIRECT(ADDRESS(ROW(),MATCH("",$4:$4,-1),1,1)),I$5)</f>
        <v>0</v>
      </c>
      <c r="J35" s="77">
        <f ca="1">COUNTIF($K35:INDIRECT(ADDRESS(ROW(),MATCH("",$4:$4,-1),1,1)),"N/A")</f>
        <v>0</v>
      </c>
      <c r="K35" s="91"/>
      <c r="L35" s="91" t="str" cm="1">
        <f t="array" aca="1" ref="L35" ca="1">IFERROR(INDEX('통합 점검결과'!$M:$M,MATCH(1,('통합 점검결과'!$B:$B=L$4)*('통합 점검결과'!$J:$J=$B35),0)),"")</f>
        <v/>
      </c>
      <c r="M35" s="92" t="str" cm="1">
        <f t="array" aca="1" ref="M35" ca="1">IFERROR(INDEX('통합 점검결과'!$M:$M,MATCH(1,('통합 점검결과'!$B:$B=M$4)*('통합 점검결과'!$J:$J=$B35),0)),"")</f>
        <v/>
      </c>
      <c r="N35" s="92" t="str" cm="1">
        <f t="array" aca="1" ref="N35" ca="1">IFERROR(INDEX('통합 점검결과'!$M:$M,MATCH(1,('통합 점검결과'!$B:$B=N$4)*('통합 점검결과'!$J:$J=$B35),0)),"")</f>
        <v/>
      </c>
    </row>
    <row r="36" spans="1:14" ht="16.5" customHeight="1">
      <c r="A36" s="165" t="s">
        <v>742</v>
      </c>
      <c r="B36" s="94" t="s">
        <v>313</v>
      </c>
      <c r="C36" s="90" t="s">
        <v>314</v>
      </c>
      <c r="D36" s="77" t="s">
        <v>743</v>
      </c>
      <c r="E36" s="77">
        <v>3</v>
      </c>
      <c r="F36" s="77">
        <f ca="1">COUNTA($K36:INDIRECT(ADDRESS(ROW(),MATCH("",$4:$4,-1),1,1)))</f>
        <v>2</v>
      </c>
      <c r="G36" s="77">
        <f t="shared" ca="1" si="2"/>
        <v>2</v>
      </c>
      <c r="H36" s="77">
        <f ca="1">COUNTIF($K36:INDIRECT(ADDRESS(ROW(),MATCH("",$4:$4,-1),1,1)),H$5)</f>
        <v>0</v>
      </c>
      <c r="I36" s="77">
        <f ca="1">COUNTIF($K36:INDIRECT(ADDRESS(ROW(),MATCH("",$4:$4,-1),1,1)),I$5)</f>
        <v>0</v>
      </c>
      <c r="J36" s="77">
        <f ca="1">COUNTIF($K36:INDIRECT(ADDRESS(ROW(),MATCH("",$4:$4,-1),1,1)),"N/A")</f>
        <v>0</v>
      </c>
      <c r="K36" s="91"/>
      <c r="L36" s="91" t="str" cm="1">
        <f t="array" aca="1" ref="L36" ca="1">IFERROR(INDEX('통합 점검결과'!$M:$M,MATCH(1,('통합 점검결과'!$B:$B=L$4)*('통합 점검결과'!$J:$J=$B36),0)),"")</f>
        <v/>
      </c>
      <c r="M36" s="92" t="str" cm="1">
        <f t="array" aca="1" ref="M36" ca="1">IFERROR(INDEX('통합 점검결과'!$M:$M,MATCH(1,('통합 점검결과'!$B:$B=M$4)*('통합 점검결과'!$J:$J=$B36),0)),"")</f>
        <v/>
      </c>
      <c r="N36" s="92" t="str" cm="1">
        <f t="array" aca="1" ref="N36" ca="1">IFERROR(INDEX('통합 점검결과'!$M:$M,MATCH(1,('통합 점검결과'!$B:$B=N$4)*('통합 점검결과'!$J:$J=$B36),0)),"")</f>
        <v/>
      </c>
    </row>
    <row r="37" spans="1:14" ht="16.5" customHeight="1">
      <c r="A37" s="165" t="s">
        <v>742</v>
      </c>
      <c r="B37" s="94" t="s">
        <v>319</v>
      </c>
      <c r="C37" s="90" t="s">
        <v>320</v>
      </c>
      <c r="D37" s="77" t="s">
        <v>714</v>
      </c>
      <c r="E37" s="77">
        <v>4</v>
      </c>
      <c r="F37" s="77">
        <f ca="1">COUNTA($K37:INDIRECT(ADDRESS(ROW(),MATCH("",$4:$4,-1),1,1)))</f>
        <v>2</v>
      </c>
      <c r="G37" s="77">
        <f t="shared" ca="1" si="2"/>
        <v>2</v>
      </c>
      <c r="H37" s="77">
        <f ca="1">COUNTIF($K37:INDIRECT(ADDRESS(ROW(),MATCH("",$4:$4,-1),1,1)),H$5)</f>
        <v>0</v>
      </c>
      <c r="I37" s="77">
        <f ca="1">COUNTIF($K37:INDIRECT(ADDRESS(ROW(),MATCH("",$4:$4,-1),1,1)),I$5)</f>
        <v>0</v>
      </c>
      <c r="J37" s="77">
        <f ca="1">COUNTIF($K37:INDIRECT(ADDRESS(ROW(),MATCH("",$4:$4,-1),1,1)),"N/A")</f>
        <v>0</v>
      </c>
      <c r="K37" s="91"/>
      <c r="L37" s="91" t="str" cm="1">
        <f t="array" aca="1" ref="L37" ca="1">IFERROR(INDEX('통합 점검결과'!$M:$M,MATCH(1,('통합 점검결과'!$B:$B=L$4)*('통합 점검결과'!$J:$J=$B37),0)),"")</f>
        <v/>
      </c>
      <c r="M37" s="92" t="str" cm="1">
        <f t="array" aca="1" ref="M37" ca="1">IFERROR(INDEX('통합 점검결과'!$M:$M,MATCH(1,('통합 점검결과'!$B:$B=M$4)*('통합 점검결과'!$J:$J=$B37),0)),"")</f>
        <v/>
      </c>
      <c r="N37" s="92" t="str" cm="1">
        <f t="array" aca="1" ref="N37" ca="1">IFERROR(INDEX('통합 점검결과'!$M:$M,MATCH(1,('통합 점검결과'!$B:$B=N$4)*('통합 점검결과'!$J:$J=$B37),0)),"")</f>
        <v/>
      </c>
    </row>
    <row r="38" spans="1:14" ht="16.5" customHeight="1">
      <c r="A38" s="165" t="s">
        <v>745</v>
      </c>
      <c r="B38" s="94" t="s">
        <v>327</v>
      </c>
      <c r="C38" s="90" t="s">
        <v>328</v>
      </c>
      <c r="D38" s="77" t="s">
        <v>714</v>
      </c>
      <c r="E38" s="77">
        <v>5</v>
      </c>
      <c r="F38" s="77">
        <f ca="1">COUNTA($K38:INDIRECT(ADDRESS(ROW(),MATCH("",$4:$4,-1),1,1)))</f>
        <v>2</v>
      </c>
      <c r="G38" s="77">
        <f t="shared" ca="1" si="2"/>
        <v>2</v>
      </c>
      <c r="H38" s="77">
        <f ca="1">COUNTIF($K38:INDIRECT(ADDRESS(ROW(),MATCH("",$4:$4,-1),1,1)),H$5)</f>
        <v>0</v>
      </c>
      <c r="I38" s="77">
        <f ca="1">COUNTIF($K38:INDIRECT(ADDRESS(ROW(),MATCH("",$4:$4,-1),1,1)),I$5)</f>
        <v>0</v>
      </c>
      <c r="J38" s="77">
        <f ca="1">COUNTIF($K38:INDIRECT(ADDRESS(ROW(),MATCH("",$4:$4,-1),1,1)),"N/A")</f>
        <v>0</v>
      </c>
      <c r="K38" s="91"/>
      <c r="L38" s="91" t="str" cm="1">
        <f t="array" aca="1" ref="L38" ca="1">IFERROR(INDEX('통합 점검결과'!$M:$M,MATCH(1,('통합 점검결과'!$B:$B=L$4)*('통합 점검결과'!$J:$J=$B38),0)),"")</f>
        <v/>
      </c>
      <c r="M38" s="92" t="str" cm="1">
        <f t="array" aca="1" ref="M38" ca="1">IFERROR(INDEX('통합 점검결과'!$M:$M,MATCH(1,('통합 점검결과'!$B:$B=M$4)*('통합 점검결과'!$J:$J=$B38),0)),"")</f>
        <v/>
      </c>
      <c r="N38" s="92" t="str" cm="1">
        <f t="array" aca="1" ref="N38" ca="1">IFERROR(INDEX('통합 점검결과'!$M:$M,MATCH(1,('통합 점검결과'!$B:$B=N$4)*('통합 점검결과'!$J:$J=$B38),0)),"")</f>
        <v/>
      </c>
    </row>
    <row r="39" spans="1:14" ht="16.5" customHeight="1">
      <c r="A39" s="165" t="s">
        <v>742</v>
      </c>
      <c r="B39" s="94" t="s">
        <v>334</v>
      </c>
      <c r="C39" s="90" t="s">
        <v>335</v>
      </c>
      <c r="D39" s="77" t="s">
        <v>714</v>
      </c>
      <c r="E39" s="77">
        <v>5</v>
      </c>
      <c r="F39" s="77">
        <f ca="1">COUNTA($K39:INDIRECT(ADDRESS(ROW(),MATCH("",$4:$4,-1),1,1)))</f>
        <v>2</v>
      </c>
      <c r="G39" s="77">
        <f t="shared" ca="1" si="2"/>
        <v>2</v>
      </c>
      <c r="H39" s="77">
        <f ca="1">COUNTIF($K39:INDIRECT(ADDRESS(ROW(),MATCH("",$4:$4,-1),1,1)),H$5)</f>
        <v>0</v>
      </c>
      <c r="I39" s="77">
        <f ca="1">COUNTIF($K39:INDIRECT(ADDRESS(ROW(),MATCH("",$4:$4,-1),1,1)),I$5)</f>
        <v>0</v>
      </c>
      <c r="J39" s="77">
        <f ca="1">COUNTIF($K39:INDIRECT(ADDRESS(ROW(),MATCH("",$4:$4,-1),1,1)),"N/A")</f>
        <v>0</v>
      </c>
      <c r="K39" s="91"/>
      <c r="L39" s="91" t="str" cm="1">
        <f t="array" aca="1" ref="L39" ca="1">IFERROR(INDEX('통합 점검결과'!$M:$M,MATCH(1,('통합 점검결과'!$B:$B=L$4)*('통합 점검결과'!$J:$J=$B39),0)),"")</f>
        <v/>
      </c>
      <c r="M39" s="92" t="str" cm="1">
        <f t="array" aca="1" ref="M39" ca="1">IFERROR(INDEX('통합 점검결과'!$M:$M,MATCH(1,('통합 점검결과'!$B:$B=M$4)*('통합 점검결과'!$J:$J=$B39),0)),"")</f>
        <v/>
      </c>
      <c r="N39" s="92" t="str" cm="1">
        <f t="array" aca="1" ref="N39" ca="1">IFERROR(INDEX('통합 점검결과'!$M:$M,MATCH(1,('통합 점검결과'!$B:$B=N$4)*('통합 점검결과'!$J:$J=$B39),0)),"")</f>
        <v/>
      </c>
    </row>
    <row r="40" spans="1:14" ht="16.5" customHeight="1">
      <c r="A40" s="165" t="s">
        <v>745</v>
      </c>
      <c r="B40" s="94" t="s">
        <v>341</v>
      </c>
      <c r="C40" s="90" t="s">
        <v>342</v>
      </c>
      <c r="D40" s="77" t="s">
        <v>714</v>
      </c>
      <c r="E40" s="77">
        <v>4</v>
      </c>
      <c r="F40" s="77">
        <f ca="1">COUNTA($K40:INDIRECT(ADDRESS(ROW(),MATCH("",$4:$4,-1),1,1)))</f>
        <v>2</v>
      </c>
      <c r="G40" s="77">
        <f t="shared" ca="1" si="2"/>
        <v>2</v>
      </c>
      <c r="H40" s="77">
        <f ca="1">COUNTIF($K40:INDIRECT(ADDRESS(ROW(),MATCH("",$4:$4,-1),1,1)),H$5)</f>
        <v>0</v>
      </c>
      <c r="I40" s="77">
        <f ca="1">COUNTIF($K40:INDIRECT(ADDRESS(ROW(),MATCH("",$4:$4,-1),1,1)),I$5)</f>
        <v>0</v>
      </c>
      <c r="J40" s="77">
        <f ca="1">COUNTIF($K40:INDIRECT(ADDRESS(ROW(),MATCH("",$4:$4,-1),1,1)),"N/A")</f>
        <v>0</v>
      </c>
      <c r="K40" s="91"/>
      <c r="L40" s="91" t="str" cm="1">
        <f t="array" aca="1" ref="L40" ca="1">IFERROR(INDEX('통합 점검결과'!$M:$M,MATCH(1,('통합 점검결과'!$B:$B=L$4)*('통합 점검결과'!$J:$J=$B40),0)),"")</f>
        <v/>
      </c>
      <c r="M40" s="92" t="str" cm="1">
        <f t="array" aca="1" ref="M40" ca="1">IFERROR(INDEX('통합 점검결과'!$M:$M,MATCH(1,('통합 점검결과'!$B:$B=M$4)*('통합 점검결과'!$J:$J=$B40),0)),"")</f>
        <v/>
      </c>
      <c r="N40" s="92" t="str" cm="1">
        <f t="array" aca="1" ref="N40" ca="1">IFERROR(INDEX('통합 점검결과'!$M:$M,MATCH(1,('통합 점검결과'!$B:$B=N$4)*('통합 점검결과'!$J:$J=$B40),0)),"")</f>
        <v/>
      </c>
    </row>
    <row r="41" spans="1:14" ht="16.5" customHeight="1">
      <c r="A41" s="165" t="s">
        <v>742</v>
      </c>
      <c r="B41" s="94" t="s">
        <v>348</v>
      </c>
      <c r="C41" s="90" t="s">
        <v>349</v>
      </c>
      <c r="D41" s="77" t="s">
        <v>714</v>
      </c>
      <c r="E41" s="77">
        <v>4</v>
      </c>
      <c r="F41" s="77">
        <f ca="1">COUNTA($K41:INDIRECT(ADDRESS(ROW(),MATCH("",$4:$4,-1),1,1)))</f>
        <v>2</v>
      </c>
      <c r="G41" s="77">
        <f t="shared" ca="1" si="2"/>
        <v>2</v>
      </c>
      <c r="H41" s="77">
        <f ca="1">COUNTIF($K41:INDIRECT(ADDRESS(ROW(),MATCH("",$4:$4,-1),1,1)),H$5)</f>
        <v>0</v>
      </c>
      <c r="I41" s="77">
        <f ca="1">COUNTIF($K41:INDIRECT(ADDRESS(ROW(),MATCH("",$4:$4,-1),1,1)),I$5)</f>
        <v>0</v>
      </c>
      <c r="J41" s="77">
        <f ca="1">COUNTIF($K41:INDIRECT(ADDRESS(ROW(),MATCH("",$4:$4,-1),1,1)),"N/A")</f>
        <v>0</v>
      </c>
      <c r="K41" s="91"/>
      <c r="L41" s="91" t="str" cm="1">
        <f t="array" aca="1" ref="L41" ca="1">IFERROR(INDEX('통합 점검결과'!$M:$M,MATCH(1,('통합 점검결과'!$B:$B=L$4)*('통합 점검결과'!$J:$J=$B41),0)),"")</f>
        <v/>
      </c>
      <c r="M41" s="92" t="str" cm="1">
        <f t="array" aca="1" ref="M41" ca="1">IFERROR(INDEX('통합 점검결과'!$M:$M,MATCH(1,('통합 점검결과'!$B:$B=M$4)*('통합 점검결과'!$J:$J=$B41),0)),"")</f>
        <v/>
      </c>
      <c r="N41" s="92" t="str" cm="1">
        <f t="array" aca="1" ref="N41" ca="1">IFERROR(INDEX('통합 점검결과'!$M:$M,MATCH(1,('통합 점검결과'!$B:$B=N$4)*('통합 점검결과'!$J:$J=$B41),0)),"")</f>
        <v/>
      </c>
    </row>
    <row r="42" spans="1:14" ht="16.5" customHeight="1">
      <c r="A42" s="165" t="s">
        <v>745</v>
      </c>
      <c r="B42" s="94" t="s">
        <v>355</v>
      </c>
      <c r="C42" s="90" t="s">
        <v>356</v>
      </c>
      <c r="D42" s="77" t="s">
        <v>714</v>
      </c>
      <c r="E42" s="77">
        <v>4</v>
      </c>
      <c r="F42" s="77">
        <f ca="1">COUNTA($K42:INDIRECT(ADDRESS(ROW(),MATCH("",$4:$4,-1),1,1)))</f>
        <v>2</v>
      </c>
      <c r="G42" s="77">
        <f t="shared" ca="1" si="2"/>
        <v>2</v>
      </c>
      <c r="H42" s="77">
        <f ca="1">COUNTIF($K42:INDIRECT(ADDRESS(ROW(),MATCH("",$4:$4,-1),1,1)),H$5)</f>
        <v>0</v>
      </c>
      <c r="I42" s="77">
        <f ca="1">COUNTIF($K42:INDIRECT(ADDRESS(ROW(),MATCH("",$4:$4,-1),1,1)),I$5)</f>
        <v>0</v>
      </c>
      <c r="J42" s="77">
        <f ca="1">COUNTIF($K42:INDIRECT(ADDRESS(ROW(),MATCH("",$4:$4,-1),1,1)),"N/A")</f>
        <v>0</v>
      </c>
      <c r="K42" s="91"/>
      <c r="L42" s="91" t="str" cm="1">
        <f t="array" aca="1" ref="L42" ca="1">IFERROR(INDEX('통합 점검결과'!$M:$M,MATCH(1,('통합 점검결과'!$B:$B=L$4)*('통합 점검결과'!$J:$J=$B42),0)),"")</f>
        <v/>
      </c>
      <c r="M42" s="92" t="str" cm="1">
        <f t="array" aca="1" ref="M42" ca="1">IFERROR(INDEX('통합 점검결과'!$M:$M,MATCH(1,('통합 점검결과'!$B:$B=M$4)*('통합 점검결과'!$J:$J=$B42),0)),"")</f>
        <v/>
      </c>
      <c r="N42" s="92" t="str" cm="1">
        <f t="array" aca="1" ref="N42" ca="1">IFERROR(INDEX('통합 점검결과'!$M:$M,MATCH(1,('통합 점검결과'!$B:$B=N$4)*('통합 점검결과'!$J:$J=$B42),0)),"")</f>
        <v/>
      </c>
    </row>
    <row r="43" spans="1:14" ht="16.5" customHeight="1">
      <c r="A43" s="165" t="s">
        <v>745</v>
      </c>
      <c r="B43" s="94" t="s">
        <v>361</v>
      </c>
      <c r="C43" s="90" t="s">
        <v>362</v>
      </c>
      <c r="D43" s="77" t="s">
        <v>714</v>
      </c>
      <c r="E43" s="77">
        <v>5</v>
      </c>
      <c r="F43" s="77">
        <f ca="1">COUNTA($K43:INDIRECT(ADDRESS(ROW(),MATCH("",$4:$4,-1),1,1)))</f>
        <v>2</v>
      </c>
      <c r="G43" s="77">
        <f t="shared" ca="1" si="2"/>
        <v>2</v>
      </c>
      <c r="H43" s="77">
        <f ca="1">COUNTIF($K43:INDIRECT(ADDRESS(ROW(),MATCH("",$4:$4,-1),1,1)),H$5)</f>
        <v>0</v>
      </c>
      <c r="I43" s="77">
        <f ca="1">COUNTIF($K43:INDIRECT(ADDRESS(ROW(),MATCH("",$4:$4,-1),1,1)),I$5)</f>
        <v>0</v>
      </c>
      <c r="J43" s="77">
        <f ca="1">COUNTIF($K43:INDIRECT(ADDRESS(ROW(),MATCH("",$4:$4,-1),1,1)),"N/A")</f>
        <v>0</v>
      </c>
      <c r="K43" s="91"/>
      <c r="L43" s="91" t="str" cm="1">
        <f t="array" aca="1" ref="L43" ca="1">IFERROR(INDEX('통합 점검결과'!$M:$M,MATCH(1,('통합 점검결과'!$B:$B=L$4)*('통합 점검결과'!$J:$J=$B43),0)),"")</f>
        <v/>
      </c>
      <c r="M43" s="92" t="str" cm="1">
        <f t="array" aca="1" ref="M43" ca="1">IFERROR(INDEX('통합 점검결과'!$M:$M,MATCH(1,('통합 점검결과'!$B:$B=M$4)*('통합 점검결과'!$J:$J=$B43),0)),"")</f>
        <v/>
      </c>
      <c r="N43" s="92" t="str" cm="1">
        <f t="array" aca="1" ref="N43" ca="1">IFERROR(INDEX('통합 점검결과'!$M:$M,MATCH(1,('통합 점검결과'!$B:$B=N$4)*('통합 점검결과'!$J:$J=$B43),0)),"")</f>
        <v/>
      </c>
    </row>
    <row r="44" spans="1:14" ht="16.5" customHeight="1">
      <c r="A44" s="165" t="s">
        <v>745</v>
      </c>
      <c r="B44" s="94" t="s">
        <v>367</v>
      </c>
      <c r="C44" s="90" t="s">
        <v>368</v>
      </c>
      <c r="D44" s="77" t="s">
        <v>714</v>
      </c>
      <c r="E44" s="77">
        <v>4</v>
      </c>
      <c r="F44" s="77">
        <f ca="1">COUNTA($K44:INDIRECT(ADDRESS(ROW(),MATCH("",$4:$4,-1),1,1)))</f>
        <v>2</v>
      </c>
      <c r="G44" s="77">
        <f t="shared" ca="1" si="2"/>
        <v>2</v>
      </c>
      <c r="H44" s="77">
        <f ca="1">COUNTIF($K44:INDIRECT(ADDRESS(ROW(),MATCH("",$4:$4,-1),1,1)),H$5)</f>
        <v>0</v>
      </c>
      <c r="I44" s="77">
        <f ca="1">COUNTIF($K44:INDIRECT(ADDRESS(ROW(),MATCH("",$4:$4,-1),1,1)),I$5)</f>
        <v>0</v>
      </c>
      <c r="J44" s="77">
        <f ca="1">COUNTIF($K44:INDIRECT(ADDRESS(ROW(),MATCH("",$4:$4,-1),1,1)),"N/A")</f>
        <v>0</v>
      </c>
      <c r="K44" s="91"/>
      <c r="L44" s="91" t="str" cm="1">
        <f t="array" aca="1" ref="L44" ca="1">IFERROR(INDEX('통합 점검결과'!$M:$M,MATCH(1,('통합 점검결과'!$B:$B=L$4)*('통합 점검결과'!$J:$J=$B44),0)),"")</f>
        <v/>
      </c>
      <c r="M44" s="92" t="str" cm="1">
        <f t="array" aca="1" ref="M44" ca="1">IFERROR(INDEX('통합 점검결과'!$M:$M,MATCH(1,('통합 점검결과'!$B:$B=M$4)*('통합 점검결과'!$J:$J=$B44),0)),"")</f>
        <v/>
      </c>
      <c r="N44" s="92" t="str" cm="1">
        <f t="array" aca="1" ref="N44" ca="1">IFERROR(INDEX('통합 점검결과'!$M:$M,MATCH(1,('통합 점검결과'!$B:$B=N$4)*('통합 점검결과'!$J:$J=$B44),0)),"")</f>
        <v/>
      </c>
    </row>
    <row r="45" spans="1:14" ht="16.5" customHeight="1">
      <c r="A45" s="165" t="s">
        <v>742</v>
      </c>
      <c r="B45" s="94" t="s">
        <v>374</v>
      </c>
      <c r="C45" s="90" t="s">
        <v>375</v>
      </c>
      <c r="D45" s="77" t="s">
        <v>714</v>
      </c>
      <c r="E45" s="77">
        <v>5</v>
      </c>
      <c r="F45" s="77">
        <f ca="1">COUNTA($K45:INDIRECT(ADDRESS(ROW(),MATCH("",$4:$4,-1),1,1)))</f>
        <v>2</v>
      </c>
      <c r="G45" s="77">
        <f t="shared" ca="1" si="2"/>
        <v>2</v>
      </c>
      <c r="H45" s="77">
        <f ca="1">COUNTIF($K45:INDIRECT(ADDRESS(ROW(),MATCH("",$4:$4,-1),1,1)),H$5)</f>
        <v>0</v>
      </c>
      <c r="I45" s="77">
        <f ca="1">COUNTIF($K45:INDIRECT(ADDRESS(ROW(),MATCH("",$4:$4,-1),1,1)),I$5)</f>
        <v>0</v>
      </c>
      <c r="J45" s="77">
        <f ca="1">COUNTIF($K45:INDIRECT(ADDRESS(ROW(),MATCH("",$4:$4,-1),1,1)),"N/A")</f>
        <v>0</v>
      </c>
      <c r="K45" s="91"/>
      <c r="L45" s="91" t="str" cm="1">
        <f t="array" aca="1" ref="L45" ca="1">IFERROR(INDEX('통합 점검결과'!$M:$M,MATCH(1,('통합 점검결과'!$B:$B=L$4)*('통합 점검결과'!$J:$J=$B45),0)),"")</f>
        <v/>
      </c>
      <c r="M45" s="92" t="str" cm="1">
        <f t="array" aca="1" ref="M45" ca="1">IFERROR(INDEX('통합 점검결과'!$M:$M,MATCH(1,('통합 점검결과'!$B:$B=M$4)*('통합 점검결과'!$J:$J=$B45),0)),"")</f>
        <v/>
      </c>
      <c r="N45" s="92" t="str" cm="1">
        <f t="array" aca="1" ref="N45" ca="1">IFERROR(INDEX('통합 점검결과'!$M:$M,MATCH(1,('통합 점검결과'!$B:$B=N$4)*('통합 점검결과'!$J:$J=$B45),0)),"")</f>
        <v/>
      </c>
    </row>
    <row r="46" spans="1:14" ht="16.5" customHeight="1">
      <c r="A46" s="165" t="s">
        <v>742</v>
      </c>
      <c r="B46" s="94" t="s">
        <v>381</v>
      </c>
      <c r="C46" s="90" t="s">
        <v>382</v>
      </c>
      <c r="D46" s="77" t="s">
        <v>743</v>
      </c>
      <c r="E46" s="77">
        <v>3</v>
      </c>
      <c r="F46" s="77">
        <f ca="1">COUNTA($K46:INDIRECT(ADDRESS(ROW(),MATCH("",$4:$4,-1),1,1)))</f>
        <v>2</v>
      </c>
      <c r="G46" s="77">
        <f t="shared" ca="1" si="2"/>
        <v>2</v>
      </c>
      <c r="H46" s="77">
        <f ca="1">COUNTIF($K46:INDIRECT(ADDRESS(ROW(),MATCH("",$4:$4,-1),1,1)),H$5)</f>
        <v>0</v>
      </c>
      <c r="I46" s="77">
        <f ca="1">COUNTIF($K46:INDIRECT(ADDRESS(ROW(),MATCH("",$4:$4,-1),1,1)),I$5)</f>
        <v>0</v>
      </c>
      <c r="J46" s="77">
        <f ca="1">COUNTIF($K46:INDIRECT(ADDRESS(ROW(),MATCH("",$4:$4,-1),1,1)),"N/A")</f>
        <v>0</v>
      </c>
      <c r="K46" s="91"/>
      <c r="L46" s="91" t="str" cm="1">
        <f t="array" aca="1" ref="L46" ca="1">IFERROR(INDEX('통합 점검결과'!$M:$M,MATCH(1,('통합 점검결과'!$B:$B=L$4)*('통합 점검결과'!$J:$J=$B46),0)),"")</f>
        <v/>
      </c>
      <c r="M46" s="92" t="str" cm="1">
        <f t="array" aca="1" ref="M46" ca="1">IFERROR(INDEX('통합 점검결과'!$M:$M,MATCH(1,('통합 점검결과'!$B:$B=M$4)*('통합 점검결과'!$J:$J=$B46),0)),"")</f>
        <v/>
      </c>
      <c r="N46" s="92" t="str" cm="1">
        <f t="array" aca="1" ref="N46" ca="1">IFERROR(INDEX('통합 점검결과'!$M:$M,MATCH(1,('통합 점검결과'!$B:$B=N$4)*('통합 점검결과'!$J:$J=$B46),0)),"")</f>
        <v/>
      </c>
    </row>
    <row r="47" spans="1:14" ht="16.5" customHeight="1">
      <c r="A47" s="165" t="s">
        <v>742</v>
      </c>
      <c r="B47" s="94" t="s">
        <v>388</v>
      </c>
      <c r="C47" s="90" t="s">
        <v>389</v>
      </c>
      <c r="D47" s="77" t="s">
        <v>714</v>
      </c>
      <c r="E47" s="77">
        <v>4</v>
      </c>
      <c r="F47" s="77">
        <f ca="1">COUNTA($K47:INDIRECT(ADDRESS(ROW(),MATCH("",$4:$4,-1),1,1)))</f>
        <v>2</v>
      </c>
      <c r="G47" s="77">
        <f t="shared" ca="1" si="2"/>
        <v>2</v>
      </c>
      <c r="H47" s="77">
        <f ca="1">COUNTIF($K47:INDIRECT(ADDRESS(ROW(),MATCH("",$4:$4,-1),1,1)),H$5)</f>
        <v>0</v>
      </c>
      <c r="I47" s="77">
        <f ca="1">COUNTIF($K47:INDIRECT(ADDRESS(ROW(),MATCH("",$4:$4,-1),1,1)),I$5)</f>
        <v>0</v>
      </c>
      <c r="J47" s="77">
        <f ca="1">COUNTIF($K47:INDIRECT(ADDRESS(ROW(),MATCH("",$4:$4,-1),1,1)),"N/A")</f>
        <v>0</v>
      </c>
      <c r="K47" s="91"/>
      <c r="L47" s="91" t="str" cm="1">
        <f t="array" aca="1" ref="L47" ca="1">IFERROR(INDEX('통합 점검결과'!$M:$M,MATCH(1,('통합 점검결과'!$B:$B=L$4)*('통합 점검결과'!$J:$J=$B47),0)),"")</f>
        <v/>
      </c>
      <c r="M47" s="92" t="str" cm="1">
        <f t="array" aca="1" ref="M47" ca="1">IFERROR(INDEX('통합 점검결과'!$M:$M,MATCH(1,('통합 점검결과'!$B:$B=M$4)*('통합 점검결과'!$J:$J=$B47),0)),"")</f>
        <v/>
      </c>
      <c r="N47" s="92" t="str" cm="1">
        <f t="array" aca="1" ref="N47" ca="1">IFERROR(INDEX('통합 점검결과'!$M:$M,MATCH(1,('통합 점검결과'!$B:$B=N$4)*('통합 점검결과'!$J:$J=$B47),0)),"")</f>
        <v/>
      </c>
    </row>
    <row r="48" spans="1:14" ht="16.5" customHeight="1">
      <c r="A48" s="165" t="s">
        <v>742</v>
      </c>
      <c r="B48" s="94" t="s">
        <v>395</v>
      </c>
      <c r="C48" s="90" t="s">
        <v>396</v>
      </c>
      <c r="D48" s="77" t="s">
        <v>714</v>
      </c>
      <c r="E48" s="77">
        <v>5</v>
      </c>
      <c r="F48" s="77">
        <f ca="1">COUNTA($K48:INDIRECT(ADDRESS(ROW(),MATCH("",$4:$4,-1),1,1)))</f>
        <v>2</v>
      </c>
      <c r="G48" s="77">
        <f t="shared" ca="1" si="1"/>
        <v>2</v>
      </c>
      <c r="H48" s="77">
        <f ca="1">COUNTIF($K48:INDIRECT(ADDRESS(ROW(),MATCH("",$4:$4,-1),1,1)),H$5)</f>
        <v>0</v>
      </c>
      <c r="I48" s="77">
        <f ca="1">COUNTIF($K48:INDIRECT(ADDRESS(ROW(),MATCH("",$4:$4,-1),1,1)),I$5)</f>
        <v>0</v>
      </c>
      <c r="J48" s="77">
        <f ca="1">COUNTIF($K48:INDIRECT(ADDRESS(ROW(),MATCH("",$4:$4,-1),1,1)),"N/A")</f>
        <v>0</v>
      </c>
      <c r="K48" s="91"/>
      <c r="L48" s="91" t="str" cm="1">
        <f t="array" aca="1" ref="L48" ca="1">IFERROR(INDEX('통합 점검결과'!$M:$M,MATCH(1,('통합 점검결과'!$B:$B=L$4)*('통합 점검결과'!$J:$J=$B48),0)),"")</f>
        <v/>
      </c>
      <c r="M48" s="92" t="str" cm="1">
        <f t="array" aca="1" ref="M48" ca="1">IFERROR(INDEX('통합 점검결과'!$M:$M,MATCH(1,('통합 점검결과'!$B:$B=M$4)*('통합 점검결과'!$J:$J=$B48),0)),"")</f>
        <v/>
      </c>
      <c r="N48" s="92" t="str" cm="1">
        <f t="array" aca="1" ref="N48" ca="1">IFERROR(INDEX('통합 점검결과'!$M:$M,MATCH(1,('통합 점검결과'!$B:$B=N$4)*('통합 점검결과'!$J:$J=$B48),0)),"")</f>
        <v/>
      </c>
    </row>
    <row r="49" spans="1:14" ht="16.5" customHeight="1">
      <c r="A49" s="165" t="s">
        <v>742</v>
      </c>
      <c r="B49" s="94" t="s">
        <v>402</v>
      </c>
      <c r="C49" s="90" t="s">
        <v>403</v>
      </c>
      <c r="D49" s="77" t="s">
        <v>714</v>
      </c>
      <c r="E49" s="77">
        <v>5</v>
      </c>
      <c r="F49" s="77">
        <f ca="1">COUNTA($K49:INDIRECT(ADDRESS(ROW(),MATCH("",$4:$4,-1),1,1)))</f>
        <v>2</v>
      </c>
      <c r="G49" s="77">
        <f t="shared" ca="1" si="1"/>
        <v>2</v>
      </c>
      <c r="H49" s="77">
        <f ca="1">COUNTIF($K49:INDIRECT(ADDRESS(ROW(),MATCH("",$4:$4,-1),1,1)),H$5)</f>
        <v>0</v>
      </c>
      <c r="I49" s="77">
        <f ca="1">COUNTIF($K49:INDIRECT(ADDRESS(ROW(),MATCH("",$4:$4,-1),1,1)),I$5)</f>
        <v>0</v>
      </c>
      <c r="J49" s="77">
        <f ca="1">COUNTIF($K49:INDIRECT(ADDRESS(ROW(),MATCH("",$4:$4,-1),1,1)),"N/A")</f>
        <v>0</v>
      </c>
      <c r="K49" s="91"/>
      <c r="L49" s="91" t="str" cm="1">
        <f t="array" aca="1" ref="L49" ca="1">IFERROR(INDEX('통합 점검결과'!$M:$M,MATCH(1,('통합 점검결과'!$B:$B=L$4)*('통합 점검결과'!$J:$J=$B49),0)),"")</f>
        <v/>
      </c>
      <c r="M49" s="92" t="str" cm="1">
        <f t="array" aca="1" ref="M49" ca="1">IFERROR(INDEX('통합 점검결과'!$M:$M,MATCH(1,('통합 점검결과'!$B:$B=M$4)*('통합 점검결과'!$J:$J=$B49),0)),"")</f>
        <v/>
      </c>
      <c r="N49" s="92" t="str" cm="1">
        <f t="array" aca="1" ref="N49" ca="1">IFERROR(INDEX('통합 점검결과'!$M:$M,MATCH(1,('통합 점검결과'!$B:$B=N$4)*('통합 점검결과'!$J:$J=$B49),0)),"")</f>
        <v/>
      </c>
    </row>
    <row r="50" spans="1:14" ht="16.5" customHeight="1">
      <c r="A50" s="165" t="s">
        <v>742</v>
      </c>
      <c r="B50" s="94" t="s">
        <v>409</v>
      </c>
      <c r="C50" s="90" t="s">
        <v>410</v>
      </c>
      <c r="D50" s="77" t="s">
        <v>714</v>
      </c>
      <c r="E50" s="77">
        <v>4</v>
      </c>
      <c r="F50" s="77">
        <f ca="1">COUNTA($K50:INDIRECT(ADDRESS(ROW(),MATCH("",$4:$4,-1),1,1)))</f>
        <v>2</v>
      </c>
      <c r="G50" s="77">
        <f t="shared" ca="1" si="1"/>
        <v>2</v>
      </c>
      <c r="H50" s="77">
        <f ca="1">COUNTIF($K50:INDIRECT(ADDRESS(ROW(),MATCH("",$4:$4,-1),1,1)),H$5)</f>
        <v>0</v>
      </c>
      <c r="I50" s="77">
        <f ca="1">COUNTIF($K50:INDIRECT(ADDRESS(ROW(),MATCH("",$4:$4,-1),1,1)),I$5)</f>
        <v>0</v>
      </c>
      <c r="J50" s="77">
        <f ca="1">COUNTIF($K50:INDIRECT(ADDRESS(ROW(),MATCH("",$4:$4,-1),1,1)),"N/A")</f>
        <v>0</v>
      </c>
      <c r="K50" s="91"/>
      <c r="L50" s="91" t="str" cm="1">
        <f t="array" aca="1" ref="L50" ca="1">IFERROR(INDEX('통합 점검결과'!$M:$M,MATCH(1,('통합 점검결과'!$B:$B=L$4)*('통합 점검결과'!$J:$J=$B50),0)),"")</f>
        <v/>
      </c>
      <c r="M50" s="92" t="str" cm="1">
        <f t="array" aca="1" ref="M50" ca="1">IFERROR(INDEX('통합 점검결과'!$M:$M,MATCH(1,('통합 점검결과'!$B:$B=M$4)*('통합 점검결과'!$J:$J=$B50),0)),"")</f>
        <v/>
      </c>
      <c r="N50" s="92" t="str" cm="1">
        <f t="array" aca="1" ref="N50" ca="1">IFERROR(INDEX('통합 점검결과'!$M:$M,MATCH(1,('통합 점검결과'!$B:$B=N$4)*('통합 점검결과'!$J:$J=$B50),0)),"")</f>
        <v/>
      </c>
    </row>
    <row r="51" spans="1:14" ht="16.5" customHeight="1">
      <c r="A51" s="165" t="s">
        <v>742</v>
      </c>
      <c r="B51" s="94" t="s">
        <v>416</v>
      </c>
      <c r="C51" s="90" t="s">
        <v>417</v>
      </c>
      <c r="D51" s="77" t="s">
        <v>714</v>
      </c>
      <c r="E51" s="77">
        <v>4</v>
      </c>
      <c r="F51" s="77">
        <f ca="1">COUNTA($K51:INDIRECT(ADDRESS(ROW(),MATCH("",$4:$4,-1),1,1)))</f>
        <v>2</v>
      </c>
      <c r="G51" s="77">
        <f t="shared" ca="1" si="1"/>
        <v>2</v>
      </c>
      <c r="H51" s="77">
        <f ca="1">COUNTIF($K51:INDIRECT(ADDRESS(ROW(),MATCH("",$4:$4,-1),1,1)),H$5)</f>
        <v>0</v>
      </c>
      <c r="I51" s="77">
        <f ca="1">COUNTIF($K51:INDIRECT(ADDRESS(ROW(),MATCH("",$4:$4,-1),1,1)),I$5)</f>
        <v>0</v>
      </c>
      <c r="J51" s="77">
        <f ca="1">COUNTIF($K51:INDIRECT(ADDRESS(ROW(),MATCH("",$4:$4,-1),1,1)),"N/A")</f>
        <v>0</v>
      </c>
      <c r="K51" s="91"/>
      <c r="L51" s="91" t="str" cm="1">
        <f t="array" aca="1" ref="L51" ca="1">IFERROR(INDEX('통합 점검결과'!$M:$M,MATCH(1,('통합 점검결과'!$B:$B=L$4)*('통합 점검결과'!$J:$J=$B51),0)),"")</f>
        <v/>
      </c>
      <c r="M51" s="92" t="str" cm="1">
        <f t="array" aca="1" ref="M51" ca="1">IFERROR(INDEX('통합 점검결과'!$M:$M,MATCH(1,('통합 점검결과'!$B:$B=M$4)*('통합 점검결과'!$J:$J=$B51),0)),"")</f>
        <v/>
      </c>
      <c r="N51" s="92" t="str" cm="1">
        <f t="array" aca="1" ref="N51" ca="1">IFERROR(INDEX('통합 점검결과'!$M:$M,MATCH(1,('통합 점검결과'!$B:$B=N$4)*('통합 점검결과'!$J:$J=$B51),0)),"")</f>
        <v/>
      </c>
    </row>
    <row r="52" spans="1:14" ht="16.5" customHeight="1">
      <c r="A52" s="165" t="s">
        <v>742</v>
      </c>
      <c r="B52" s="94" t="s">
        <v>423</v>
      </c>
      <c r="C52" s="90" t="s">
        <v>424</v>
      </c>
      <c r="D52" s="77" t="s">
        <v>743</v>
      </c>
      <c r="E52" s="77">
        <v>3</v>
      </c>
      <c r="F52" s="77">
        <f ca="1">COUNTA($K52:INDIRECT(ADDRESS(ROW(),MATCH("",$4:$4,-1),1,1)))</f>
        <v>2</v>
      </c>
      <c r="G52" s="77">
        <f t="shared" ca="1" si="1"/>
        <v>2</v>
      </c>
      <c r="H52" s="77">
        <f ca="1">COUNTIF($K52:INDIRECT(ADDRESS(ROW(),MATCH("",$4:$4,-1),1,1)),H$5)</f>
        <v>0</v>
      </c>
      <c r="I52" s="77">
        <f ca="1">COUNTIF($K52:INDIRECT(ADDRESS(ROW(),MATCH("",$4:$4,-1),1,1)),I$5)</f>
        <v>0</v>
      </c>
      <c r="J52" s="77">
        <f ca="1">COUNTIF($K52:INDIRECT(ADDRESS(ROW(),MATCH("",$4:$4,-1),1,1)),"N/A")</f>
        <v>0</v>
      </c>
      <c r="K52" s="91"/>
      <c r="L52" s="91" t="str" cm="1">
        <f t="array" aca="1" ref="L52" ca="1">IFERROR(INDEX('통합 점검결과'!$M:$M,MATCH(1,('통합 점검결과'!$B:$B=L$4)*('통합 점검결과'!$J:$J=$B52),0)),"")</f>
        <v/>
      </c>
      <c r="M52" s="92" t="str" cm="1">
        <f t="array" aca="1" ref="M52" ca="1">IFERROR(INDEX('통합 점검결과'!$M:$M,MATCH(1,('통합 점검결과'!$B:$B=M$4)*('통합 점검결과'!$J:$J=$B52),0)),"")</f>
        <v/>
      </c>
      <c r="N52" s="92" t="str" cm="1">
        <f t="array" aca="1" ref="N52" ca="1">IFERROR(INDEX('통합 점검결과'!$M:$M,MATCH(1,('통합 점검결과'!$B:$B=N$4)*('통합 점검결과'!$J:$J=$B52),0)),"")</f>
        <v/>
      </c>
    </row>
    <row r="53" spans="1:14" ht="16.5" customHeight="1">
      <c r="A53" s="165" t="s">
        <v>742</v>
      </c>
      <c r="B53" s="94" t="s">
        <v>431</v>
      </c>
      <c r="C53" s="90" t="s">
        <v>432</v>
      </c>
      <c r="D53" s="77" t="s">
        <v>743</v>
      </c>
      <c r="E53" s="77">
        <v>3</v>
      </c>
      <c r="F53" s="77">
        <f ca="1">COUNTA($K53:INDIRECT(ADDRESS(ROW(),MATCH("",$4:$4,-1),1,1)))</f>
        <v>2</v>
      </c>
      <c r="G53" s="77">
        <f t="shared" ca="1" si="1"/>
        <v>2</v>
      </c>
      <c r="H53" s="77">
        <f ca="1">COUNTIF($K53:INDIRECT(ADDRESS(ROW(),MATCH("",$4:$4,-1),1,1)),H$5)</f>
        <v>0</v>
      </c>
      <c r="I53" s="77">
        <f ca="1">COUNTIF($K53:INDIRECT(ADDRESS(ROW(),MATCH("",$4:$4,-1),1,1)),I$5)</f>
        <v>0</v>
      </c>
      <c r="J53" s="77">
        <f ca="1">COUNTIF($K53:INDIRECT(ADDRESS(ROW(),MATCH("",$4:$4,-1),1,1)),"N/A")</f>
        <v>0</v>
      </c>
      <c r="K53" s="91"/>
      <c r="L53" s="91" t="str" cm="1">
        <f t="array" aca="1" ref="L53" ca="1">IFERROR(INDEX('통합 점검결과'!$M:$M,MATCH(1,('통합 점검결과'!$B:$B=L$4)*('통합 점검결과'!$J:$J=$B53),0)),"")</f>
        <v/>
      </c>
      <c r="M53" s="92" t="str" cm="1">
        <f t="array" aca="1" ref="M53" ca="1">IFERROR(INDEX('통합 점검결과'!$M:$M,MATCH(1,('통합 점검결과'!$B:$B=M$4)*('통합 점검결과'!$J:$J=$B53),0)),"")</f>
        <v/>
      </c>
      <c r="N53" s="92" t="str" cm="1">
        <f t="array" aca="1" ref="N53" ca="1">IFERROR(INDEX('통합 점검결과'!$M:$M,MATCH(1,('통합 점검결과'!$B:$B=N$4)*('통합 점검결과'!$J:$J=$B53),0)),"")</f>
        <v/>
      </c>
    </row>
    <row r="54" spans="1:14" ht="16.5" customHeight="1">
      <c r="A54" s="165" t="s">
        <v>742</v>
      </c>
      <c r="B54" s="94" t="s">
        <v>438</v>
      </c>
      <c r="C54" s="90" t="s">
        <v>439</v>
      </c>
      <c r="D54" s="77" t="s">
        <v>743</v>
      </c>
      <c r="E54" s="77">
        <v>3</v>
      </c>
      <c r="F54" s="77">
        <f ca="1">COUNTA($K54:INDIRECT(ADDRESS(ROW(),MATCH("",$4:$4,-1),1,1)))</f>
        <v>2</v>
      </c>
      <c r="G54" s="77">
        <f t="shared" ca="1" si="1"/>
        <v>2</v>
      </c>
      <c r="H54" s="77">
        <f ca="1">COUNTIF($K54:INDIRECT(ADDRESS(ROW(),MATCH("",$4:$4,-1),1,1)),H$5)</f>
        <v>0</v>
      </c>
      <c r="I54" s="77">
        <f ca="1">COUNTIF($K54:INDIRECT(ADDRESS(ROW(),MATCH("",$4:$4,-1),1,1)),I$5)</f>
        <v>0</v>
      </c>
      <c r="J54" s="77">
        <f ca="1">COUNTIF($K54:INDIRECT(ADDRESS(ROW(),MATCH("",$4:$4,-1),1,1)),"N/A")</f>
        <v>0</v>
      </c>
      <c r="K54" s="91"/>
      <c r="L54" s="91" t="str" cm="1">
        <f t="array" aca="1" ref="L54" ca="1">IFERROR(INDEX('통합 점검결과'!$M:$M,MATCH(1,('통합 점검결과'!$B:$B=L$4)*('통합 점검결과'!$J:$J=$B54),0)),"")</f>
        <v/>
      </c>
      <c r="M54" s="92" t="str" cm="1">
        <f t="array" aca="1" ref="M54" ca="1">IFERROR(INDEX('통합 점검결과'!$M:$M,MATCH(1,('통합 점검결과'!$B:$B=M$4)*('통합 점검결과'!$J:$J=$B54),0)),"")</f>
        <v/>
      </c>
      <c r="N54" s="92" t="str" cm="1">
        <f t="array" aca="1" ref="N54" ca="1">IFERROR(INDEX('통합 점검결과'!$M:$M,MATCH(1,('통합 점검결과'!$B:$B=N$4)*('통합 점검결과'!$J:$J=$B54),0)),"")</f>
        <v/>
      </c>
    </row>
    <row r="55" spans="1:14" ht="16.5" customHeight="1">
      <c r="A55" s="165" t="s">
        <v>742</v>
      </c>
      <c r="B55" s="94" t="s">
        <v>445</v>
      </c>
      <c r="C55" s="90" t="s">
        <v>446</v>
      </c>
      <c r="D55" s="77" t="s">
        <v>743</v>
      </c>
      <c r="E55" s="77">
        <v>3</v>
      </c>
      <c r="F55" s="77">
        <f ca="1">COUNTA($K55:INDIRECT(ADDRESS(ROW(),MATCH("",$4:$4,-1),1,1)))</f>
        <v>2</v>
      </c>
      <c r="G55" s="77">
        <f t="shared" ca="1" si="1"/>
        <v>2</v>
      </c>
      <c r="H55" s="77">
        <f ca="1">COUNTIF($K55:INDIRECT(ADDRESS(ROW(),MATCH("",$4:$4,-1),1,1)),H$5)</f>
        <v>0</v>
      </c>
      <c r="I55" s="77">
        <f ca="1">COUNTIF($K55:INDIRECT(ADDRESS(ROW(),MATCH("",$4:$4,-1),1,1)),I$5)</f>
        <v>0</v>
      </c>
      <c r="J55" s="77">
        <f ca="1">COUNTIF($K55:INDIRECT(ADDRESS(ROW(),MATCH("",$4:$4,-1),1,1)),"N/A")</f>
        <v>0</v>
      </c>
      <c r="K55" s="91"/>
      <c r="L55" s="91" t="str" cm="1">
        <f t="array" aca="1" ref="L55" ca="1">IFERROR(INDEX('통합 점검결과'!$M:$M,MATCH(1,('통합 점검결과'!$B:$B=L$4)*('통합 점검결과'!$J:$J=$B55),0)),"")</f>
        <v/>
      </c>
      <c r="M55" s="92" t="str" cm="1">
        <f t="array" aca="1" ref="M55" ca="1">IFERROR(INDEX('통합 점검결과'!$M:$M,MATCH(1,('통합 점검결과'!$B:$B=M$4)*('통합 점검결과'!$J:$J=$B55),0)),"")</f>
        <v/>
      </c>
      <c r="N55" s="92" t="str" cm="1">
        <f t="array" aca="1" ref="N55" ca="1">IFERROR(INDEX('통합 점검결과'!$M:$M,MATCH(1,('통합 점검결과'!$B:$B=N$4)*('통합 점검결과'!$J:$J=$B55),0)),"")</f>
        <v/>
      </c>
    </row>
    <row r="56" spans="1:14" ht="16.5" customHeight="1">
      <c r="A56" s="165" t="s">
        <v>742</v>
      </c>
      <c r="B56" s="94" t="s">
        <v>452</v>
      </c>
      <c r="C56" s="90" t="s">
        <v>453</v>
      </c>
      <c r="D56" s="77" t="s">
        <v>743</v>
      </c>
      <c r="E56" s="77">
        <v>3</v>
      </c>
      <c r="F56" s="77">
        <f ca="1">COUNTA($K56:INDIRECT(ADDRESS(ROW(),MATCH("",$4:$4,-1),1,1)))</f>
        <v>2</v>
      </c>
      <c r="G56" s="77">
        <f t="shared" ca="1" si="1"/>
        <v>2</v>
      </c>
      <c r="H56" s="77">
        <f ca="1">COUNTIF($K56:INDIRECT(ADDRESS(ROW(),MATCH("",$4:$4,-1),1,1)),H$5)</f>
        <v>0</v>
      </c>
      <c r="I56" s="77">
        <f ca="1">COUNTIF($K56:INDIRECT(ADDRESS(ROW(),MATCH("",$4:$4,-1),1,1)),I$5)</f>
        <v>0</v>
      </c>
      <c r="J56" s="77">
        <f ca="1">COUNTIF($K56:INDIRECT(ADDRESS(ROW(),MATCH("",$4:$4,-1),1,1)),"N/A")</f>
        <v>0</v>
      </c>
      <c r="K56" s="91"/>
      <c r="L56" s="91" t="str" cm="1">
        <f t="array" aca="1" ref="L56" ca="1">IFERROR(INDEX('통합 점검결과'!$M:$M,MATCH(1,('통합 점검결과'!$B:$B=L$4)*('통합 점검결과'!$J:$J=$B56),0)),"")</f>
        <v/>
      </c>
      <c r="M56" s="92" t="str" cm="1">
        <f t="array" aca="1" ref="M56" ca="1">IFERROR(INDEX('통합 점검결과'!$M:$M,MATCH(1,('통합 점검결과'!$B:$B=M$4)*('통합 점검결과'!$J:$J=$B56),0)),"")</f>
        <v/>
      </c>
      <c r="N56" s="92" t="str" cm="1">
        <f t="array" aca="1" ref="N56" ca="1">IFERROR(INDEX('통합 점검결과'!$M:$M,MATCH(1,('통합 점검결과'!$B:$B=N$4)*('통합 점검결과'!$J:$J=$B56),0)),"")</f>
        <v/>
      </c>
    </row>
    <row r="57" spans="1:14" ht="16.5" customHeight="1">
      <c r="A57" s="165" t="s">
        <v>742</v>
      </c>
      <c r="B57" s="94" t="s">
        <v>459</v>
      </c>
      <c r="C57" s="90" t="s">
        <v>460</v>
      </c>
      <c r="D57" s="77" t="s">
        <v>743</v>
      </c>
      <c r="E57" s="77">
        <v>3</v>
      </c>
      <c r="F57" s="77">
        <f ca="1">COUNTA($K57:INDIRECT(ADDRESS(ROW(),MATCH("",$4:$4,-1),1,1)))</f>
        <v>2</v>
      </c>
      <c r="G57" s="77">
        <f t="shared" ca="1" si="1"/>
        <v>2</v>
      </c>
      <c r="H57" s="77">
        <f ca="1">COUNTIF($K57:INDIRECT(ADDRESS(ROW(),MATCH("",$4:$4,-1),1,1)),H$5)</f>
        <v>0</v>
      </c>
      <c r="I57" s="77">
        <f ca="1">COUNTIF($K57:INDIRECT(ADDRESS(ROW(),MATCH("",$4:$4,-1),1,1)),I$5)</f>
        <v>0</v>
      </c>
      <c r="J57" s="77">
        <f ca="1">COUNTIF($K57:INDIRECT(ADDRESS(ROW(),MATCH("",$4:$4,-1),1,1)),"N/A")</f>
        <v>0</v>
      </c>
      <c r="K57" s="91"/>
      <c r="L57" s="91" t="str" cm="1">
        <f t="array" aca="1" ref="L57" ca="1">IFERROR(INDEX('통합 점검결과'!$M:$M,MATCH(1,('통합 점검결과'!$B:$B=L$4)*('통합 점검결과'!$J:$J=$B57),0)),"")</f>
        <v/>
      </c>
      <c r="M57" s="92" t="str" cm="1">
        <f t="array" aca="1" ref="M57" ca="1">IFERROR(INDEX('통합 점검결과'!$M:$M,MATCH(1,('통합 점검결과'!$B:$B=M$4)*('통합 점검결과'!$J:$J=$B57),0)),"")</f>
        <v/>
      </c>
      <c r="N57" s="92" t="str" cm="1">
        <f t="array" aca="1" ref="N57" ca="1">IFERROR(INDEX('통합 점검결과'!$M:$M,MATCH(1,('통합 점검결과'!$B:$B=N$4)*('통합 점검결과'!$J:$J=$B57),0)),"")</f>
        <v/>
      </c>
    </row>
    <row r="58" spans="1:14" ht="16.5" customHeight="1">
      <c r="A58" s="165" t="s">
        <v>742</v>
      </c>
      <c r="B58" s="94" t="s">
        <v>466</v>
      </c>
      <c r="C58" s="90" t="s">
        <v>467</v>
      </c>
      <c r="D58" s="77" t="s">
        <v>714</v>
      </c>
      <c r="E58" s="77">
        <v>4</v>
      </c>
      <c r="F58" s="77">
        <f ca="1">COUNTA($K58:INDIRECT(ADDRESS(ROW(),MATCH("",$4:$4,-1),1,1)))</f>
        <v>2</v>
      </c>
      <c r="G58" s="77">
        <f t="shared" ca="1" si="1"/>
        <v>2</v>
      </c>
      <c r="H58" s="77">
        <f ca="1">COUNTIF($K58:INDIRECT(ADDRESS(ROW(),MATCH("",$4:$4,-1),1,1)),H$5)</f>
        <v>0</v>
      </c>
      <c r="I58" s="77">
        <f ca="1">COUNTIF($K58:INDIRECT(ADDRESS(ROW(),MATCH("",$4:$4,-1),1,1)),I$5)</f>
        <v>0</v>
      </c>
      <c r="J58" s="77">
        <f ca="1">COUNTIF($K58:INDIRECT(ADDRESS(ROW(),MATCH("",$4:$4,-1),1,1)),"N/A")</f>
        <v>0</v>
      </c>
      <c r="K58" s="91"/>
      <c r="L58" s="91" t="str" cm="1">
        <f t="array" aca="1" ref="L58" ca="1">IFERROR(INDEX('통합 점검결과'!$M:$M,MATCH(1,('통합 점검결과'!$B:$B=L$4)*('통합 점검결과'!$J:$J=$B58),0)),"")</f>
        <v/>
      </c>
      <c r="M58" s="92" t="str" cm="1">
        <f t="array" aca="1" ref="M58" ca="1">IFERROR(INDEX('통합 점검결과'!$M:$M,MATCH(1,('통합 점검결과'!$B:$B=M$4)*('통합 점검결과'!$J:$J=$B58),0)),"")</f>
        <v/>
      </c>
      <c r="N58" s="92" t="str" cm="1">
        <f t="array" aca="1" ref="N58" ca="1">IFERROR(INDEX('통합 점검결과'!$M:$M,MATCH(1,('통합 점검결과'!$B:$B=N$4)*('통합 점검결과'!$J:$J=$B58),0)),"")</f>
        <v/>
      </c>
    </row>
    <row r="59" spans="1:14" ht="16.5" customHeight="1">
      <c r="A59" s="165" t="s">
        <v>742</v>
      </c>
      <c r="B59" s="94" t="s">
        <v>473</v>
      </c>
      <c r="C59" s="90" t="s">
        <v>474</v>
      </c>
      <c r="D59" s="77" t="s">
        <v>714</v>
      </c>
      <c r="E59" s="77">
        <v>5</v>
      </c>
      <c r="F59" s="77">
        <f ca="1">COUNTA($K59:INDIRECT(ADDRESS(ROW(),MATCH("",$4:$4,-1),1,1)))</f>
        <v>2</v>
      </c>
      <c r="G59" s="77">
        <f t="shared" ca="1" si="1"/>
        <v>2</v>
      </c>
      <c r="H59" s="77">
        <f ca="1">COUNTIF($K59:INDIRECT(ADDRESS(ROW(),MATCH("",$4:$4,-1),1,1)),H$5)</f>
        <v>0</v>
      </c>
      <c r="I59" s="77">
        <f ca="1">COUNTIF($K59:INDIRECT(ADDRESS(ROW(),MATCH("",$4:$4,-1),1,1)),I$5)</f>
        <v>0</v>
      </c>
      <c r="J59" s="77">
        <f ca="1">COUNTIF($K59:INDIRECT(ADDRESS(ROW(),MATCH("",$4:$4,-1),1,1)),"N/A")</f>
        <v>0</v>
      </c>
      <c r="K59" s="91"/>
      <c r="L59" s="91" t="str" cm="1">
        <f t="array" aca="1" ref="L59" ca="1">IFERROR(INDEX('통합 점검결과'!$M:$M,MATCH(1,('통합 점검결과'!$B:$B=L$4)*('통합 점검결과'!$J:$J=$B59),0)),"")</f>
        <v/>
      </c>
      <c r="M59" s="92" t="str" cm="1">
        <f t="array" aca="1" ref="M59" ca="1">IFERROR(INDEX('통합 점검결과'!$M:$M,MATCH(1,('통합 점검결과'!$B:$B=M$4)*('통합 점검결과'!$J:$J=$B59),0)),"")</f>
        <v/>
      </c>
      <c r="N59" s="92" t="str" cm="1">
        <f t="array" aca="1" ref="N59" ca="1">IFERROR(INDEX('통합 점검결과'!$M:$M,MATCH(1,('통합 점검결과'!$B:$B=N$4)*('통합 점검결과'!$J:$J=$B59),0)),"")</f>
        <v/>
      </c>
    </row>
    <row r="60" spans="1:14" ht="16.5" customHeight="1">
      <c r="A60" s="165" t="s">
        <v>746</v>
      </c>
      <c r="B60" s="94" t="s">
        <v>481</v>
      </c>
      <c r="C60" s="90" t="s">
        <v>482</v>
      </c>
      <c r="D60" s="77" t="s">
        <v>714</v>
      </c>
      <c r="E60" s="77">
        <v>5</v>
      </c>
      <c r="F60" s="77">
        <f ca="1">COUNTA($K60:INDIRECT(ADDRESS(ROW(),MATCH("",$4:$4,-1),1,1)))</f>
        <v>2</v>
      </c>
      <c r="G60" s="77">
        <f t="shared" ca="1" si="1"/>
        <v>2</v>
      </c>
      <c r="H60" s="77">
        <f ca="1">COUNTIF($K60:INDIRECT(ADDRESS(ROW(),MATCH("",$4:$4,-1),1,1)),H$5)</f>
        <v>0</v>
      </c>
      <c r="I60" s="77">
        <f ca="1">COUNTIF($K60:INDIRECT(ADDRESS(ROW(),MATCH("",$4:$4,-1),1,1)),I$5)</f>
        <v>0</v>
      </c>
      <c r="J60" s="77">
        <f ca="1">COUNTIF($K60:INDIRECT(ADDRESS(ROW(),MATCH("",$4:$4,-1),1,1)),"N/A")</f>
        <v>0</v>
      </c>
      <c r="K60" s="91"/>
      <c r="L60" s="91" t="str" cm="1">
        <f t="array" aca="1" ref="L60" ca="1">IFERROR(INDEX('통합 점검결과'!$M:$M,MATCH(1,('통합 점검결과'!$B:$B=L$4)*('통합 점검결과'!$J:$J=$B60),0)),"")</f>
        <v/>
      </c>
      <c r="M60" s="92" t="str" cm="1">
        <f t="array" aca="1" ref="M60" ca="1">IFERROR(INDEX('통합 점검결과'!$M:$M,MATCH(1,('통합 점검결과'!$B:$B=M$4)*('통합 점검결과'!$J:$J=$B60),0)),"")</f>
        <v/>
      </c>
      <c r="N60" s="92" t="str" cm="1">
        <f t="array" aca="1" ref="N60" ca="1">IFERROR(INDEX('통합 점검결과'!$M:$M,MATCH(1,('통합 점검결과'!$B:$B=N$4)*('통합 점검결과'!$J:$J=$B60),0)),"")</f>
        <v/>
      </c>
    </row>
    <row r="61" spans="1:14" ht="16.5" customHeight="1">
      <c r="A61" s="165" t="s">
        <v>746</v>
      </c>
      <c r="B61" s="94" t="s">
        <v>487</v>
      </c>
      <c r="C61" s="90" t="s">
        <v>488</v>
      </c>
      <c r="D61" s="77" t="s">
        <v>714</v>
      </c>
      <c r="E61" s="77">
        <v>5</v>
      </c>
      <c r="F61" s="77">
        <f ca="1">COUNTA($K61:INDIRECT(ADDRESS(ROW(),MATCH("",$4:$4,-1),1,1)))</f>
        <v>2</v>
      </c>
      <c r="G61" s="77">
        <f t="shared" ca="1" si="1"/>
        <v>2</v>
      </c>
      <c r="H61" s="77">
        <f ca="1">COUNTIF($K61:INDIRECT(ADDRESS(ROW(),MATCH("",$4:$4,-1),1,1)),H$5)</f>
        <v>0</v>
      </c>
      <c r="I61" s="77">
        <f ca="1">COUNTIF($K61:INDIRECT(ADDRESS(ROW(),MATCH("",$4:$4,-1),1,1)),I$5)</f>
        <v>0</v>
      </c>
      <c r="J61" s="77">
        <f ca="1">COUNTIF($K61:INDIRECT(ADDRESS(ROW(),MATCH("",$4:$4,-1),1,1)),"N/A")</f>
        <v>0</v>
      </c>
      <c r="K61" s="91"/>
      <c r="L61" s="91" t="str" cm="1">
        <f t="array" aca="1" ref="L61" ca="1">IFERROR(INDEX('통합 점검결과'!$M:$M,MATCH(1,('통합 점검결과'!$B:$B=L$4)*('통합 점검결과'!$J:$J=$B61),0)),"")</f>
        <v/>
      </c>
      <c r="M61" s="92" t="str" cm="1">
        <f t="array" aca="1" ref="M61" ca="1">IFERROR(INDEX('통합 점검결과'!$M:$M,MATCH(1,('통합 점검결과'!$B:$B=M$4)*('통합 점검결과'!$J:$J=$B61),0)),"")</f>
        <v/>
      </c>
      <c r="N61" s="92" t="str" cm="1">
        <f t="array" aca="1" ref="N61" ca="1">IFERROR(INDEX('통합 점검결과'!$M:$M,MATCH(1,('통합 점검결과'!$B:$B=N$4)*('통합 점검결과'!$J:$J=$B61),0)),"")</f>
        <v/>
      </c>
    </row>
    <row r="62" spans="1:14" ht="16.5" customHeight="1">
      <c r="A62" s="165" t="s">
        <v>742</v>
      </c>
      <c r="B62" s="94" t="s">
        <v>494</v>
      </c>
      <c r="C62" s="90" t="s">
        <v>495</v>
      </c>
      <c r="D62" s="77" t="s">
        <v>743</v>
      </c>
      <c r="E62" s="77">
        <v>3</v>
      </c>
      <c r="F62" s="77">
        <f ca="1">COUNTA($K62:INDIRECT(ADDRESS(ROW(),MATCH("",$4:$4,-1),1,1)))</f>
        <v>2</v>
      </c>
      <c r="G62" s="77">
        <f t="shared" ca="1" si="1"/>
        <v>2</v>
      </c>
      <c r="H62" s="77">
        <f ca="1">COUNTIF($K62:INDIRECT(ADDRESS(ROW(),MATCH("",$4:$4,-1),1,1)),H$5)</f>
        <v>0</v>
      </c>
      <c r="I62" s="77">
        <f ca="1">COUNTIF($K62:INDIRECT(ADDRESS(ROW(),MATCH("",$4:$4,-1),1,1)),I$5)</f>
        <v>0</v>
      </c>
      <c r="J62" s="77">
        <f ca="1">COUNTIF($K62:INDIRECT(ADDRESS(ROW(),MATCH("",$4:$4,-1),1,1)),"N/A")</f>
        <v>0</v>
      </c>
      <c r="K62" s="91"/>
      <c r="L62" s="91" t="str" cm="1">
        <f t="array" aca="1" ref="L62" ca="1">IFERROR(INDEX('통합 점검결과'!$M:$M,MATCH(1,('통합 점검결과'!$B:$B=L$4)*('통합 점검결과'!$J:$J=$B62),0)),"")</f>
        <v/>
      </c>
      <c r="M62" s="92" t="str" cm="1">
        <f t="array" aca="1" ref="M62" ca="1">IFERROR(INDEX('통합 점검결과'!$M:$M,MATCH(1,('통합 점검결과'!$B:$B=M$4)*('통합 점검결과'!$J:$J=$B62),0)),"")</f>
        <v/>
      </c>
      <c r="N62" s="92" t="str" cm="1">
        <f t="array" aca="1" ref="N62" ca="1">IFERROR(INDEX('통합 점검결과'!$M:$M,MATCH(1,('통합 점검결과'!$B:$B=N$4)*('통합 점검결과'!$J:$J=$B62),0)),"")</f>
        <v/>
      </c>
    </row>
    <row r="63" spans="1:14" ht="16.5" customHeight="1">
      <c r="A63" s="165" t="s">
        <v>742</v>
      </c>
      <c r="B63" s="94" t="s">
        <v>501</v>
      </c>
      <c r="C63" s="90" t="s">
        <v>502</v>
      </c>
      <c r="D63" s="77" t="s">
        <v>714</v>
      </c>
      <c r="E63" s="77">
        <v>4</v>
      </c>
      <c r="F63" s="77">
        <f ca="1">COUNTA($K63:INDIRECT(ADDRESS(ROW(),MATCH("",$4:$4,-1),1,1)))</f>
        <v>2</v>
      </c>
      <c r="G63" s="77">
        <f t="shared" ca="1" si="1"/>
        <v>2</v>
      </c>
      <c r="H63" s="77">
        <f ca="1">COUNTIF($K63:INDIRECT(ADDRESS(ROW(),MATCH("",$4:$4,-1),1,1)),H$5)</f>
        <v>0</v>
      </c>
      <c r="I63" s="77">
        <f ca="1">COUNTIF($K63:INDIRECT(ADDRESS(ROW(),MATCH("",$4:$4,-1),1,1)),I$5)</f>
        <v>0</v>
      </c>
      <c r="J63" s="77">
        <f ca="1">COUNTIF($K63:INDIRECT(ADDRESS(ROW(),MATCH("",$4:$4,-1),1,1)),"N/A")</f>
        <v>0</v>
      </c>
      <c r="K63" s="91"/>
      <c r="L63" s="91" t="str" cm="1">
        <f t="array" aca="1" ref="L63" ca="1">IFERROR(INDEX('통합 점검결과'!$M:$M,MATCH(1,('통합 점검결과'!$B:$B=L$4)*('통합 점검결과'!$J:$J=$B63),0)),"")</f>
        <v/>
      </c>
      <c r="M63" s="92" t="str" cm="1">
        <f t="array" aca="1" ref="M63" ca="1">IFERROR(INDEX('통합 점검결과'!$M:$M,MATCH(1,('통합 점검결과'!$B:$B=M$4)*('통합 점검결과'!$J:$J=$B63),0)),"")</f>
        <v/>
      </c>
      <c r="N63" s="92" t="str" cm="1">
        <f t="array" aca="1" ref="N63" ca="1">IFERROR(INDEX('통합 점검결과'!$M:$M,MATCH(1,('통합 점검결과'!$B:$B=N$4)*('통합 점검결과'!$J:$J=$B63),0)),"")</f>
        <v/>
      </c>
    </row>
    <row r="64" spans="1:14" ht="16.5" customHeight="1">
      <c r="A64" s="165" t="s">
        <v>745</v>
      </c>
      <c r="B64" s="94" t="s">
        <v>507</v>
      </c>
      <c r="C64" s="90" t="s">
        <v>508</v>
      </c>
      <c r="D64" s="77" t="s">
        <v>714</v>
      </c>
      <c r="E64" s="77">
        <v>4</v>
      </c>
      <c r="F64" s="77">
        <f ca="1">COUNTA($K64:INDIRECT(ADDRESS(ROW(),MATCH("",$4:$4,-1),1,1)))</f>
        <v>2</v>
      </c>
      <c r="G64" s="77">
        <f t="shared" ca="1" si="1"/>
        <v>2</v>
      </c>
      <c r="H64" s="77">
        <f ca="1">COUNTIF($K64:INDIRECT(ADDRESS(ROW(),MATCH("",$4:$4,-1),1,1)),H$5)</f>
        <v>0</v>
      </c>
      <c r="I64" s="77">
        <f ca="1">COUNTIF($K64:INDIRECT(ADDRESS(ROW(),MATCH("",$4:$4,-1),1,1)),I$5)</f>
        <v>0</v>
      </c>
      <c r="J64" s="77">
        <f ca="1">COUNTIF($K64:INDIRECT(ADDRESS(ROW(),MATCH("",$4:$4,-1),1,1)),"N/A")</f>
        <v>0</v>
      </c>
      <c r="K64" s="91"/>
      <c r="L64" s="91" t="str" cm="1">
        <f t="array" aca="1" ref="L64" ca="1">IFERROR(INDEX('통합 점검결과'!$M:$M,MATCH(1,('통합 점검결과'!$B:$B=L$4)*('통합 점검결과'!$J:$J=$B64),0)),"")</f>
        <v/>
      </c>
      <c r="M64" s="92" t="str" cm="1">
        <f t="array" aca="1" ref="M64" ca="1">IFERROR(INDEX('통합 점검결과'!$M:$M,MATCH(1,('통합 점검결과'!$B:$B=M$4)*('통합 점검결과'!$J:$J=$B64),0)),"")</f>
        <v/>
      </c>
      <c r="N64" s="92" t="str" cm="1">
        <f t="array" aca="1" ref="N64" ca="1">IFERROR(INDEX('통합 점검결과'!$M:$M,MATCH(1,('통합 점검결과'!$B:$B=N$4)*('통합 점검결과'!$J:$J=$B64),0)),"")</f>
        <v/>
      </c>
    </row>
    <row r="65" spans="1:14" ht="16.5" customHeight="1">
      <c r="A65" s="165" t="s">
        <v>745</v>
      </c>
      <c r="B65" s="94" t="s">
        <v>514</v>
      </c>
      <c r="C65" s="90" t="s">
        <v>515</v>
      </c>
      <c r="D65" s="77" t="s">
        <v>714</v>
      </c>
      <c r="E65" s="77">
        <v>4</v>
      </c>
      <c r="F65" s="77">
        <f ca="1">COUNTA($K65:INDIRECT(ADDRESS(ROW(),MATCH("",$4:$4,-1),1,1)))</f>
        <v>2</v>
      </c>
      <c r="G65" s="77">
        <f t="shared" ca="1" si="1"/>
        <v>2</v>
      </c>
      <c r="H65" s="77">
        <f ca="1">COUNTIF($K65:INDIRECT(ADDRESS(ROW(),MATCH("",$4:$4,-1),1,1)),H$5)</f>
        <v>0</v>
      </c>
      <c r="I65" s="77">
        <f ca="1">COUNTIF($K65:INDIRECT(ADDRESS(ROW(),MATCH("",$4:$4,-1),1,1)),I$5)</f>
        <v>0</v>
      </c>
      <c r="J65" s="77">
        <f ca="1">COUNTIF($K65:INDIRECT(ADDRESS(ROW(),MATCH("",$4:$4,-1),1,1)),"N/A")</f>
        <v>0</v>
      </c>
      <c r="K65" s="91"/>
      <c r="L65" s="91" t="str" cm="1">
        <f t="array" aca="1" ref="L65" ca="1">IFERROR(INDEX('통합 점검결과'!$M:$M,MATCH(1,('통합 점검결과'!$B:$B=L$4)*('통합 점검결과'!$J:$J=$B65),0)),"")</f>
        <v/>
      </c>
      <c r="M65" s="92" t="str" cm="1">
        <f t="array" aca="1" ref="M65" ca="1">IFERROR(INDEX('통합 점검결과'!$M:$M,MATCH(1,('통합 점검결과'!$B:$B=M$4)*('통합 점검결과'!$J:$J=$B65),0)),"")</f>
        <v/>
      </c>
      <c r="N65" s="92" t="str" cm="1">
        <f t="array" aca="1" ref="N65" ca="1">IFERROR(INDEX('통합 점검결과'!$M:$M,MATCH(1,('통합 점검결과'!$B:$B=N$4)*('통합 점검결과'!$J:$J=$B65),0)),"")</f>
        <v/>
      </c>
    </row>
    <row r="66" spans="1:14" ht="16.5" customHeight="1">
      <c r="A66" s="165" t="s">
        <v>742</v>
      </c>
      <c r="B66" s="94" t="s">
        <v>521</v>
      </c>
      <c r="C66" s="90" t="s">
        <v>522</v>
      </c>
      <c r="D66" s="77" t="s">
        <v>743</v>
      </c>
      <c r="E66" s="77">
        <v>3</v>
      </c>
      <c r="F66" s="77">
        <f ca="1">COUNTA($K66:INDIRECT(ADDRESS(ROW(),MATCH("",$4:$4,-1),1,1)))</f>
        <v>2</v>
      </c>
      <c r="G66" s="77">
        <f t="shared" ca="1" si="1"/>
        <v>2</v>
      </c>
      <c r="H66" s="77">
        <f ca="1">COUNTIF($K66:INDIRECT(ADDRESS(ROW(),MATCH("",$4:$4,-1),1,1)),H$5)</f>
        <v>0</v>
      </c>
      <c r="I66" s="77">
        <f ca="1">COUNTIF($K66:INDIRECT(ADDRESS(ROW(),MATCH("",$4:$4,-1),1,1)),I$5)</f>
        <v>0</v>
      </c>
      <c r="J66" s="77">
        <f ca="1">COUNTIF($K66:INDIRECT(ADDRESS(ROW(),MATCH("",$4:$4,-1),1,1)),"N/A")</f>
        <v>0</v>
      </c>
      <c r="K66" s="91"/>
      <c r="L66" s="91" t="str" cm="1">
        <f t="array" aca="1" ref="L66" ca="1">IFERROR(INDEX('통합 점검결과'!$M:$M,MATCH(1,('통합 점검결과'!$B:$B=L$4)*('통합 점검결과'!$J:$J=$B66),0)),"")</f>
        <v/>
      </c>
      <c r="M66" s="92" t="str" cm="1">
        <f t="array" aca="1" ref="M66" ca="1">IFERROR(INDEX('통합 점검결과'!$M:$M,MATCH(1,('통합 점검결과'!$B:$B=M$4)*('통합 점검결과'!$J:$J=$B66),0)),"")</f>
        <v/>
      </c>
      <c r="N66" s="92" t="str" cm="1">
        <f t="array" aca="1" ref="N66" ca="1">IFERROR(INDEX('통합 점검결과'!$M:$M,MATCH(1,('통합 점검결과'!$B:$B=N$4)*('통합 점검결과'!$J:$J=$B66),0)),"")</f>
        <v/>
      </c>
    </row>
    <row r="67" spans="1:14" ht="16.5" customHeight="1">
      <c r="A67" s="165" t="s">
        <v>742</v>
      </c>
      <c r="B67" s="94" t="s">
        <v>528</v>
      </c>
      <c r="C67" s="90" t="s">
        <v>529</v>
      </c>
      <c r="D67" s="77" t="s">
        <v>714</v>
      </c>
      <c r="E67" s="77">
        <v>5</v>
      </c>
      <c r="F67" s="77">
        <f ca="1">COUNTA($K67:INDIRECT(ADDRESS(ROW(),MATCH("",$4:$4,-1),1,1)))</f>
        <v>2</v>
      </c>
      <c r="G67" s="77">
        <f t="shared" ca="1" si="1"/>
        <v>2</v>
      </c>
      <c r="H67" s="77">
        <f ca="1">COUNTIF($K67:INDIRECT(ADDRESS(ROW(),MATCH("",$4:$4,-1),1,1)),H$5)</f>
        <v>0</v>
      </c>
      <c r="I67" s="77">
        <f ca="1">COUNTIF($K67:INDIRECT(ADDRESS(ROW(),MATCH("",$4:$4,-1),1,1)),I$5)</f>
        <v>0</v>
      </c>
      <c r="J67" s="77">
        <f ca="1">COUNTIF($K67:INDIRECT(ADDRESS(ROW(),MATCH("",$4:$4,-1),1,1)),"N/A")</f>
        <v>0</v>
      </c>
      <c r="K67" s="91"/>
      <c r="L67" s="91" t="str" cm="1">
        <f t="array" aca="1" ref="L67" ca="1">IFERROR(INDEX('통합 점검결과'!$M:$M,MATCH(1,('통합 점검결과'!$B:$B=L$4)*('통합 점검결과'!$J:$J=$B67),0)),"")</f>
        <v/>
      </c>
      <c r="M67" s="92" t="str" cm="1">
        <f t="array" aca="1" ref="M67" ca="1">IFERROR(INDEX('통합 점검결과'!$M:$M,MATCH(1,('통합 점검결과'!$B:$B=M$4)*('통합 점검결과'!$J:$J=$B67),0)),"")</f>
        <v/>
      </c>
      <c r="N67" s="92" t="str" cm="1">
        <f t="array" aca="1" ref="N67" ca="1">IFERROR(INDEX('통합 점검결과'!$M:$M,MATCH(1,('통합 점검결과'!$B:$B=N$4)*('통합 점검결과'!$J:$J=$B67),0)),"")</f>
        <v/>
      </c>
    </row>
    <row r="68" spans="1:14" ht="16.5" customHeight="1">
      <c r="A68" s="165" t="s">
        <v>742</v>
      </c>
      <c r="B68" s="94" t="s">
        <v>535</v>
      </c>
      <c r="C68" s="90" t="s">
        <v>536</v>
      </c>
      <c r="D68" s="77" t="s">
        <v>744</v>
      </c>
      <c r="E68" s="77">
        <v>2</v>
      </c>
      <c r="F68" s="77">
        <f ca="1">COUNTA($K68:INDIRECT(ADDRESS(ROW(),MATCH("",$4:$4,-1),1,1)))</f>
        <v>2</v>
      </c>
      <c r="G68" s="77">
        <f t="shared" ca="1" si="1"/>
        <v>2</v>
      </c>
      <c r="H68" s="77">
        <f ca="1">COUNTIF($K68:INDIRECT(ADDRESS(ROW(),MATCH("",$4:$4,-1),1,1)),H$5)</f>
        <v>0</v>
      </c>
      <c r="I68" s="77">
        <f ca="1">COUNTIF($K68:INDIRECT(ADDRESS(ROW(),MATCH("",$4:$4,-1),1,1)),I$5)</f>
        <v>0</v>
      </c>
      <c r="J68" s="77">
        <f ca="1">COUNTIF($K68:INDIRECT(ADDRESS(ROW(),MATCH("",$4:$4,-1),1,1)),"N/A")</f>
        <v>0</v>
      </c>
      <c r="K68" s="91"/>
      <c r="L68" s="91" t="str" cm="1">
        <f t="array" aca="1" ref="L68" ca="1">IFERROR(INDEX('통합 점검결과'!$M:$M,MATCH(1,('통합 점검결과'!$B:$B=L$4)*('통합 점검결과'!$J:$J=$B68),0)),"")</f>
        <v/>
      </c>
      <c r="M68" s="92" t="str" cm="1">
        <f t="array" aca="1" ref="M68" ca="1">IFERROR(INDEX('통합 점검결과'!$M:$M,MATCH(1,('통합 점검결과'!$B:$B=M$4)*('통합 점검결과'!$J:$J=$B68),0)),"")</f>
        <v/>
      </c>
      <c r="N68" s="92" t="str" cm="1">
        <f t="array" aca="1" ref="N68" ca="1">IFERROR(INDEX('통합 점검결과'!$M:$M,MATCH(1,('통합 점검결과'!$B:$B=N$4)*('통합 점검결과'!$J:$J=$B68),0)),"")</f>
        <v/>
      </c>
    </row>
    <row r="69" spans="1:14" ht="16.5" customHeight="1">
      <c r="A69" s="165" t="s">
        <v>742</v>
      </c>
      <c r="B69" s="94" t="s">
        <v>542</v>
      </c>
      <c r="C69" s="90" t="s">
        <v>543</v>
      </c>
      <c r="D69" s="77" t="s">
        <v>714</v>
      </c>
      <c r="E69" s="77">
        <v>5</v>
      </c>
      <c r="F69" s="77">
        <f ca="1">COUNTA($K69:INDIRECT(ADDRESS(ROW(),MATCH("",$4:$4,-1),1,1)))</f>
        <v>2</v>
      </c>
      <c r="G69" s="77">
        <f t="shared" ca="1" si="1"/>
        <v>2</v>
      </c>
      <c r="H69" s="77">
        <f ca="1">COUNTIF($K69:INDIRECT(ADDRESS(ROW(),MATCH("",$4:$4,-1),1,1)),H$5)</f>
        <v>0</v>
      </c>
      <c r="I69" s="77">
        <f ca="1">COUNTIF($K69:INDIRECT(ADDRESS(ROW(),MATCH("",$4:$4,-1),1,1)),I$5)</f>
        <v>0</v>
      </c>
      <c r="J69" s="77">
        <f ca="1">COUNTIF($K69:INDIRECT(ADDRESS(ROW(),MATCH("",$4:$4,-1),1,1)),"N/A")</f>
        <v>0</v>
      </c>
      <c r="K69" s="91"/>
      <c r="L69" s="91" t="str" cm="1">
        <f t="array" aca="1" ref="L69" ca="1">IFERROR(INDEX('통합 점검결과'!$M:$M,MATCH(1,('통합 점검결과'!$B:$B=L$4)*('통합 점검결과'!$J:$J=$B69),0)),"")</f>
        <v/>
      </c>
      <c r="M69" s="92" t="str" cm="1">
        <f t="array" aca="1" ref="M69" ca="1">IFERROR(INDEX('통합 점검결과'!$M:$M,MATCH(1,('통합 점검결과'!$B:$B=M$4)*('통합 점검결과'!$J:$J=$B69),0)),"")</f>
        <v/>
      </c>
      <c r="N69" s="92" t="str" cm="1">
        <f t="array" aca="1" ref="N69" ca="1">IFERROR(INDEX('통합 점검결과'!$M:$M,MATCH(1,('통합 점검결과'!$B:$B=N$4)*('통합 점검결과'!$J:$J=$B69),0)),"")</f>
        <v/>
      </c>
    </row>
    <row r="70" spans="1:14" ht="16.5" customHeight="1">
      <c r="A70" s="165" t="s">
        <v>742</v>
      </c>
      <c r="B70" s="94" t="s">
        <v>549</v>
      </c>
      <c r="C70" s="90" t="s">
        <v>550</v>
      </c>
      <c r="D70" s="77" t="s">
        <v>743</v>
      </c>
      <c r="E70" s="77">
        <v>3</v>
      </c>
      <c r="F70" s="77">
        <f ca="1">COUNTA($K70:INDIRECT(ADDRESS(ROW(),MATCH("",$4:$4,-1),1,1)))</f>
        <v>2</v>
      </c>
      <c r="G70" s="77">
        <f t="shared" ca="1" si="1"/>
        <v>2</v>
      </c>
      <c r="H70" s="77">
        <f ca="1">COUNTIF($K70:INDIRECT(ADDRESS(ROW(),MATCH("",$4:$4,-1),1,1)),H$5)</f>
        <v>0</v>
      </c>
      <c r="I70" s="77">
        <f ca="1">COUNTIF($K70:INDIRECT(ADDRESS(ROW(),MATCH("",$4:$4,-1),1,1)),I$5)</f>
        <v>0</v>
      </c>
      <c r="J70" s="77">
        <f ca="1">COUNTIF($K70:INDIRECT(ADDRESS(ROW(),MATCH("",$4:$4,-1),1,1)),"N/A")</f>
        <v>0</v>
      </c>
      <c r="K70" s="91"/>
      <c r="L70" s="91" t="str" cm="1">
        <f t="array" aca="1" ref="L70" ca="1">IFERROR(INDEX('통합 점검결과'!$M:$M,MATCH(1,('통합 점검결과'!$B:$B=L$4)*('통합 점검결과'!$J:$J=$B70),0)),"")</f>
        <v/>
      </c>
      <c r="M70" s="92" t="str" cm="1">
        <f t="array" aca="1" ref="M70" ca="1">IFERROR(INDEX('통합 점검결과'!$M:$M,MATCH(1,('통합 점검결과'!$B:$B=M$4)*('통합 점검결과'!$J:$J=$B70),0)),"")</f>
        <v/>
      </c>
      <c r="N70" s="92" t="str" cm="1">
        <f t="array" aca="1" ref="N70" ca="1">IFERROR(INDEX('통합 점검결과'!$M:$M,MATCH(1,('통합 점검결과'!$B:$B=N$4)*('통합 점검결과'!$J:$J=$B70),0)),"")</f>
        <v/>
      </c>
    </row>
    <row r="71" spans="1:14" ht="16.5" customHeight="1">
      <c r="A71" s="165" t="s">
        <v>742</v>
      </c>
      <c r="B71" s="94" t="s">
        <v>555</v>
      </c>
      <c r="C71" s="90" t="s">
        <v>556</v>
      </c>
      <c r="D71" s="77" t="s">
        <v>744</v>
      </c>
      <c r="E71" s="77">
        <v>2</v>
      </c>
      <c r="F71" s="77">
        <f ca="1">COUNTA($K71:INDIRECT(ADDRESS(ROW(),MATCH("",$4:$4,-1),1,1)))</f>
        <v>2</v>
      </c>
      <c r="G71" s="77">
        <f t="shared" ca="1" si="1"/>
        <v>2</v>
      </c>
      <c r="H71" s="77">
        <f ca="1">COUNTIF($K71:INDIRECT(ADDRESS(ROW(),MATCH("",$4:$4,-1),1,1)),H$5)</f>
        <v>0</v>
      </c>
      <c r="I71" s="77">
        <f ca="1">COUNTIF($K71:INDIRECT(ADDRESS(ROW(),MATCH("",$4:$4,-1),1,1)),I$5)</f>
        <v>0</v>
      </c>
      <c r="J71" s="77">
        <f ca="1">COUNTIF($K71:INDIRECT(ADDRESS(ROW(),MATCH("",$4:$4,-1),1,1)),"N/A")</f>
        <v>0</v>
      </c>
      <c r="K71" s="91"/>
      <c r="L71" s="91" t="str" cm="1">
        <f t="array" aca="1" ref="L71" ca="1">IFERROR(INDEX('통합 점검결과'!$M:$M,MATCH(1,('통합 점검결과'!$B:$B=L$4)*('통합 점검결과'!$J:$J=$B71),0)),"")</f>
        <v/>
      </c>
      <c r="M71" s="92" t="str" cm="1">
        <f t="array" aca="1" ref="M71" ca="1">IFERROR(INDEX('통합 점검결과'!$M:$M,MATCH(1,('통합 점검결과'!$B:$B=M$4)*('통합 점검결과'!$J:$J=$B71),0)),"")</f>
        <v/>
      </c>
      <c r="N71" s="92" t="str" cm="1">
        <f t="array" aca="1" ref="N71" ca="1">IFERROR(INDEX('통합 점검결과'!$M:$M,MATCH(1,('통합 점검결과'!$B:$B=N$4)*('통합 점검결과'!$J:$J=$B71),0)),"")</f>
        <v/>
      </c>
    </row>
    <row r="72" spans="1:14" ht="16.5" customHeight="1">
      <c r="A72" s="165" t="s">
        <v>742</v>
      </c>
      <c r="B72" s="94" t="s">
        <v>561</v>
      </c>
      <c r="C72" s="90" t="s">
        <v>562</v>
      </c>
      <c r="D72" s="77" t="s">
        <v>743</v>
      </c>
      <c r="E72" s="77">
        <v>3</v>
      </c>
      <c r="F72" s="77">
        <f ca="1">COUNTA($K72:INDIRECT(ADDRESS(ROW(),MATCH("",$4:$4,-1),1,1)))</f>
        <v>2</v>
      </c>
      <c r="G72" s="77">
        <f t="shared" ca="1" si="1"/>
        <v>2</v>
      </c>
      <c r="H72" s="77">
        <f ca="1">COUNTIF($K72:INDIRECT(ADDRESS(ROW(),MATCH("",$4:$4,-1),1,1)),H$5)</f>
        <v>0</v>
      </c>
      <c r="I72" s="77">
        <f ca="1">COUNTIF($K72:INDIRECT(ADDRESS(ROW(),MATCH("",$4:$4,-1),1,1)),I$5)</f>
        <v>0</v>
      </c>
      <c r="J72" s="77">
        <f ca="1">COUNTIF($K72:INDIRECT(ADDRESS(ROW(),MATCH("",$4:$4,-1),1,1)),"N/A")</f>
        <v>0</v>
      </c>
      <c r="K72" s="91"/>
      <c r="L72" s="91" t="str" cm="1">
        <f t="array" aca="1" ref="L72" ca="1">IFERROR(INDEX('통합 점검결과'!$M:$M,MATCH(1,('통합 점검결과'!$B:$B=L$4)*('통합 점검결과'!$J:$J=$B72),0)),"")</f>
        <v/>
      </c>
      <c r="M72" s="92" t="str" cm="1">
        <f t="array" aca="1" ref="M72" ca="1">IFERROR(INDEX('통합 점검결과'!$M:$M,MATCH(1,('통합 점검결과'!$B:$B=M$4)*('통합 점검결과'!$J:$J=$B72),0)),"")</f>
        <v/>
      </c>
      <c r="N72" s="92" t="str" cm="1">
        <f t="array" aca="1" ref="N72" ca="1">IFERROR(INDEX('통합 점검결과'!$M:$M,MATCH(1,('통합 점검결과'!$B:$B=N$4)*('통합 점검결과'!$J:$J=$B72),0)),"")</f>
        <v/>
      </c>
    </row>
    <row r="73" spans="1:14" ht="16.5" customHeight="1">
      <c r="A73" s="165" t="s">
        <v>742</v>
      </c>
      <c r="B73" s="94" t="s">
        <v>566</v>
      </c>
      <c r="C73" s="90" t="s">
        <v>567</v>
      </c>
      <c r="D73" s="77" t="s">
        <v>714</v>
      </c>
      <c r="E73" s="77">
        <v>4</v>
      </c>
      <c r="F73" s="77">
        <f ca="1">COUNTA($K73:INDIRECT(ADDRESS(ROW(),MATCH("",$4:$4,-1),1,1)))</f>
        <v>2</v>
      </c>
      <c r="G73" s="77">
        <f t="shared" ca="1" si="1"/>
        <v>2</v>
      </c>
      <c r="H73" s="77">
        <f ca="1">COUNTIF($K73:INDIRECT(ADDRESS(ROW(),MATCH("",$4:$4,-1),1,1)),H$5)</f>
        <v>0</v>
      </c>
      <c r="I73" s="77">
        <f ca="1">COUNTIF($K73:INDIRECT(ADDRESS(ROW(),MATCH("",$4:$4,-1),1,1)),I$5)</f>
        <v>0</v>
      </c>
      <c r="J73" s="77">
        <f ca="1">COUNTIF($K73:INDIRECT(ADDRESS(ROW(),MATCH("",$4:$4,-1),1,1)),"N/A")</f>
        <v>0</v>
      </c>
      <c r="K73" s="91"/>
      <c r="L73" s="91" t="str" cm="1">
        <f t="array" aca="1" ref="L73" ca="1">IFERROR(INDEX('통합 점검결과'!$M:$M,MATCH(1,('통합 점검결과'!$B:$B=L$4)*('통합 점검결과'!$J:$J=$B73),0)),"")</f>
        <v/>
      </c>
      <c r="M73" s="92" t="str" cm="1">
        <f t="array" aca="1" ref="M73" ca="1">IFERROR(INDEX('통합 점검결과'!$M:$M,MATCH(1,('통합 점검결과'!$B:$B=M$4)*('통합 점검결과'!$J:$J=$B73),0)),"")</f>
        <v/>
      </c>
      <c r="N73" s="92" t="str" cm="1">
        <f t="array" aca="1" ref="N73" ca="1">IFERROR(INDEX('통합 점검결과'!$M:$M,MATCH(1,('통합 점검결과'!$B:$B=N$4)*('통합 점검결과'!$J:$J=$B73),0)),"")</f>
        <v/>
      </c>
    </row>
    <row r="74" spans="1:14" ht="16.5" customHeight="1">
      <c r="A74" s="165" t="s">
        <v>742</v>
      </c>
      <c r="B74" s="94" t="s">
        <v>573</v>
      </c>
      <c r="C74" s="90" t="s">
        <v>866</v>
      </c>
      <c r="D74" s="77" t="s">
        <v>743</v>
      </c>
      <c r="E74" s="77">
        <v>3</v>
      </c>
      <c r="F74" s="77">
        <f ca="1">COUNTA($K74:INDIRECT(ADDRESS(ROW(),MATCH("",$4:$4,-1),1,1)))</f>
        <v>2</v>
      </c>
      <c r="G74" s="77">
        <f t="shared" ca="1" si="1"/>
        <v>2</v>
      </c>
      <c r="H74" s="77">
        <f ca="1">COUNTIF($K74:INDIRECT(ADDRESS(ROW(),MATCH("",$4:$4,-1),1,1)),H$5)</f>
        <v>0</v>
      </c>
      <c r="I74" s="77">
        <f ca="1">COUNTIF($K74:INDIRECT(ADDRESS(ROW(),MATCH("",$4:$4,-1),1,1)),I$5)</f>
        <v>0</v>
      </c>
      <c r="J74" s="77">
        <f ca="1">COUNTIF($K74:INDIRECT(ADDRESS(ROW(),MATCH("",$4:$4,-1),1,1)),"N/A")</f>
        <v>0</v>
      </c>
      <c r="K74" s="91"/>
      <c r="L74" s="91" t="str" cm="1">
        <f t="array" aca="1" ref="L74" ca="1">IFERROR(INDEX('통합 점검결과'!$M:$M,MATCH(1,('통합 점검결과'!$B:$B=L$4)*('통합 점검결과'!$J:$J=$B74),0)),"")</f>
        <v/>
      </c>
      <c r="M74" s="92" t="str" cm="1">
        <f t="array" aca="1" ref="M74" ca="1">IFERROR(INDEX('통합 점검결과'!$M:$M,MATCH(1,('통합 점검결과'!$B:$B=M$4)*('통합 점검결과'!$J:$J=$B74),0)),"")</f>
        <v/>
      </c>
      <c r="N74" s="92" t="str" cm="1">
        <f t="array" aca="1" ref="N74" ca="1">IFERROR(INDEX('통합 점검결과'!$M:$M,MATCH(1,('통합 점검결과'!$B:$B=N$4)*('통합 점검결과'!$J:$J=$B74),0)),"")</f>
        <v/>
      </c>
    </row>
    <row r="75" spans="1:14" ht="16.5" customHeight="1">
      <c r="A75" s="165" t="s">
        <v>742</v>
      </c>
      <c r="B75" s="94" t="s">
        <v>576</v>
      </c>
      <c r="C75" s="90" t="s">
        <v>577</v>
      </c>
      <c r="D75" s="77" t="s">
        <v>743</v>
      </c>
      <c r="E75" s="77">
        <v>3</v>
      </c>
      <c r="F75" s="77">
        <f ca="1">COUNTA($K75:INDIRECT(ADDRESS(ROW(),MATCH("",$4:$4,-1),1,1)))</f>
        <v>2</v>
      </c>
      <c r="G75" s="77">
        <f t="shared" ca="1" si="1"/>
        <v>2</v>
      </c>
      <c r="H75" s="77">
        <f ca="1">COUNTIF($K75:INDIRECT(ADDRESS(ROW(),MATCH("",$4:$4,-1),1,1)),H$5)</f>
        <v>0</v>
      </c>
      <c r="I75" s="77">
        <f ca="1">COUNTIF($K75:INDIRECT(ADDRESS(ROW(),MATCH("",$4:$4,-1),1,1)),I$5)</f>
        <v>0</v>
      </c>
      <c r="J75" s="77">
        <f ca="1">COUNTIF($K75:INDIRECT(ADDRESS(ROW(),MATCH("",$4:$4,-1),1,1)),"N/A")</f>
        <v>0</v>
      </c>
      <c r="K75" s="91"/>
      <c r="L75" s="91" t="str" cm="1">
        <f t="array" aca="1" ref="L75" ca="1">IFERROR(INDEX('통합 점검결과'!$M:$M,MATCH(1,('통합 점검결과'!$B:$B=L$4)*('통합 점검결과'!$J:$J=$B75),0)),"")</f>
        <v/>
      </c>
      <c r="M75" s="92" t="str" cm="1">
        <f t="array" aca="1" ref="M75" ca="1">IFERROR(INDEX('통합 점검결과'!$M:$M,MATCH(1,('통합 점검결과'!$B:$B=M$4)*('통합 점검결과'!$J:$J=$B75),0)),"")</f>
        <v/>
      </c>
      <c r="N75" s="92" t="str" cm="1">
        <f t="array" aca="1" ref="N75" ca="1">IFERROR(INDEX('통합 점검결과'!$M:$M,MATCH(1,('통합 점검결과'!$B:$B=N$4)*('통합 점검결과'!$J:$J=$B75),0)),"")</f>
        <v/>
      </c>
    </row>
    <row r="76" spans="1:14" ht="16.5" customHeight="1">
      <c r="A76" s="165" t="s">
        <v>742</v>
      </c>
      <c r="B76" s="94" t="s">
        <v>581</v>
      </c>
      <c r="C76" s="90" t="s">
        <v>582</v>
      </c>
      <c r="D76" s="77" t="s">
        <v>714</v>
      </c>
      <c r="E76" s="77">
        <v>4</v>
      </c>
      <c r="F76" s="77">
        <f ca="1">COUNTA($K76:INDIRECT(ADDRESS(ROW(),MATCH("",$4:$4,-1),1,1)))</f>
        <v>2</v>
      </c>
      <c r="G76" s="77">
        <f t="shared" ca="1" si="1"/>
        <v>2</v>
      </c>
      <c r="H76" s="77">
        <f ca="1">COUNTIF($K76:INDIRECT(ADDRESS(ROW(),MATCH("",$4:$4,-1),1,1)),H$5)</f>
        <v>0</v>
      </c>
      <c r="I76" s="77">
        <f ca="1">COUNTIF($K76:INDIRECT(ADDRESS(ROW(),MATCH("",$4:$4,-1),1,1)),I$5)</f>
        <v>0</v>
      </c>
      <c r="J76" s="77">
        <f ca="1">COUNTIF($K76:INDIRECT(ADDRESS(ROW(),MATCH("",$4:$4,-1),1,1)),"N/A")</f>
        <v>0</v>
      </c>
      <c r="K76" s="91"/>
      <c r="L76" s="91" t="str" cm="1">
        <f t="array" aca="1" ref="L76" ca="1">IFERROR(INDEX('통합 점검결과'!$M:$M,MATCH(1,('통합 점검결과'!$B:$B=L$4)*('통합 점검결과'!$J:$J=$B76),0)),"")</f>
        <v/>
      </c>
      <c r="M76" s="92" t="str" cm="1">
        <f t="array" aca="1" ref="M76" ca="1">IFERROR(INDEX('통합 점검결과'!$M:$M,MATCH(1,('통합 점검결과'!$B:$B=M$4)*('통합 점검결과'!$J:$J=$B76),0)),"")</f>
        <v/>
      </c>
      <c r="N76" s="92" t="str" cm="1">
        <f t="array" aca="1" ref="N76" ca="1">IFERROR(INDEX('통합 점검결과'!$M:$M,MATCH(1,('통합 점검결과'!$B:$B=N$4)*('통합 점검결과'!$J:$J=$B76),0)),"")</f>
        <v/>
      </c>
    </row>
    <row r="77" spans="1:14" ht="16.5" customHeight="1">
      <c r="A77" s="165" t="s">
        <v>745</v>
      </c>
      <c r="B77" s="94" t="s">
        <v>588</v>
      </c>
      <c r="C77" s="90" t="s">
        <v>589</v>
      </c>
      <c r="D77" s="77" t="s">
        <v>743</v>
      </c>
      <c r="E77" s="77">
        <v>3</v>
      </c>
      <c r="F77" s="77">
        <f ca="1">COUNTA($K77:INDIRECT(ADDRESS(ROW(),MATCH("",$4:$4,-1),1,1)))</f>
        <v>2</v>
      </c>
      <c r="G77" s="77">
        <f t="shared" ca="1" si="1"/>
        <v>2</v>
      </c>
      <c r="H77" s="77">
        <f ca="1">COUNTIF($K77:INDIRECT(ADDRESS(ROW(),MATCH("",$4:$4,-1),1,1)),H$5)</f>
        <v>0</v>
      </c>
      <c r="I77" s="77">
        <f ca="1">COUNTIF($K77:INDIRECT(ADDRESS(ROW(),MATCH("",$4:$4,-1),1,1)),I$5)</f>
        <v>0</v>
      </c>
      <c r="J77" s="77">
        <f ca="1">COUNTIF($K77:INDIRECT(ADDRESS(ROW(),MATCH("",$4:$4,-1),1,1)),"N/A")</f>
        <v>0</v>
      </c>
      <c r="K77" s="91"/>
      <c r="L77" s="91" t="str" cm="1">
        <f t="array" aca="1" ref="L77" ca="1">IFERROR(INDEX('통합 점검결과'!$M:$M,MATCH(1,('통합 점검결과'!$B:$B=L$4)*('통합 점검결과'!$J:$J=$B77),0)),"")</f>
        <v/>
      </c>
      <c r="M77" s="92" t="str" cm="1">
        <f t="array" aca="1" ref="M77" ca="1">IFERROR(INDEX('통합 점검결과'!$M:$M,MATCH(1,('통합 점검결과'!$B:$B=M$4)*('통합 점검결과'!$J:$J=$B77),0)),"")</f>
        <v/>
      </c>
      <c r="N77" s="92" t="str" cm="1">
        <f t="array" aca="1" ref="N77" ca="1">IFERROR(INDEX('통합 점검결과'!$M:$M,MATCH(1,('통합 점검결과'!$B:$B=N$4)*('통합 점검결과'!$J:$J=$B77),0)),"")</f>
        <v/>
      </c>
    </row>
    <row r="78" spans="1:14" ht="16.5" customHeight="1">
      <c r="A78" s="165" t="s">
        <v>742</v>
      </c>
      <c r="B78" s="94" t="s">
        <v>595</v>
      </c>
      <c r="C78" s="90" t="s">
        <v>596</v>
      </c>
      <c r="D78" s="77" t="s">
        <v>743</v>
      </c>
      <c r="E78" s="77">
        <v>3</v>
      </c>
      <c r="F78" s="77">
        <f ca="1">COUNTA($K78:INDIRECT(ADDRESS(ROW(),MATCH("",$4:$4,-1),1,1)))</f>
        <v>2</v>
      </c>
      <c r="G78" s="77">
        <f t="shared" ca="1" si="1"/>
        <v>2</v>
      </c>
      <c r="H78" s="77">
        <f ca="1">COUNTIF($K78:INDIRECT(ADDRESS(ROW(),MATCH("",$4:$4,-1),1,1)),H$5)</f>
        <v>0</v>
      </c>
      <c r="I78" s="77">
        <f ca="1">COUNTIF($K78:INDIRECT(ADDRESS(ROW(),MATCH("",$4:$4,-1),1,1)),I$5)</f>
        <v>0</v>
      </c>
      <c r="J78" s="77">
        <f ca="1">COUNTIF($K78:INDIRECT(ADDRESS(ROW(),MATCH("",$4:$4,-1),1,1)),"N/A")</f>
        <v>0</v>
      </c>
      <c r="K78" s="91"/>
      <c r="L78" s="91" t="str" cm="1">
        <f t="array" aca="1" ref="L78" ca="1">IFERROR(INDEX('통합 점검결과'!$M:$M,MATCH(1,('통합 점검결과'!$B:$B=L$4)*('통합 점검결과'!$J:$J=$B78),0)),"")</f>
        <v/>
      </c>
      <c r="M78" s="92" t="str" cm="1">
        <f t="array" aca="1" ref="M78" ca="1">IFERROR(INDEX('통합 점검결과'!$M:$M,MATCH(1,('통합 점검결과'!$B:$B=M$4)*('통합 점검결과'!$J:$J=$B78),0)),"")</f>
        <v/>
      </c>
      <c r="N78" s="92" t="str" cm="1">
        <f t="array" aca="1" ref="N78" ca="1">IFERROR(INDEX('통합 점검결과'!$M:$M,MATCH(1,('통합 점검결과'!$B:$B=N$4)*('통합 점검결과'!$J:$J=$B78),0)),"")</f>
        <v/>
      </c>
    </row>
    <row r="79" spans="1:14" ht="16.5" customHeight="1">
      <c r="A79" s="165" t="s">
        <v>742</v>
      </c>
      <c r="B79" s="94" t="s">
        <v>602</v>
      </c>
      <c r="C79" s="90" t="s">
        <v>603</v>
      </c>
      <c r="D79" s="77" t="s">
        <v>743</v>
      </c>
      <c r="E79" s="77">
        <v>3</v>
      </c>
      <c r="F79" s="77">
        <f ca="1">COUNTA($K79:INDIRECT(ADDRESS(ROW(),MATCH("",$4:$4,-1),1,1)))</f>
        <v>2</v>
      </c>
      <c r="G79" s="77">
        <f t="shared" ca="1" si="1"/>
        <v>2</v>
      </c>
      <c r="H79" s="77">
        <f ca="1">COUNTIF($K79:INDIRECT(ADDRESS(ROW(),MATCH("",$4:$4,-1),1,1)),H$5)</f>
        <v>0</v>
      </c>
      <c r="I79" s="77">
        <f ca="1">COUNTIF($K79:INDIRECT(ADDRESS(ROW(),MATCH("",$4:$4,-1),1,1)),I$5)</f>
        <v>0</v>
      </c>
      <c r="J79" s="77">
        <f ca="1">COUNTIF($K79:INDIRECT(ADDRESS(ROW(),MATCH("",$4:$4,-1),1,1)),"N/A")</f>
        <v>0</v>
      </c>
      <c r="K79" s="91"/>
      <c r="L79" s="91" t="str" cm="1">
        <f t="array" aca="1" ref="L79" ca="1">IFERROR(INDEX('통합 점검결과'!$M:$M,MATCH(1,('통합 점검결과'!$B:$B=L$4)*('통합 점검결과'!$J:$J=$B79),0)),"")</f>
        <v/>
      </c>
      <c r="M79" s="92" t="str" cm="1">
        <f t="array" aca="1" ref="M79" ca="1">IFERROR(INDEX('통합 점검결과'!$M:$M,MATCH(1,('통합 점검결과'!$B:$B=M$4)*('통합 점검결과'!$J:$J=$B79),0)),"")</f>
        <v/>
      </c>
      <c r="N79" s="92" t="str" cm="1">
        <f t="array" aca="1" ref="N79" ca="1">IFERROR(INDEX('통합 점검결과'!$M:$M,MATCH(1,('통합 점검결과'!$B:$B=N$4)*('통합 점검결과'!$J:$J=$B79),0)),"")</f>
        <v/>
      </c>
    </row>
    <row r="80" spans="1:14" ht="16.5" customHeight="1">
      <c r="A80" s="165" t="s">
        <v>742</v>
      </c>
      <c r="B80" s="94" t="s">
        <v>609</v>
      </c>
      <c r="C80" s="90" t="s">
        <v>610</v>
      </c>
      <c r="D80" s="77" t="s">
        <v>743</v>
      </c>
      <c r="E80" s="77">
        <v>3</v>
      </c>
      <c r="F80" s="77">
        <f ca="1">COUNTA($K80:INDIRECT(ADDRESS(ROW(),MATCH("",$4:$4,-1),1,1)))</f>
        <v>2</v>
      </c>
      <c r="G80" s="77">
        <f t="shared" ca="1" si="1"/>
        <v>2</v>
      </c>
      <c r="H80" s="77">
        <f ca="1">COUNTIF($K80:INDIRECT(ADDRESS(ROW(),MATCH("",$4:$4,-1),1,1)),H$5)</f>
        <v>0</v>
      </c>
      <c r="I80" s="77">
        <f ca="1">COUNTIF($K80:INDIRECT(ADDRESS(ROW(),MATCH("",$4:$4,-1),1,1)),I$5)</f>
        <v>0</v>
      </c>
      <c r="J80" s="77">
        <f ca="1">COUNTIF($K80:INDIRECT(ADDRESS(ROW(),MATCH("",$4:$4,-1),1,1)),"N/A")</f>
        <v>0</v>
      </c>
      <c r="K80" s="91"/>
      <c r="L80" s="91" t="str" cm="1">
        <f t="array" aca="1" ref="L80" ca="1">IFERROR(INDEX('통합 점검결과'!$M:$M,MATCH(1,('통합 점검결과'!$B:$B=L$4)*('통합 점검결과'!$J:$J=$B80),0)),"")</f>
        <v/>
      </c>
      <c r="M80" s="92" t="str" cm="1">
        <f t="array" aca="1" ref="M80" ca="1">IFERROR(INDEX('통합 점검결과'!$M:$M,MATCH(1,('통합 점검결과'!$B:$B=M$4)*('통합 점검결과'!$J:$J=$B80),0)),"")</f>
        <v/>
      </c>
      <c r="N80" s="92" t="str" cm="1">
        <f t="array" aca="1" ref="N80" ca="1">IFERROR(INDEX('통합 점검결과'!$M:$M,MATCH(1,('통합 점검결과'!$B:$B=N$4)*('통합 점검결과'!$J:$J=$B80),0)),"")</f>
        <v/>
      </c>
    </row>
    <row r="81" spans="1:14" ht="16.5" customHeight="1">
      <c r="A81" s="165" t="s">
        <v>742</v>
      </c>
      <c r="B81" s="94" t="s">
        <v>615</v>
      </c>
      <c r="C81" s="90" t="s">
        <v>616</v>
      </c>
      <c r="D81" s="77" t="s">
        <v>744</v>
      </c>
      <c r="E81" s="77">
        <v>1</v>
      </c>
      <c r="F81" s="77">
        <f ca="1">COUNTA($K81:INDIRECT(ADDRESS(ROW(),MATCH("",$4:$4,-1),1,1)))</f>
        <v>2</v>
      </c>
      <c r="G81" s="77">
        <f t="shared" ca="1" si="1"/>
        <v>2</v>
      </c>
      <c r="H81" s="77">
        <f ca="1">COUNTIF($K81:INDIRECT(ADDRESS(ROW(),MATCH("",$4:$4,-1),1,1)),H$5)</f>
        <v>0</v>
      </c>
      <c r="I81" s="77">
        <f ca="1">COUNTIF($K81:INDIRECT(ADDRESS(ROW(),MATCH("",$4:$4,-1),1,1)),I$5)</f>
        <v>0</v>
      </c>
      <c r="J81" s="77">
        <f ca="1">COUNTIF($K81:INDIRECT(ADDRESS(ROW(),MATCH("",$4:$4,-1),1,1)),"N/A")</f>
        <v>0</v>
      </c>
      <c r="K81" s="91"/>
      <c r="L81" s="91" t="str" cm="1">
        <f t="array" aca="1" ref="L81" ca="1">IFERROR(INDEX('통합 점검결과'!$M:$M,MATCH(1,('통합 점검결과'!$B:$B=L$4)*('통합 점검결과'!$J:$J=$B81),0)),"")</f>
        <v/>
      </c>
      <c r="M81" s="92" t="str" cm="1">
        <f t="array" aca="1" ref="M81" ca="1">IFERROR(INDEX('통합 점검결과'!$M:$M,MATCH(1,('통합 점검결과'!$B:$B=M$4)*('통합 점검결과'!$J:$J=$B81),0)),"")</f>
        <v/>
      </c>
      <c r="N81" s="92" t="str" cm="1">
        <f t="array" aca="1" ref="N81" ca="1">IFERROR(INDEX('통합 점검결과'!$M:$M,MATCH(1,('통합 점검결과'!$B:$B=N$4)*('통합 점검결과'!$J:$J=$B81),0)),"")</f>
        <v/>
      </c>
    </row>
    <row r="82" spans="1:14" ht="16.5" customHeight="1">
      <c r="A82" s="165" t="s">
        <v>742</v>
      </c>
      <c r="B82" s="94" t="s">
        <v>622</v>
      </c>
      <c r="C82" s="90" t="s">
        <v>623</v>
      </c>
      <c r="D82" s="77" t="s">
        <v>744</v>
      </c>
      <c r="E82" s="77">
        <v>1</v>
      </c>
      <c r="F82" s="77">
        <f ca="1">COUNTA($K82:INDIRECT(ADDRESS(ROW(),MATCH("",$4:$4,-1),1,1)))</f>
        <v>2</v>
      </c>
      <c r="G82" s="77">
        <f t="shared" ca="1" si="1"/>
        <v>2</v>
      </c>
      <c r="H82" s="77">
        <f ca="1">COUNTIF($K82:INDIRECT(ADDRESS(ROW(),MATCH("",$4:$4,-1),1,1)),H$5)</f>
        <v>0</v>
      </c>
      <c r="I82" s="77">
        <f ca="1">COUNTIF($K82:INDIRECT(ADDRESS(ROW(),MATCH("",$4:$4,-1),1,1)),I$5)</f>
        <v>0</v>
      </c>
      <c r="J82" s="77">
        <f ca="1">COUNTIF($K82:INDIRECT(ADDRESS(ROW(),MATCH("",$4:$4,-1),1,1)),"N/A")</f>
        <v>0</v>
      </c>
      <c r="K82" s="91"/>
      <c r="L82" s="91" t="str" cm="1">
        <f t="array" aca="1" ref="L82" ca="1">IFERROR(INDEX('통합 점검결과'!$M:$M,MATCH(1,('통합 점검결과'!$B:$B=L$4)*('통합 점검결과'!$J:$J=$B82),0)),"")</f>
        <v/>
      </c>
      <c r="M82" s="92" t="str" cm="1">
        <f t="array" aca="1" ref="M82" ca="1">IFERROR(INDEX('통합 점검결과'!$M:$M,MATCH(1,('통합 점검결과'!$B:$B=M$4)*('통합 점검결과'!$J:$J=$B82),0)),"")</f>
        <v/>
      </c>
      <c r="N82" s="92" t="str" cm="1">
        <f t="array" aca="1" ref="N82" ca="1">IFERROR(INDEX('통합 점검결과'!$M:$M,MATCH(1,('통합 점검결과'!$B:$B=N$4)*('통합 점검결과'!$J:$J=$B82),0)),"")</f>
        <v/>
      </c>
    </row>
    <row r="83" spans="1:14" ht="16.5" customHeight="1">
      <c r="A83" s="165" t="s">
        <v>742</v>
      </c>
      <c r="B83" s="94" t="s">
        <v>628</v>
      </c>
      <c r="C83" s="90" t="s">
        <v>629</v>
      </c>
      <c r="D83" s="77" t="s">
        <v>744</v>
      </c>
      <c r="E83" s="77">
        <v>1</v>
      </c>
      <c r="F83" s="77">
        <f ca="1">COUNTA($K83:INDIRECT(ADDRESS(ROW(),MATCH("",$4:$4,-1),1,1)))</f>
        <v>2</v>
      </c>
      <c r="G83" s="77">
        <f t="shared" ca="1" si="1"/>
        <v>2</v>
      </c>
      <c r="H83" s="77">
        <f ca="1">COUNTIF($K83:INDIRECT(ADDRESS(ROW(),MATCH("",$4:$4,-1),1,1)),H$5)</f>
        <v>0</v>
      </c>
      <c r="I83" s="77">
        <f ca="1">COUNTIF($K83:INDIRECT(ADDRESS(ROW(),MATCH("",$4:$4,-1),1,1)),I$5)</f>
        <v>0</v>
      </c>
      <c r="J83" s="77">
        <f ca="1">COUNTIF($K83:INDIRECT(ADDRESS(ROW(),MATCH("",$4:$4,-1),1,1)),"N/A")</f>
        <v>0</v>
      </c>
      <c r="K83" s="91"/>
      <c r="L83" s="91" t="str" cm="1">
        <f t="array" aca="1" ref="L83" ca="1">IFERROR(INDEX('통합 점검결과'!$M:$M,MATCH(1,('통합 점검결과'!$B:$B=L$4)*('통합 점검결과'!$J:$J=$B83),0)),"")</f>
        <v/>
      </c>
      <c r="M83" s="92" t="str" cm="1">
        <f t="array" aca="1" ref="M83" ca="1">IFERROR(INDEX('통합 점검결과'!$M:$M,MATCH(1,('통합 점검결과'!$B:$B=M$4)*('통합 점검결과'!$J:$J=$B83),0)),"")</f>
        <v/>
      </c>
      <c r="N83" s="92" t="str" cm="1">
        <f t="array" aca="1" ref="N83" ca="1">IFERROR(INDEX('통합 점검결과'!$M:$M,MATCH(1,('통합 점검결과'!$B:$B=N$4)*('통합 점검결과'!$J:$J=$B83),0)),"")</f>
        <v/>
      </c>
    </row>
    <row r="84" spans="1:14" ht="16.5" customHeight="1">
      <c r="A84" s="165" t="s">
        <v>742</v>
      </c>
      <c r="B84" s="94" t="s">
        <v>854</v>
      </c>
      <c r="C84" s="90" t="s">
        <v>636</v>
      </c>
      <c r="D84" s="77" t="s">
        <v>185</v>
      </c>
      <c r="E84" s="77">
        <v>1</v>
      </c>
      <c r="F84" s="77">
        <f ca="1">COUNTA($K84:INDIRECT(ADDRESS(ROW(),MATCH("",$4:$4,-1),1,1)))</f>
        <v>2</v>
      </c>
      <c r="G84" s="77">
        <f t="shared" ca="1" si="1"/>
        <v>2</v>
      </c>
      <c r="H84" s="77">
        <f ca="1">COUNTIF($K84:INDIRECT(ADDRESS(ROW(),MATCH("",$4:$4,-1),1,1)),H$5)</f>
        <v>0</v>
      </c>
      <c r="I84" s="77">
        <f ca="1">COUNTIF($K84:INDIRECT(ADDRESS(ROW(),MATCH("",$4:$4,-1),1,1)),I$5)</f>
        <v>0</v>
      </c>
      <c r="J84" s="77">
        <f ca="1">COUNTIF($K84:INDIRECT(ADDRESS(ROW(),MATCH("",$4:$4,-1),1,1)),"N/A")</f>
        <v>0</v>
      </c>
      <c r="K84" s="91"/>
      <c r="L84" s="91" t="str" cm="1">
        <f t="array" aca="1" ref="L84" ca="1">IFERROR(INDEX('통합 점검결과'!$M:$M,MATCH(1,('통합 점검결과'!$B:$B=L$4)*('통합 점검결과'!$J:$J=$B84),0)),"")</f>
        <v/>
      </c>
      <c r="M84" s="92" t="str" cm="1">
        <f t="array" aca="1" ref="M84" ca="1">IFERROR(INDEX('통합 점검결과'!$M:$M,MATCH(1,('통합 점검결과'!$B:$B=M$4)*('통합 점검결과'!$J:$J=$B84),0)),"")</f>
        <v/>
      </c>
      <c r="N84" s="92" t="str" cm="1">
        <f t="array" aca="1" ref="N84" ca="1">IFERROR(INDEX('통합 점검결과'!$M:$M,MATCH(1,('통합 점검결과'!$B:$B=N$4)*('통합 점검결과'!$J:$J=$B84),0)),"")</f>
        <v/>
      </c>
    </row>
    <row r="85" spans="1:14" ht="16.5" customHeight="1">
      <c r="A85" s="165" t="s">
        <v>742</v>
      </c>
      <c r="B85" s="94" t="s">
        <v>855</v>
      </c>
      <c r="C85" s="90" t="s">
        <v>642</v>
      </c>
      <c r="D85" s="77" t="s">
        <v>111</v>
      </c>
      <c r="E85" s="77">
        <v>3</v>
      </c>
      <c r="F85" s="77">
        <f ca="1">COUNTA($K85:INDIRECT(ADDRESS(ROW(),MATCH("",$4:$4,-1),1,1)))</f>
        <v>2</v>
      </c>
      <c r="G85" s="77">
        <f t="shared" ca="1" si="1"/>
        <v>2</v>
      </c>
      <c r="H85" s="77">
        <f ca="1">COUNTIF($K85:INDIRECT(ADDRESS(ROW(),MATCH("",$4:$4,-1),1,1)),H$5)</f>
        <v>0</v>
      </c>
      <c r="I85" s="77">
        <f ca="1">COUNTIF($K85:INDIRECT(ADDRESS(ROW(),MATCH("",$4:$4,-1),1,1)),I$5)</f>
        <v>0</v>
      </c>
      <c r="J85" s="77">
        <f ca="1">COUNTIF($K85:INDIRECT(ADDRESS(ROW(),MATCH("",$4:$4,-1),1,1)),"N/A")</f>
        <v>0</v>
      </c>
      <c r="K85" s="91"/>
      <c r="L85" s="91" t="str" cm="1">
        <f t="array" aca="1" ref="L85" ca="1">IFERROR(INDEX('통합 점검결과'!$M:$M,MATCH(1,('통합 점검결과'!$B:$B=L$4)*('통합 점검결과'!$J:$J=$B85),0)),"")</f>
        <v/>
      </c>
      <c r="M85" s="92" t="str" cm="1">
        <f t="array" aca="1" ref="M85" ca="1">IFERROR(INDEX('통합 점검결과'!$M:$M,MATCH(1,('통합 점검결과'!$B:$B=M$4)*('통합 점검결과'!$J:$J=$B85),0)),"")</f>
        <v/>
      </c>
      <c r="N85" s="92" t="str" cm="1">
        <f t="array" aca="1" ref="N85" ca="1">IFERROR(INDEX('통합 점검결과'!$M:$M,MATCH(1,('통합 점검결과'!$B:$B=N$4)*('통합 점검결과'!$J:$J=$B85),0)),"")</f>
        <v/>
      </c>
    </row>
    <row r="86" spans="1:14" ht="16.5" customHeight="1">
      <c r="A86" s="165" t="s">
        <v>716</v>
      </c>
      <c r="B86" s="94" t="s">
        <v>857</v>
      </c>
      <c r="C86" s="90" t="s">
        <v>648</v>
      </c>
      <c r="D86" s="77" t="s">
        <v>111</v>
      </c>
      <c r="E86" s="77">
        <v>3</v>
      </c>
      <c r="F86" s="77">
        <f ca="1">COUNTA($K86:INDIRECT(ADDRESS(ROW(),MATCH("",$4:$4,-1),1,1)))</f>
        <v>2</v>
      </c>
      <c r="G86" s="77">
        <f t="shared" ca="1" si="1"/>
        <v>2</v>
      </c>
      <c r="H86" s="77">
        <f ca="1">COUNTIF($K86:INDIRECT(ADDRESS(ROW(),MATCH("",$4:$4,-1),1,1)),H$5)</f>
        <v>0</v>
      </c>
      <c r="I86" s="77">
        <f ca="1">COUNTIF($K86:INDIRECT(ADDRESS(ROW(),MATCH("",$4:$4,-1),1,1)),I$5)</f>
        <v>0</v>
      </c>
      <c r="J86" s="77">
        <f ca="1">COUNTIF($K86:INDIRECT(ADDRESS(ROW(),MATCH("",$4:$4,-1),1,1)),"N/A")</f>
        <v>0</v>
      </c>
      <c r="K86" s="91"/>
      <c r="L86" s="91" t="str" cm="1">
        <f t="array" aca="1" ref="L86" ca="1">IFERROR(INDEX('통합 점검결과'!$M:$M,MATCH(1,('통합 점검결과'!$B:$B=L$4)*('통합 점검결과'!$J:$J=$B86),0)),"")</f>
        <v/>
      </c>
      <c r="M86" s="92" t="str" cm="1">
        <f t="array" aca="1" ref="M86" ca="1">IFERROR(INDEX('통합 점검결과'!$M:$M,MATCH(1,('통합 점검결과'!$B:$B=M$4)*('통합 점검결과'!$J:$J=$B86),0)),"")</f>
        <v/>
      </c>
      <c r="N86" s="92" t="str" cm="1">
        <f t="array" aca="1" ref="N86" ca="1">IFERROR(INDEX('통합 점검결과'!$M:$M,MATCH(1,('통합 점검결과'!$B:$B=N$4)*('통합 점검결과'!$J:$J=$B86),0)),"")</f>
        <v/>
      </c>
    </row>
    <row r="87" spans="1:14" ht="16.5" customHeight="1">
      <c r="A87" s="165" t="s">
        <v>742</v>
      </c>
      <c r="B87" s="94" t="s">
        <v>859</v>
      </c>
      <c r="C87" s="90" t="s">
        <v>655</v>
      </c>
      <c r="D87" s="77" t="s">
        <v>111</v>
      </c>
      <c r="E87" s="77">
        <v>3</v>
      </c>
      <c r="F87" s="77">
        <f ca="1">COUNTA($K87:INDIRECT(ADDRESS(ROW(),MATCH("",$4:$4,-1),1,1)))</f>
        <v>2</v>
      </c>
      <c r="G87" s="77">
        <f t="shared" ca="1" si="1"/>
        <v>2</v>
      </c>
      <c r="H87" s="77">
        <f ca="1">COUNTIF($K87:INDIRECT(ADDRESS(ROW(),MATCH("",$4:$4,-1),1,1)),H$5)</f>
        <v>0</v>
      </c>
      <c r="I87" s="77">
        <f ca="1">COUNTIF($K87:INDIRECT(ADDRESS(ROW(),MATCH("",$4:$4,-1),1,1)),I$5)</f>
        <v>0</v>
      </c>
      <c r="J87" s="77">
        <f ca="1">COUNTIF($K87:INDIRECT(ADDRESS(ROW(),MATCH("",$4:$4,-1),1,1)),"N/A")</f>
        <v>0</v>
      </c>
      <c r="K87" s="91"/>
      <c r="L87" s="91" t="str" cm="1">
        <f t="array" aca="1" ref="L87" ca="1">IFERROR(INDEX('통합 점검결과'!$M:$M,MATCH(1,('통합 점검결과'!$B:$B=L$4)*('통합 점검결과'!$J:$J=$B87),0)),"")</f>
        <v/>
      </c>
      <c r="M87" s="92" t="str" cm="1">
        <f t="array" aca="1" ref="M87" ca="1">IFERROR(INDEX('통합 점검결과'!$M:$M,MATCH(1,('통합 점검결과'!$B:$B=M$4)*('통합 점검결과'!$J:$J=$B87),0)),"")</f>
        <v/>
      </c>
      <c r="N87" s="92" t="str" cm="1">
        <f t="array" aca="1" ref="N87" ca="1">IFERROR(INDEX('통합 점검결과'!$M:$M,MATCH(1,('통합 점검결과'!$B:$B=N$4)*('통합 점검결과'!$J:$J=$B87),0)),"")</f>
        <v/>
      </c>
    </row>
    <row r="88" spans="1:14" ht="16.5" customHeight="1" thickBot="1">
      <c r="A88" s="165" t="s">
        <v>742</v>
      </c>
      <c r="B88" s="94" t="s">
        <v>861</v>
      </c>
      <c r="C88" s="90" t="s">
        <v>661</v>
      </c>
      <c r="D88" s="77" t="s">
        <v>185</v>
      </c>
      <c r="E88" s="77">
        <v>2</v>
      </c>
      <c r="F88" s="77">
        <f ca="1">COUNTA($K88:INDIRECT(ADDRESS(ROW(),MATCH("",$4:$4,-1),1,1)))</f>
        <v>2</v>
      </c>
      <c r="G88" s="77">
        <f t="shared" ca="1" si="1"/>
        <v>2</v>
      </c>
      <c r="H88" s="77">
        <f ca="1">COUNTIF($K88:INDIRECT(ADDRESS(ROW(),MATCH("",$4:$4,-1),1,1)),H$5)</f>
        <v>0</v>
      </c>
      <c r="I88" s="77">
        <f ca="1">COUNTIF($K88:INDIRECT(ADDRESS(ROW(),MATCH("",$4:$4,-1),1,1)),I$5)</f>
        <v>0</v>
      </c>
      <c r="J88" s="77">
        <f ca="1">COUNTIF($K88:INDIRECT(ADDRESS(ROW(),MATCH("",$4:$4,-1),1,1)),"N/A")</f>
        <v>0</v>
      </c>
      <c r="K88" s="91"/>
      <c r="L88" s="91" t="str" cm="1">
        <f t="array" aca="1" ref="L88" ca="1">IFERROR(INDEX('통합 점검결과'!$M:$M,MATCH(1,('통합 점검결과'!$B:$B=L$4)*('통합 점검결과'!$J:$J=$B88),0)),"")</f>
        <v/>
      </c>
      <c r="M88" s="92" t="str" cm="1">
        <f t="array" aca="1" ref="M88" ca="1">IFERROR(INDEX('통합 점검결과'!$M:$M,MATCH(1,('통합 점검결과'!$B:$B=M$4)*('통합 점검결과'!$J:$J=$B88),0)),"")</f>
        <v/>
      </c>
      <c r="N88" s="92" t="str" cm="1">
        <f t="array" aca="1" ref="N88" ca="1">IFERROR(INDEX('통합 점검결과'!$M:$M,MATCH(1,('통합 점검결과'!$B:$B=N$4)*('통합 점검결과'!$J:$J=$B88),0)),"")</f>
        <v/>
      </c>
    </row>
    <row r="89" spans="1:14" ht="17.25" thickBot="1">
      <c r="A89" s="453" t="s">
        <v>747</v>
      </c>
      <c r="B89" s="454"/>
      <c r="C89" s="454"/>
      <c r="D89" s="454"/>
      <c r="E89" s="111">
        <f t="shared" ref="E89:J89" si="3">SUM(E6:E88)</f>
        <v>304</v>
      </c>
      <c r="F89" s="111">
        <f t="shared" ca="1" si="3"/>
        <v>166</v>
      </c>
      <c r="G89" s="111">
        <f t="shared" ca="1" si="3"/>
        <v>166</v>
      </c>
      <c r="H89" s="111">
        <f t="shared" ca="1" si="3"/>
        <v>0</v>
      </c>
      <c r="I89" s="111">
        <f t="shared" ca="1" si="3"/>
        <v>1</v>
      </c>
      <c r="J89" s="111">
        <f t="shared" ca="1" si="3"/>
        <v>0</v>
      </c>
      <c r="K89" s="112"/>
      <c r="L89" s="112">
        <f ca="1">COUNTIF(L6:L88,"양호")+COUNTIF(L6:L88,"취약")+COUNTIF(L6:L88,"부분만족")+COUNTIF(L6:L88,"N/A")</f>
        <v>1</v>
      </c>
      <c r="M89" s="113">
        <f ca="1">COUNTIF(M6:M88,"양호")+COUNTIF(M6:M88,"취약")+COUNTIF(M6:M88,"부분만족")+COUNTIF(M6:M88,"N/A")</f>
        <v>0</v>
      </c>
      <c r="N89" s="113">
        <f ca="1">COUNTIF(N6:N88,"양호")+COUNTIF(N6:N88,"취약")+COUNTIF(N6:N88,"부분만족")+COUNTIF(N6:N88,"N/A")</f>
        <v>0</v>
      </c>
    </row>
    <row r="90" spans="1:14" ht="17.25" thickBot="1"/>
    <row r="91" spans="1:14">
      <c r="G91" s="462" t="s">
        <v>739</v>
      </c>
      <c r="H91" s="463"/>
      <c r="I91" s="464"/>
      <c r="J91" s="11">
        <f ca="1">SUM(K91:N91)</f>
        <v>0</v>
      </c>
      <c r="K91" s="22"/>
      <c r="L91" s="12">
        <f ca="1">COUNTIF(L$6:L$88,$G$91)</f>
        <v>0</v>
      </c>
      <c r="M91" s="12">
        <f ca="1">COUNTIF(M$6:M$88,$G$91)</f>
        <v>0</v>
      </c>
      <c r="N91" s="12">
        <f ca="1">COUNTIF(N$6:N$88,$G$91)</f>
        <v>0</v>
      </c>
    </row>
    <row r="92" spans="1:14">
      <c r="G92" s="465" t="s">
        <v>740</v>
      </c>
      <c r="H92" s="466"/>
      <c r="I92" s="467"/>
      <c r="J92" s="13">
        <f ca="1">SUM(K92:N92)</f>
        <v>1</v>
      </c>
      <c r="K92" s="23"/>
      <c r="L92" s="14">
        <f ca="1">COUNTIF(L$6:L$88,$G$92)</f>
        <v>1</v>
      </c>
      <c r="M92" s="14">
        <f ca="1">COUNTIF(M$6:M$88,$G$92)</f>
        <v>0</v>
      </c>
      <c r="N92" s="14">
        <f ca="1">COUNTIF(N$6:N$88,$G$92)</f>
        <v>0</v>
      </c>
    </row>
    <row r="93" spans="1:14" ht="17.25" thickBot="1">
      <c r="G93" s="468" t="s">
        <v>748</v>
      </c>
      <c r="H93" s="469"/>
      <c r="I93" s="470"/>
      <c r="J93" s="15">
        <f ca="1">SUM(K93:N93)</f>
        <v>0</v>
      </c>
      <c r="K93" s="24"/>
      <c r="L93" s="16">
        <f ca="1">COUNTIF(L$6:L$88,$G$93)</f>
        <v>0</v>
      </c>
      <c r="M93" s="16">
        <f ca="1">COUNTIF(M$6:M$88,$G$93)</f>
        <v>0</v>
      </c>
      <c r="N93" s="16">
        <f ca="1">COUNTIF(N$6:N$88,$G$93)</f>
        <v>0</v>
      </c>
    </row>
    <row r="94" spans="1:14" ht="17.25" thickBot="1"/>
    <row r="95" spans="1:14" ht="16.5" customHeight="1">
      <c r="H95" s="471" t="s">
        <v>686</v>
      </c>
      <c r="I95" s="167" t="s">
        <v>739</v>
      </c>
      <c r="J95" s="11">
        <f t="shared" ref="J95:J103" ca="1" si="4">SUM(K95:N95)</f>
        <v>0</v>
      </c>
      <c r="K95" s="32"/>
      <c r="L95" s="32">
        <f t="shared" ref="L95:N97" ca="1" si="5">COUNTIFS($D$6:$D$88,$H$95,L$6:L$88,$I95)</f>
        <v>0</v>
      </c>
      <c r="M95" s="32">
        <f t="shared" ca="1" si="5"/>
        <v>0</v>
      </c>
      <c r="N95" s="32">
        <f t="shared" ca="1" si="5"/>
        <v>0</v>
      </c>
    </row>
    <row r="96" spans="1:14" ht="16.5" customHeight="1">
      <c r="H96" s="472"/>
      <c r="I96" s="168" t="s">
        <v>749</v>
      </c>
      <c r="J96" s="13">
        <f t="shared" ca="1" si="4"/>
        <v>0</v>
      </c>
      <c r="K96" s="18"/>
      <c r="L96" s="18">
        <f t="shared" ca="1" si="5"/>
        <v>0</v>
      </c>
      <c r="M96" s="18">
        <f t="shared" ca="1" si="5"/>
        <v>0</v>
      </c>
      <c r="N96" s="18">
        <f t="shared" ca="1" si="5"/>
        <v>0</v>
      </c>
    </row>
    <row r="97" spans="8:14" ht="16.5" customHeight="1" thickBot="1">
      <c r="H97" s="473"/>
      <c r="I97" s="169" t="s">
        <v>750</v>
      </c>
      <c r="J97" s="15">
        <f t="shared" ca="1" si="4"/>
        <v>0</v>
      </c>
      <c r="K97" s="33"/>
      <c r="L97" s="33">
        <f t="shared" ca="1" si="5"/>
        <v>0</v>
      </c>
      <c r="M97" s="33">
        <f t="shared" ca="1" si="5"/>
        <v>0</v>
      </c>
      <c r="N97" s="33">
        <f t="shared" ca="1" si="5"/>
        <v>0</v>
      </c>
    </row>
    <row r="98" spans="8:14" ht="16.5" customHeight="1" thickBot="1">
      <c r="H98" s="461" t="s">
        <v>687</v>
      </c>
      <c r="I98" s="167" t="s">
        <v>739</v>
      </c>
      <c r="J98" s="11">
        <f t="shared" ca="1" si="4"/>
        <v>0</v>
      </c>
      <c r="K98" s="32"/>
      <c r="L98" s="32">
        <f t="shared" ref="L98:N100" ca="1" si="6">COUNTIFS($D$6:$D$88,$H$98,L$6:L$88,$I98)</f>
        <v>0</v>
      </c>
      <c r="M98" s="32">
        <f t="shared" ca="1" si="6"/>
        <v>0</v>
      </c>
      <c r="N98" s="32">
        <f t="shared" ca="1" si="6"/>
        <v>0</v>
      </c>
    </row>
    <row r="99" spans="8:14" ht="16.5" customHeight="1" thickBot="1">
      <c r="H99" s="461"/>
      <c r="I99" s="168" t="s">
        <v>749</v>
      </c>
      <c r="J99" s="13">
        <f t="shared" ca="1" si="4"/>
        <v>1</v>
      </c>
      <c r="K99" s="18"/>
      <c r="L99" s="18">
        <f t="shared" ca="1" si="6"/>
        <v>1</v>
      </c>
      <c r="M99" s="18">
        <f t="shared" ca="1" si="6"/>
        <v>0</v>
      </c>
      <c r="N99" s="18">
        <f t="shared" ca="1" si="6"/>
        <v>0</v>
      </c>
    </row>
    <row r="100" spans="8:14" ht="16.5" customHeight="1" thickBot="1">
      <c r="H100" s="461"/>
      <c r="I100" s="169" t="s">
        <v>750</v>
      </c>
      <c r="J100" s="15">
        <f t="shared" ca="1" si="4"/>
        <v>0</v>
      </c>
      <c r="K100" s="33"/>
      <c r="L100" s="33">
        <f t="shared" ca="1" si="6"/>
        <v>0</v>
      </c>
      <c r="M100" s="33">
        <f t="shared" ca="1" si="6"/>
        <v>0</v>
      </c>
      <c r="N100" s="33">
        <f t="shared" ca="1" si="6"/>
        <v>0</v>
      </c>
    </row>
    <row r="101" spans="8:14" ht="16.5" customHeight="1" thickBot="1">
      <c r="H101" s="461" t="s">
        <v>688</v>
      </c>
      <c r="I101" s="167" t="s">
        <v>739</v>
      </c>
      <c r="J101" s="11">
        <f t="shared" ca="1" si="4"/>
        <v>0</v>
      </c>
      <c r="K101" s="32"/>
      <c r="L101" s="32">
        <f t="shared" ref="L101:N103" ca="1" si="7">COUNTIFS($D$6:$D$88,$H$101,L$6:L$88,$I101)</f>
        <v>0</v>
      </c>
      <c r="M101" s="32">
        <f t="shared" ca="1" si="7"/>
        <v>0</v>
      </c>
      <c r="N101" s="32">
        <f t="shared" ca="1" si="7"/>
        <v>0</v>
      </c>
    </row>
    <row r="102" spans="8:14" ht="16.5" customHeight="1" thickBot="1">
      <c r="H102" s="461"/>
      <c r="I102" s="168" t="s">
        <v>749</v>
      </c>
      <c r="J102" s="13">
        <f t="shared" ca="1" si="4"/>
        <v>0</v>
      </c>
      <c r="K102" s="18"/>
      <c r="L102" s="18">
        <f t="shared" ca="1" si="7"/>
        <v>0</v>
      </c>
      <c r="M102" s="18">
        <f t="shared" ca="1" si="7"/>
        <v>0</v>
      </c>
      <c r="N102" s="18">
        <f t="shared" ca="1" si="7"/>
        <v>0</v>
      </c>
    </row>
    <row r="103" spans="8:14" ht="16.5" customHeight="1" thickBot="1">
      <c r="H103" s="461"/>
      <c r="I103" s="169" t="s">
        <v>750</v>
      </c>
      <c r="J103" s="15">
        <f t="shared" ca="1" si="4"/>
        <v>0</v>
      </c>
      <c r="K103" s="33"/>
      <c r="L103" s="33">
        <f t="shared" ca="1" si="7"/>
        <v>0</v>
      </c>
      <c r="M103" s="33">
        <f t="shared" ca="1" si="7"/>
        <v>0</v>
      </c>
      <c r="N103" s="33">
        <f t="shared" ca="1" si="7"/>
        <v>0</v>
      </c>
    </row>
    <row r="104" spans="8:14" ht="16.5" customHeight="1"/>
    <row r="105" spans="8:14" ht="16.5" customHeight="1"/>
    <row r="106" spans="8:14" ht="16.5" customHeight="1"/>
    <row r="107" spans="8:14" ht="16.5" customHeight="1"/>
    <row r="108" spans="8:14" ht="16.5" customHeight="1"/>
    <row r="109" spans="8:14" ht="16.5" customHeight="1"/>
    <row r="110" spans="8:14" ht="16.5" customHeight="1"/>
    <row r="111" spans="8:14" ht="16.5" customHeight="1"/>
    <row r="112" spans="8:14"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sheetData>
  <mergeCells count="16">
    <mergeCell ref="H101:H103"/>
    <mergeCell ref="G91:I91"/>
    <mergeCell ref="G92:I92"/>
    <mergeCell ref="G93:I93"/>
    <mergeCell ref="H95:H97"/>
    <mergeCell ref="H98:H100"/>
    <mergeCell ref="A89:D89"/>
    <mergeCell ref="O4:O5"/>
    <mergeCell ref="N4:N5"/>
    <mergeCell ref="L4:L5"/>
    <mergeCell ref="A4:C4"/>
    <mergeCell ref="D4:D5"/>
    <mergeCell ref="E4:E5"/>
    <mergeCell ref="F4:J4"/>
    <mergeCell ref="K4:K5"/>
    <mergeCell ref="M4:M5"/>
  </mergeCells>
  <phoneticPr fontId="5" type="noConversion"/>
  <conditionalFormatting sqref="K6:N85">
    <cfRule type="cellIs" dxfId="72" priority="5" operator="equal">
      <formula>"인터뷰"</formula>
    </cfRule>
    <cfRule type="cellIs" dxfId="71" priority="6" stopIfTrue="1" operator="equal">
      <formula>"취약"</formula>
    </cfRule>
    <cfRule type="cellIs" dxfId="70" priority="7" stopIfTrue="1" operator="equal">
      <formula>"부분만족"</formula>
    </cfRule>
    <cfRule type="cellIs" dxfId="69" priority="8" stopIfTrue="1" operator="equal">
      <formula>"N/A"</formula>
    </cfRule>
  </conditionalFormatting>
  <conditionalFormatting sqref="K86:N88">
    <cfRule type="cellIs" dxfId="68" priority="1" operator="equal">
      <formula>"인터뷰"</formula>
    </cfRule>
    <cfRule type="cellIs" dxfId="67" priority="2" stopIfTrue="1" operator="equal">
      <formula>"취약"</formula>
    </cfRule>
    <cfRule type="cellIs" dxfId="66" priority="3" stopIfTrue="1" operator="equal">
      <formula>"부분만족"</formula>
    </cfRule>
    <cfRule type="cellIs" dxfId="65" priority="4" stopIfTrue="1" operator="equal">
      <formula>"N/A"</formula>
    </cfRule>
  </conditionalFormatting>
  <pageMargins left="0.7" right="0.7" top="0.75" bottom="0.75" header="0.3" footer="0.3"/>
  <pageSetup paperSize="9" scale="32" fitToWidth="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7030A0"/>
    <pageSetUpPr fitToPage="1"/>
  </sheetPr>
  <dimension ref="A1:D124"/>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8.75" style="8"/>
    <col min="3" max="3" width="40.5" style="8" customWidth="1"/>
    <col min="4" max="4" width="125" style="8" customWidth="1"/>
    <col min="5" max="254" width="8.75" style="8"/>
    <col min="255" max="255" width="2.625" style="8" customWidth="1"/>
    <col min="256" max="256" width="9.25" style="8" bestFit="1" customWidth="1"/>
    <col min="257" max="257" width="8.75" style="8"/>
    <col min="258" max="258" width="40.5" style="8" customWidth="1"/>
    <col min="259" max="259" width="125" style="8" customWidth="1"/>
    <col min="260" max="260" width="2.625" style="8" customWidth="1"/>
    <col min="261" max="510" width="8.75" style="8"/>
    <col min="511" max="511" width="2.625" style="8" customWidth="1"/>
    <col min="512" max="512" width="9.25" style="8" bestFit="1" customWidth="1"/>
    <col min="513" max="513" width="8.75" style="8"/>
    <col min="514" max="514" width="40.5" style="8" customWidth="1"/>
    <col min="515" max="515" width="125" style="8" customWidth="1"/>
    <col min="516" max="516" width="2.625" style="8" customWidth="1"/>
    <col min="517" max="766" width="8.75" style="8"/>
    <col min="767" max="767" width="2.625" style="8" customWidth="1"/>
    <col min="768" max="768" width="9.25" style="8" bestFit="1" customWidth="1"/>
    <col min="769" max="769" width="8.75" style="8"/>
    <col min="770" max="770" width="40.5" style="8" customWidth="1"/>
    <col min="771" max="771" width="125" style="8" customWidth="1"/>
    <col min="772" max="772" width="2.625" style="8" customWidth="1"/>
    <col min="773" max="1022" width="8.75" style="8"/>
    <col min="1023" max="1023" width="2.625" style="8" customWidth="1"/>
    <col min="1024" max="1024" width="9.25" style="8" bestFit="1" customWidth="1"/>
    <col min="1025" max="1025" width="8.75" style="8"/>
    <col min="1026" max="1026" width="40.5" style="8" customWidth="1"/>
    <col min="1027" max="1027" width="125" style="8" customWidth="1"/>
    <col min="1028" max="1028" width="2.625" style="8" customWidth="1"/>
    <col min="1029" max="1278" width="8.75" style="8"/>
    <col min="1279" max="1279" width="2.625" style="8" customWidth="1"/>
    <col min="1280" max="1280" width="9.25" style="8" bestFit="1" customWidth="1"/>
    <col min="1281" max="1281" width="8.75" style="8"/>
    <col min="1282" max="1282" width="40.5" style="8" customWidth="1"/>
    <col min="1283" max="1283" width="125" style="8" customWidth="1"/>
    <col min="1284" max="1284" width="2.625" style="8" customWidth="1"/>
    <col min="1285" max="1534" width="8.75" style="8"/>
    <col min="1535" max="1535" width="2.625" style="8" customWidth="1"/>
    <col min="1536" max="1536" width="9.25" style="8" bestFit="1" customWidth="1"/>
    <col min="1537" max="1537" width="8.75" style="8"/>
    <col min="1538" max="1538" width="40.5" style="8" customWidth="1"/>
    <col min="1539" max="1539" width="125" style="8" customWidth="1"/>
    <col min="1540" max="1540" width="2.625" style="8" customWidth="1"/>
    <col min="1541" max="1790" width="8.75" style="8"/>
    <col min="1791" max="1791" width="2.625" style="8" customWidth="1"/>
    <col min="1792" max="1792" width="9.25" style="8" bestFit="1" customWidth="1"/>
    <col min="1793" max="1793" width="8.75" style="8"/>
    <col min="1794" max="1794" width="40.5" style="8" customWidth="1"/>
    <col min="1795" max="1795" width="125" style="8" customWidth="1"/>
    <col min="1796" max="1796" width="2.625" style="8" customWidth="1"/>
    <col min="1797" max="2046" width="8.75" style="8"/>
    <col min="2047" max="2047" width="2.625" style="8" customWidth="1"/>
    <col min="2048" max="2048" width="9.25" style="8" bestFit="1" customWidth="1"/>
    <col min="2049" max="2049" width="8.75" style="8"/>
    <col min="2050" max="2050" width="40.5" style="8" customWidth="1"/>
    <col min="2051" max="2051" width="125" style="8" customWidth="1"/>
    <col min="2052" max="2052" width="2.625" style="8" customWidth="1"/>
    <col min="2053" max="2302" width="8.75" style="8"/>
    <col min="2303" max="2303" width="2.625" style="8" customWidth="1"/>
    <col min="2304" max="2304" width="9.25" style="8" bestFit="1" customWidth="1"/>
    <col min="2305" max="2305" width="8.75" style="8"/>
    <col min="2306" max="2306" width="40.5" style="8" customWidth="1"/>
    <col min="2307" max="2307" width="125" style="8" customWidth="1"/>
    <col min="2308" max="2308" width="2.625" style="8" customWidth="1"/>
    <col min="2309" max="2558" width="8.75" style="8"/>
    <col min="2559" max="2559" width="2.625" style="8" customWidth="1"/>
    <col min="2560" max="2560" width="9.25" style="8" bestFit="1" customWidth="1"/>
    <col min="2561" max="2561" width="8.75" style="8"/>
    <col min="2562" max="2562" width="40.5" style="8" customWidth="1"/>
    <col min="2563" max="2563" width="125" style="8" customWidth="1"/>
    <col min="2564" max="2564" width="2.625" style="8" customWidth="1"/>
    <col min="2565" max="2814" width="8.75" style="8"/>
    <col min="2815" max="2815" width="2.625" style="8" customWidth="1"/>
    <col min="2816" max="2816" width="9.25" style="8" bestFit="1" customWidth="1"/>
    <col min="2817" max="2817" width="8.75" style="8"/>
    <col min="2818" max="2818" width="40.5" style="8" customWidth="1"/>
    <col min="2819" max="2819" width="125" style="8" customWidth="1"/>
    <col min="2820" max="2820" width="2.625" style="8" customWidth="1"/>
    <col min="2821" max="3070" width="8.75" style="8"/>
    <col min="3071" max="3071" width="2.625" style="8" customWidth="1"/>
    <col min="3072" max="3072" width="9.25" style="8" bestFit="1" customWidth="1"/>
    <col min="3073" max="3073" width="8.75" style="8"/>
    <col min="3074" max="3074" width="40.5" style="8" customWidth="1"/>
    <col min="3075" max="3075" width="125" style="8" customWidth="1"/>
    <col min="3076" max="3076" width="2.625" style="8" customWidth="1"/>
    <col min="3077" max="3326" width="8.75" style="8"/>
    <col min="3327" max="3327" width="2.625" style="8" customWidth="1"/>
    <col min="3328" max="3328" width="9.25" style="8" bestFit="1" customWidth="1"/>
    <col min="3329" max="3329" width="8.75" style="8"/>
    <col min="3330" max="3330" width="40.5" style="8" customWidth="1"/>
    <col min="3331" max="3331" width="125" style="8" customWidth="1"/>
    <col min="3332" max="3332" width="2.625" style="8" customWidth="1"/>
    <col min="3333" max="3582" width="8.75" style="8"/>
    <col min="3583" max="3583" width="2.625" style="8" customWidth="1"/>
    <col min="3584" max="3584" width="9.25" style="8" bestFit="1" customWidth="1"/>
    <col min="3585" max="3585" width="8.75" style="8"/>
    <col min="3586" max="3586" width="40.5" style="8" customWidth="1"/>
    <col min="3587" max="3587" width="125" style="8" customWidth="1"/>
    <col min="3588" max="3588" width="2.625" style="8" customWidth="1"/>
    <col min="3589" max="3838" width="8.75" style="8"/>
    <col min="3839" max="3839" width="2.625" style="8" customWidth="1"/>
    <col min="3840" max="3840" width="9.25" style="8" bestFit="1" customWidth="1"/>
    <col min="3841" max="3841" width="8.75" style="8"/>
    <col min="3842" max="3842" width="40.5" style="8" customWidth="1"/>
    <col min="3843" max="3843" width="125" style="8" customWidth="1"/>
    <col min="3844" max="3844" width="2.625" style="8" customWidth="1"/>
    <col min="3845" max="4094" width="8.75" style="8"/>
    <col min="4095" max="4095" width="2.625" style="8" customWidth="1"/>
    <col min="4096" max="4096" width="9.25" style="8" bestFit="1" customWidth="1"/>
    <col min="4097" max="4097" width="8.75" style="8"/>
    <col min="4098" max="4098" width="40.5" style="8" customWidth="1"/>
    <col min="4099" max="4099" width="125" style="8" customWidth="1"/>
    <col min="4100" max="4100" width="2.625" style="8" customWidth="1"/>
    <col min="4101" max="4350" width="8.75" style="8"/>
    <col min="4351" max="4351" width="2.625" style="8" customWidth="1"/>
    <col min="4352" max="4352" width="9.25" style="8" bestFit="1" customWidth="1"/>
    <col min="4353" max="4353" width="8.75" style="8"/>
    <col min="4354" max="4354" width="40.5" style="8" customWidth="1"/>
    <col min="4355" max="4355" width="125" style="8" customWidth="1"/>
    <col min="4356" max="4356" width="2.625" style="8" customWidth="1"/>
    <col min="4357" max="4606" width="8.75" style="8"/>
    <col min="4607" max="4607" width="2.625" style="8" customWidth="1"/>
    <col min="4608" max="4608" width="9.25" style="8" bestFit="1" customWidth="1"/>
    <col min="4609" max="4609" width="8.75" style="8"/>
    <col min="4610" max="4610" width="40.5" style="8" customWidth="1"/>
    <col min="4611" max="4611" width="125" style="8" customWidth="1"/>
    <col min="4612" max="4612" width="2.625" style="8" customWidth="1"/>
    <col min="4613" max="4862" width="8.75" style="8"/>
    <col min="4863" max="4863" width="2.625" style="8" customWidth="1"/>
    <col min="4864" max="4864" width="9.25" style="8" bestFit="1" customWidth="1"/>
    <col min="4865" max="4865" width="8.75" style="8"/>
    <col min="4866" max="4866" width="40.5" style="8" customWidth="1"/>
    <col min="4867" max="4867" width="125" style="8" customWidth="1"/>
    <col min="4868" max="4868" width="2.625" style="8" customWidth="1"/>
    <col min="4869" max="5118" width="8.75" style="8"/>
    <col min="5119" max="5119" width="2.625" style="8" customWidth="1"/>
    <col min="5120" max="5120" width="9.25" style="8" bestFit="1" customWidth="1"/>
    <col min="5121" max="5121" width="8.75" style="8"/>
    <col min="5122" max="5122" width="40.5" style="8" customWidth="1"/>
    <col min="5123" max="5123" width="125" style="8" customWidth="1"/>
    <col min="5124" max="5124" width="2.625" style="8" customWidth="1"/>
    <col min="5125" max="5374" width="8.75" style="8"/>
    <col min="5375" max="5375" width="2.625" style="8" customWidth="1"/>
    <col min="5376" max="5376" width="9.25" style="8" bestFit="1" customWidth="1"/>
    <col min="5377" max="5377" width="8.75" style="8"/>
    <col min="5378" max="5378" width="40.5" style="8" customWidth="1"/>
    <col min="5379" max="5379" width="125" style="8" customWidth="1"/>
    <col min="5380" max="5380" width="2.625" style="8" customWidth="1"/>
    <col min="5381" max="5630" width="8.75" style="8"/>
    <col min="5631" max="5631" width="2.625" style="8" customWidth="1"/>
    <col min="5632" max="5632" width="9.25" style="8" bestFit="1" customWidth="1"/>
    <col min="5633" max="5633" width="8.75" style="8"/>
    <col min="5634" max="5634" width="40.5" style="8" customWidth="1"/>
    <col min="5635" max="5635" width="125" style="8" customWidth="1"/>
    <col min="5636" max="5636" width="2.625" style="8" customWidth="1"/>
    <col min="5637" max="5886" width="8.75" style="8"/>
    <col min="5887" max="5887" width="2.625" style="8" customWidth="1"/>
    <col min="5888" max="5888" width="9.25" style="8" bestFit="1" customWidth="1"/>
    <col min="5889" max="5889" width="8.75" style="8"/>
    <col min="5890" max="5890" width="40.5" style="8" customWidth="1"/>
    <col min="5891" max="5891" width="125" style="8" customWidth="1"/>
    <col min="5892" max="5892" width="2.625" style="8" customWidth="1"/>
    <col min="5893" max="6142" width="8.75" style="8"/>
    <col min="6143" max="6143" width="2.625" style="8" customWidth="1"/>
    <col min="6144" max="6144" width="9.25" style="8" bestFit="1" customWidth="1"/>
    <col min="6145" max="6145" width="8.75" style="8"/>
    <col min="6146" max="6146" width="40.5" style="8" customWidth="1"/>
    <col min="6147" max="6147" width="125" style="8" customWidth="1"/>
    <col min="6148" max="6148" width="2.625" style="8" customWidth="1"/>
    <col min="6149" max="6398" width="8.75" style="8"/>
    <col min="6399" max="6399" width="2.625" style="8" customWidth="1"/>
    <col min="6400" max="6400" width="9.25" style="8" bestFit="1" customWidth="1"/>
    <col min="6401" max="6401" width="8.75" style="8"/>
    <col min="6402" max="6402" width="40.5" style="8" customWidth="1"/>
    <col min="6403" max="6403" width="125" style="8" customWidth="1"/>
    <col min="6404" max="6404" width="2.625" style="8" customWidth="1"/>
    <col min="6405" max="6654" width="8.75" style="8"/>
    <col min="6655" max="6655" width="2.625" style="8" customWidth="1"/>
    <col min="6656" max="6656" width="9.25" style="8" bestFit="1" customWidth="1"/>
    <col min="6657" max="6657" width="8.75" style="8"/>
    <col min="6658" max="6658" width="40.5" style="8" customWidth="1"/>
    <col min="6659" max="6659" width="125" style="8" customWidth="1"/>
    <col min="6660" max="6660" width="2.625" style="8" customWidth="1"/>
    <col min="6661" max="6910" width="8.75" style="8"/>
    <col min="6911" max="6911" width="2.625" style="8" customWidth="1"/>
    <col min="6912" max="6912" width="9.25" style="8" bestFit="1" customWidth="1"/>
    <col min="6913" max="6913" width="8.75" style="8"/>
    <col min="6914" max="6914" width="40.5" style="8" customWidth="1"/>
    <col min="6915" max="6915" width="125" style="8" customWidth="1"/>
    <col min="6916" max="6916" width="2.625" style="8" customWidth="1"/>
    <col min="6917" max="7166" width="8.75" style="8"/>
    <col min="7167" max="7167" width="2.625" style="8" customWidth="1"/>
    <col min="7168" max="7168" width="9.25" style="8" bestFit="1" customWidth="1"/>
    <col min="7169" max="7169" width="8.75" style="8"/>
    <col min="7170" max="7170" width="40.5" style="8" customWidth="1"/>
    <col min="7171" max="7171" width="125" style="8" customWidth="1"/>
    <col min="7172" max="7172" width="2.625" style="8" customWidth="1"/>
    <col min="7173" max="7422" width="8.75" style="8"/>
    <col min="7423" max="7423" width="2.625" style="8" customWidth="1"/>
    <col min="7424" max="7424" width="9.25" style="8" bestFit="1" customWidth="1"/>
    <col min="7425" max="7425" width="8.75" style="8"/>
    <col min="7426" max="7426" width="40.5" style="8" customWidth="1"/>
    <col min="7427" max="7427" width="125" style="8" customWidth="1"/>
    <col min="7428" max="7428" width="2.625" style="8" customWidth="1"/>
    <col min="7429" max="7678" width="8.75" style="8"/>
    <col min="7679" max="7679" width="2.625" style="8" customWidth="1"/>
    <col min="7680" max="7680" width="9.25" style="8" bestFit="1" customWidth="1"/>
    <col min="7681" max="7681" width="8.75" style="8"/>
    <col min="7682" max="7682" width="40.5" style="8" customWidth="1"/>
    <col min="7683" max="7683" width="125" style="8" customWidth="1"/>
    <col min="7684" max="7684" width="2.625" style="8" customWidth="1"/>
    <col min="7685" max="7934" width="8.75" style="8"/>
    <col min="7935" max="7935" width="2.625" style="8" customWidth="1"/>
    <col min="7936" max="7936" width="9.25" style="8" bestFit="1" customWidth="1"/>
    <col min="7937" max="7937" width="8.75" style="8"/>
    <col min="7938" max="7938" width="40.5" style="8" customWidth="1"/>
    <col min="7939" max="7939" width="125" style="8" customWidth="1"/>
    <col min="7940" max="7940" width="2.625" style="8" customWidth="1"/>
    <col min="7941" max="8190" width="8.75" style="8"/>
    <col min="8191" max="8191" width="2.625" style="8" customWidth="1"/>
    <col min="8192" max="8192" width="9.25" style="8" bestFit="1" customWidth="1"/>
    <col min="8193" max="8193" width="8.75" style="8"/>
    <col min="8194" max="8194" width="40.5" style="8" customWidth="1"/>
    <col min="8195" max="8195" width="125" style="8" customWidth="1"/>
    <col min="8196" max="8196" width="2.625" style="8" customWidth="1"/>
    <col min="8197" max="8446" width="8.75" style="8"/>
    <col min="8447" max="8447" width="2.625" style="8" customWidth="1"/>
    <col min="8448" max="8448" width="9.25" style="8" bestFit="1" customWidth="1"/>
    <col min="8449" max="8449" width="8.75" style="8"/>
    <col min="8450" max="8450" width="40.5" style="8" customWidth="1"/>
    <col min="8451" max="8451" width="125" style="8" customWidth="1"/>
    <col min="8452" max="8452" width="2.625" style="8" customWidth="1"/>
    <col min="8453" max="8702" width="8.75" style="8"/>
    <col min="8703" max="8703" width="2.625" style="8" customWidth="1"/>
    <col min="8704" max="8704" width="9.25" style="8" bestFit="1" customWidth="1"/>
    <col min="8705" max="8705" width="8.75" style="8"/>
    <col min="8706" max="8706" width="40.5" style="8" customWidth="1"/>
    <col min="8707" max="8707" width="125" style="8" customWidth="1"/>
    <col min="8708" max="8708" width="2.625" style="8" customWidth="1"/>
    <col min="8709" max="8958" width="8.75" style="8"/>
    <col min="8959" max="8959" width="2.625" style="8" customWidth="1"/>
    <col min="8960" max="8960" width="9.25" style="8" bestFit="1" customWidth="1"/>
    <col min="8961" max="8961" width="8.75" style="8"/>
    <col min="8962" max="8962" width="40.5" style="8" customWidth="1"/>
    <col min="8963" max="8963" width="125" style="8" customWidth="1"/>
    <col min="8964" max="8964" width="2.625" style="8" customWidth="1"/>
    <col min="8965" max="9214" width="8.75" style="8"/>
    <col min="9215" max="9215" width="2.625" style="8" customWidth="1"/>
    <col min="9216" max="9216" width="9.25" style="8" bestFit="1" customWidth="1"/>
    <col min="9217" max="9217" width="8.75" style="8"/>
    <col min="9218" max="9218" width="40.5" style="8" customWidth="1"/>
    <col min="9219" max="9219" width="125" style="8" customWidth="1"/>
    <col min="9220" max="9220" width="2.625" style="8" customWidth="1"/>
    <col min="9221" max="9470" width="8.75" style="8"/>
    <col min="9471" max="9471" width="2.625" style="8" customWidth="1"/>
    <col min="9472" max="9472" width="9.25" style="8" bestFit="1" customWidth="1"/>
    <col min="9473" max="9473" width="8.75" style="8"/>
    <col min="9474" max="9474" width="40.5" style="8" customWidth="1"/>
    <col min="9475" max="9475" width="125" style="8" customWidth="1"/>
    <col min="9476" max="9476" width="2.625" style="8" customWidth="1"/>
    <col min="9477" max="9726" width="8.75" style="8"/>
    <col min="9727" max="9727" width="2.625" style="8" customWidth="1"/>
    <col min="9728" max="9728" width="9.25" style="8" bestFit="1" customWidth="1"/>
    <col min="9729" max="9729" width="8.75" style="8"/>
    <col min="9730" max="9730" width="40.5" style="8" customWidth="1"/>
    <col min="9731" max="9731" width="125" style="8" customWidth="1"/>
    <col min="9732" max="9732" width="2.625" style="8" customWidth="1"/>
    <col min="9733" max="9982" width="8.75" style="8"/>
    <col min="9983" max="9983" width="2.625" style="8" customWidth="1"/>
    <col min="9984" max="9984" width="9.25" style="8" bestFit="1" customWidth="1"/>
    <col min="9985" max="9985" width="8.75" style="8"/>
    <col min="9986" max="9986" width="40.5" style="8" customWidth="1"/>
    <col min="9987" max="9987" width="125" style="8" customWidth="1"/>
    <col min="9988" max="9988" width="2.625" style="8" customWidth="1"/>
    <col min="9989" max="10238" width="8.75" style="8"/>
    <col min="10239" max="10239" width="2.625" style="8" customWidth="1"/>
    <col min="10240" max="10240" width="9.25" style="8" bestFit="1" customWidth="1"/>
    <col min="10241" max="10241" width="8.75" style="8"/>
    <col min="10242" max="10242" width="40.5" style="8" customWidth="1"/>
    <col min="10243" max="10243" width="125" style="8" customWidth="1"/>
    <col min="10244" max="10244" width="2.625" style="8" customWidth="1"/>
    <col min="10245" max="10494" width="8.75" style="8"/>
    <col min="10495" max="10495" width="2.625" style="8" customWidth="1"/>
    <col min="10496" max="10496" width="9.25" style="8" bestFit="1" customWidth="1"/>
    <col min="10497" max="10497" width="8.75" style="8"/>
    <col min="10498" max="10498" width="40.5" style="8" customWidth="1"/>
    <col min="10499" max="10499" width="125" style="8" customWidth="1"/>
    <col min="10500" max="10500" width="2.625" style="8" customWidth="1"/>
    <col min="10501" max="10750" width="8.75" style="8"/>
    <col min="10751" max="10751" width="2.625" style="8" customWidth="1"/>
    <col min="10752" max="10752" width="9.25" style="8" bestFit="1" customWidth="1"/>
    <col min="10753" max="10753" width="8.75" style="8"/>
    <col min="10754" max="10754" width="40.5" style="8" customWidth="1"/>
    <col min="10755" max="10755" width="125" style="8" customWidth="1"/>
    <col min="10756" max="10756" width="2.625" style="8" customWidth="1"/>
    <col min="10757" max="11006" width="8.75" style="8"/>
    <col min="11007" max="11007" width="2.625" style="8" customWidth="1"/>
    <col min="11008" max="11008" width="9.25" style="8" bestFit="1" customWidth="1"/>
    <col min="11009" max="11009" width="8.75" style="8"/>
    <col min="11010" max="11010" width="40.5" style="8" customWidth="1"/>
    <col min="11011" max="11011" width="125" style="8" customWidth="1"/>
    <col min="11012" max="11012" width="2.625" style="8" customWidth="1"/>
    <col min="11013" max="11262" width="8.75" style="8"/>
    <col min="11263" max="11263" width="2.625" style="8" customWidth="1"/>
    <col min="11264" max="11264" width="9.25" style="8" bestFit="1" customWidth="1"/>
    <col min="11265" max="11265" width="8.75" style="8"/>
    <col min="11266" max="11266" width="40.5" style="8" customWidth="1"/>
    <col min="11267" max="11267" width="125" style="8" customWidth="1"/>
    <col min="11268" max="11268" width="2.625" style="8" customWidth="1"/>
    <col min="11269" max="11518" width="8.75" style="8"/>
    <col min="11519" max="11519" width="2.625" style="8" customWidth="1"/>
    <col min="11520" max="11520" width="9.25" style="8" bestFit="1" customWidth="1"/>
    <col min="11521" max="11521" width="8.75" style="8"/>
    <col min="11522" max="11522" width="40.5" style="8" customWidth="1"/>
    <col min="11523" max="11523" width="125" style="8" customWidth="1"/>
    <col min="11524" max="11524" width="2.625" style="8" customWidth="1"/>
    <col min="11525" max="11774" width="8.75" style="8"/>
    <col min="11775" max="11775" width="2.625" style="8" customWidth="1"/>
    <col min="11776" max="11776" width="9.25" style="8" bestFit="1" customWidth="1"/>
    <col min="11777" max="11777" width="8.75" style="8"/>
    <col min="11778" max="11778" width="40.5" style="8" customWidth="1"/>
    <col min="11779" max="11779" width="125" style="8" customWidth="1"/>
    <col min="11780" max="11780" width="2.625" style="8" customWidth="1"/>
    <col min="11781" max="12030" width="8.75" style="8"/>
    <col min="12031" max="12031" width="2.625" style="8" customWidth="1"/>
    <col min="12032" max="12032" width="9.25" style="8" bestFit="1" customWidth="1"/>
    <col min="12033" max="12033" width="8.75" style="8"/>
    <col min="12034" max="12034" width="40.5" style="8" customWidth="1"/>
    <col min="12035" max="12035" width="125" style="8" customWidth="1"/>
    <col min="12036" max="12036" width="2.625" style="8" customWidth="1"/>
    <col min="12037" max="12286" width="8.75" style="8"/>
    <col min="12287" max="12287" width="2.625" style="8" customWidth="1"/>
    <col min="12288" max="12288" width="9.25" style="8" bestFit="1" customWidth="1"/>
    <col min="12289" max="12289" width="8.75" style="8"/>
    <col min="12290" max="12290" width="40.5" style="8" customWidth="1"/>
    <col min="12291" max="12291" width="125" style="8" customWidth="1"/>
    <col min="12292" max="12292" width="2.625" style="8" customWidth="1"/>
    <col min="12293" max="12542" width="8.75" style="8"/>
    <col min="12543" max="12543" width="2.625" style="8" customWidth="1"/>
    <col min="12544" max="12544" width="9.25" style="8" bestFit="1" customWidth="1"/>
    <col min="12545" max="12545" width="8.75" style="8"/>
    <col min="12546" max="12546" width="40.5" style="8" customWidth="1"/>
    <col min="12547" max="12547" width="125" style="8" customWidth="1"/>
    <col min="12548" max="12548" width="2.625" style="8" customWidth="1"/>
    <col min="12549" max="12798" width="8.75" style="8"/>
    <col min="12799" max="12799" width="2.625" style="8" customWidth="1"/>
    <col min="12800" max="12800" width="9.25" style="8" bestFit="1" customWidth="1"/>
    <col min="12801" max="12801" width="8.75" style="8"/>
    <col min="12802" max="12802" width="40.5" style="8" customWidth="1"/>
    <col min="12803" max="12803" width="125" style="8" customWidth="1"/>
    <col min="12804" max="12804" width="2.625" style="8" customWidth="1"/>
    <col min="12805" max="13054" width="8.75" style="8"/>
    <col min="13055" max="13055" width="2.625" style="8" customWidth="1"/>
    <col min="13056" max="13056" width="9.25" style="8" bestFit="1" customWidth="1"/>
    <col min="13057" max="13057" width="8.75" style="8"/>
    <col min="13058" max="13058" width="40.5" style="8" customWidth="1"/>
    <col min="13059" max="13059" width="125" style="8" customWidth="1"/>
    <col min="13060" max="13060" width="2.625" style="8" customWidth="1"/>
    <col min="13061" max="13310" width="8.75" style="8"/>
    <col min="13311" max="13311" width="2.625" style="8" customWidth="1"/>
    <col min="13312" max="13312" width="9.25" style="8" bestFit="1" customWidth="1"/>
    <col min="13313" max="13313" width="8.75" style="8"/>
    <col min="13314" max="13314" width="40.5" style="8" customWidth="1"/>
    <col min="13315" max="13315" width="125" style="8" customWidth="1"/>
    <col min="13316" max="13316" width="2.625" style="8" customWidth="1"/>
    <col min="13317" max="13566" width="8.75" style="8"/>
    <col min="13567" max="13567" width="2.625" style="8" customWidth="1"/>
    <col min="13568" max="13568" width="9.25" style="8" bestFit="1" customWidth="1"/>
    <col min="13569" max="13569" width="8.75" style="8"/>
    <col min="13570" max="13570" width="40.5" style="8" customWidth="1"/>
    <col min="13571" max="13571" width="125" style="8" customWidth="1"/>
    <col min="13572" max="13572" width="2.625" style="8" customWidth="1"/>
    <col min="13573" max="13822" width="8.75" style="8"/>
    <col min="13823" max="13823" width="2.625" style="8" customWidth="1"/>
    <col min="13824" max="13824" width="9.25" style="8" bestFit="1" customWidth="1"/>
    <col min="13825" max="13825" width="8.75" style="8"/>
    <col min="13826" max="13826" width="40.5" style="8" customWidth="1"/>
    <col min="13827" max="13827" width="125" style="8" customWidth="1"/>
    <col min="13828" max="13828" width="2.625" style="8" customWidth="1"/>
    <col min="13829" max="14078" width="8.75" style="8"/>
    <col min="14079" max="14079" width="2.625" style="8" customWidth="1"/>
    <col min="14080" max="14080" width="9.25" style="8" bestFit="1" customWidth="1"/>
    <col min="14081" max="14081" width="8.75" style="8"/>
    <col min="14082" max="14082" width="40.5" style="8" customWidth="1"/>
    <col min="14083" max="14083" width="125" style="8" customWidth="1"/>
    <col min="14084" max="14084" width="2.625" style="8" customWidth="1"/>
    <col min="14085" max="14334" width="8.75" style="8"/>
    <col min="14335" max="14335" width="2.625" style="8" customWidth="1"/>
    <col min="14336" max="14336" width="9.25" style="8" bestFit="1" customWidth="1"/>
    <col min="14337" max="14337" width="8.75" style="8"/>
    <col min="14338" max="14338" width="40.5" style="8" customWidth="1"/>
    <col min="14339" max="14339" width="125" style="8" customWidth="1"/>
    <col min="14340" max="14340" width="2.625" style="8" customWidth="1"/>
    <col min="14341" max="14590" width="8.75" style="8"/>
    <col min="14591" max="14591" width="2.625" style="8" customWidth="1"/>
    <col min="14592" max="14592" width="9.25" style="8" bestFit="1" customWidth="1"/>
    <col min="14593" max="14593" width="8.75" style="8"/>
    <col min="14594" max="14594" width="40.5" style="8" customWidth="1"/>
    <col min="14595" max="14595" width="125" style="8" customWidth="1"/>
    <col min="14596" max="14596" width="2.625" style="8" customWidth="1"/>
    <col min="14597" max="14846" width="8.75" style="8"/>
    <col min="14847" max="14847" width="2.625" style="8" customWidth="1"/>
    <col min="14848" max="14848" width="9.25" style="8" bestFit="1" customWidth="1"/>
    <col min="14849" max="14849" width="8.75" style="8"/>
    <col min="14850" max="14850" width="40.5" style="8" customWidth="1"/>
    <col min="14851" max="14851" width="125" style="8" customWidth="1"/>
    <col min="14852" max="14852" width="2.625" style="8" customWidth="1"/>
    <col min="14853" max="15102" width="8.75" style="8"/>
    <col min="15103" max="15103" width="2.625" style="8" customWidth="1"/>
    <col min="15104" max="15104" width="9.25" style="8" bestFit="1" customWidth="1"/>
    <col min="15105" max="15105" width="8.75" style="8"/>
    <col min="15106" max="15106" width="40.5" style="8" customWidth="1"/>
    <col min="15107" max="15107" width="125" style="8" customWidth="1"/>
    <col min="15108" max="15108" width="2.625" style="8" customWidth="1"/>
    <col min="15109" max="15358" width="8.75" style="8"/>
    <col min="15359" max="15359" width="2.625" style="8" customWidth="1"/>
    <col min="15360" max="15360" width="9.25" style="8" bestFit="1" customWidth="1"/>
    <col min="15361" max="15361" width="8.75" style="8"/>
    <col min="15362" max="15362" width="40.5" style="8" customWidth="1"/>
    <col min="15363" max="15363" width="125" style="8" customWidth="1"/>
    <col min="15364" max="15364" width="2.625" style="8" customWidth="1"/>
    <col min="15365" max="15614" width="8.75" style="8"/>
    <col min="15615" max="15615" width="2.625" style="8" customWidth="1"/>
    <col min="15616" max="15616" width="9.25" style="8" bestFit="1" customWidth="1"/>
    <col min="15617" max="15617" width="8.75" style="8"/>
    <col min="15618" max="15618" width="40.5" style="8" customWidth="1"/>
    <col min="15619" max="15619" width="125" style="8" customWidth="1"/>
    <col min="15620" max="15620" width="2.625" style="8" customWidth="1"/>
    <col min="15621" max="15870" width="8.75" style="8"/>
    <col min="15871" max="15871" width="2.625" style="8" customWidth="1"/>
    <col min="15872" max="15872" width="9.25" style="8" bestFit="1" customWidth="1"/>
    <col min="15873" max="15873" width="8.75" style="8"/>
    <col min="15874" max="15874" width="40.5" style="8" customWidth="1"/>
    <col min="15875" max="15875" width="125" style="8" customWidth="1"/>
    <col min="15876" max="15876" width="2.625" style="8" customWidth="1"/>
    <col min="15877" max="16126" width="8.75" style="8"/>
    <col min="16127" max="16127" width="2.625" style="8" customWidth="1"/>
    <col min="16128" max="16128" width="9.25" style="8" bestFit="1" customWidth="1"/>
    <col min="16129" max="16129" width="8.75" style="8"/>
    <col min="16130" max="16130" width="40.5" style="8" customWidth="1"/>
    <col min="16131" max="16131" width="125" style="8" customWidth="1"/>
    <col min="16132" max="16132" width="2.625" style="8" customWidth="1"/>
    <col min="16133" max="16384" width="8.75" style="8"/>
  </cols>
  <sheetData>
    <row r="1" spans="1:4" s="5" customFormat="1" ht="13.5">
      <c r="D1" s="41"/>
    </row>
    <row r="2" spans="1:4" s="7" customFormat="1" ht="18" customHeight="1">
      <c r="A2" s="71" t="s">
        <v>751</v>
      </c>
      <c r="B2" s="6"/>
      <c r="C2" s="6"/>
      <c r="D2" s="21"/>
    </row>
    <row r="3" spans="1:4" s="7" customFormat="1" ht="5.0999999999999996" customHeight="1" thickBot="1">
      <c r="B3" s="1"/>
      <c r="C3" s="1"/>
      <c r="D3" s="1"/>
    </row>
    <row r="4" spans="1:4" ht="18" customHeight="1">
      <c r="A4" s="324" t="s">
        <v>685</v>
      </c>
      <c r="B4" s="424"/>
      <c r="C4" s="424"/>
      <c r="D4" s="474" t="s">
        <v>752</v>
      </c>
    </row>
    <row r="5" spans="1:4" ht="17.25" thickBot="1">
      <c r="A5" s="73" t="s">
        <v>735</v>
      </c>
      <c r="B5" s="74" t="s">
        <v>753</v>
      </c>
      <c r="C5" s="74" t="s">
        <v>737</v>
      </c>
      <c r="D5" s="475"/>
    </row>
    <row r="6" spans="1:4" ht="16.5" customHeight="1">
      <c r="A6" s="164" t="s">
        <v>742</v>
      </c>
      <c r="B6" s="93" t="s">
        <v>110</v>
      </c>
      <c r="C6" s="87" t="s">
        <v>864</v>
      </c>
      <c r="D6" s="95" t="str">
        <f ca="1">IFERROR(fn취약대상('요약 통계'!6:6),"-")</f>
        <v>-</v>
      </c>
    </row>
    <row r="7" spans="1:4" ht="16.5" customHeight="1">
      <c r="A7" s="165" t="s">
        <v>742</v>
      </c>
      <c r="B7" s="94" t="s">
        <v>116</v>
      </c>
      <c r="C7" s="90" t="s">
        <v>865</v>
      </c>
      <c r="D7" s="96" t="str">
        <f ca="1">IFERROR(fn취약대상('요약 통계'!7:7),"-")</f>
        <v>-</v>
      </c>
    </row>
    <row r="8" spans="1:4" ht="16.5" customHeight="1">
      <c r="A8" s="165" t="s">
        <v>742</v>
      </c>
      <c r="B8" s="94" t="s">
        <v>118</v>
      </c>
      <c r="C8" s="90" t="s">
        <v>119</v>
      </c>
      <c r="D8" s="96" t="str">
        <f ca="1">IFERROR(fn취약대상('요약 통계'!8:8),"-")</f>
        <v>-</v>
      </c>
    </row>
    <row r="9" spans="1:4" ht="16.5" customHeight="1">
      <c r="A9" s="165" t="s">
        <v>742</v>
      </c>
      <c r="B9" s="94" t="s">
        <v>125</v>
      </c>
      <c r="C9" s="90" t="s">
        <v>126</v>
      </c>
      <c r="D9" s="96" t="str">
        <f ca="1">IFERROR(fn취약대상('요약 통계'!9:9),"-")</f>
        <v>-</v>
      </c>
    </row>
    <row r="10" spans="1:4" ht="16.5" customHeight="1">
      <c r="A10" s="165" t="s">
        <v>742</v>
      </c>
      <c r="B10" s="94" t="s">
        <v>133</v>
      </c>
      <c r="C10" s="90" t="s">
        <v>134</v>
      </c>
      <c r="D10" s="96" t="str">
        <f ca="1">IFERROR(fn취약대상('요약 통계'!10:10),"-")</f>
        <v>-</v>
      </c>
    </row>
    <row r="11" spans="1:4" ht="16.5" customHeight="1">
      <c r="A11" s="165" t="s">
        <v>742</v>
      </c>
      <c r="B11" s="94" t="s">
        <v>140</v>
      </c>
      <c r="C11" s="90" t="s">
        <v>141</v>
      </c>
      <c r="D11" s="96" t="str">
        <f ca="1">IFERROR(fn취약대상('요약 통계'!11:11),"-")</f>
        <v>-</v>
      </c>
    </row>
    <row r="12" spans="1:4" ht="16.5" customHeight="1">
      <c r="A12" s="165" t="s">
        <v>742</v>
      </c>
      <c r="B12" s="94" t="s">
        <v>148</v>
      </c>
      <c r="C12" s="90" t="s">
        <v>149</v>
      </c>
      <c r="D12" s="96" t="str">
        <f ca="1">IFERROR(fn취약대상('요약 통계'!12:12),"-")</f>
        <v>-</v>
      </c>
    </row>
    <row r="13" spans="1:4" ht="16.5" customHeight="1">
      <c r="A13" s="165" t="s">
        <v>742</v>
      </c>
      <c r="B13" s="94" t="s">
        <v>154</v>
      </c>
      <c r="C13" s="90" t="s">
        <v>155</v>
      </c>
      <c r="D13" s="96" t="str">
        <f ca="1">IFERROR(fn취약대상('요약 통계'!13:13),"-")</f>
        <v>-</v>
      </c>
    </row>
    <row r="14" spans="1:4" ht="16.5" customHeight="1">
      <c r="A14" s="165" t="s">
        <v>742</v>
      </c>
      <c r="B14" s="94" t="s">
        <v>161</v>
      </c>
      <c r="C14" s="90" t="s">
        <v>162</v>
      </c>
      <c r="D14" s="96" t="str">
        <f ca="1">IFERROR(fn취약대상('요약 통계'!14:14),"-")</f>
        <v>-</v>
      </c>
    </row>
    <row r="15" spans="1:4" ht="16.5" customHeight="1">
      <c r="A15" s="165" t="s">
        <v>742</v>
      </c>
      <c r="B15" s="94" t="s">
        <v>169</v>
      </c>
      <c r="C15" s="90" t="s">
        <v>170</v>
      </c>
      <c r="D15" s="96" t="str">
        <f ca="1">IFERROR(fn취약대상('요약 통계'!15:15),"-")</f>
        <v>-</v>
      </c>
    </row>
    <row r="16" spans="1:4" ht="16.5" customHeight="1">
      <c r="A16" s="165" t="s">
        <v>742</v>
      </c>
      <c r="B16" s="94" t="s">
        <v>176</v>
      </c>
      <c r="C16" s="90" t="s">
        <v>177</v>
      </c>
      <c r="D16" s="96" t="str">
        <f ca="1">IFERROR(fn취약대상('요약 통계'!16:16),"-")</f>
        <v>-</v>
      </c>
    </row>
    <row r="17" spans="1:4" ht="16.5" customHeight="1">
      <c r="A17" s="165" t="s">
        <v>742</v>
      </c>
      <c r="B17" s="94" t="s">
        <v>182</v>
      </c>
      <c r="C17" s="90" t="s">
        <v>183</v>
      </c>
      <c r="D17" s="96" t="str">
        <f ca="1">IFERROR(fn취약대상('요약 통계'!17:17),"-")</f>
        <v>-</v>
      </c>
    </row>
    <row r="18" spans="1:4" ht="16.5" customHeight="1">
      <c r="A18" s="165" t="s">
        <v>742</v>
      </c>
      <c r="B18" s="94" t="s">
        <v>190</v>
      </c>
      <c r="C18" s="90" t="s">
        <v>191</v>
      </c>
      <c r="D18" s="96" t="str">
        <f ca="1">IFERROR(fn취약대상('요약 통계'!18:18),"-")</f>
        <v>-</v>
      </c>
    </row>
    <row r="19" spans="1:4" ht="16.5" customHeight="1">
      <c r="A19" s="165" t="s">
        <v>742</v>
      </c>
      <c r="B19" s="94" t="s">
        <v>197</v>
      </c>
      <c r="C19" s="90" t="s">
        <v>198</v>
      </c>
      <c r="D19" s="96" t="str">
        <f ca="1">IFERROR(fn취약대상('요약 통계'!19:19),"-")</f>
        <v>-</v>
      </c>
    </row>
    <row r="20" spans="1:4" ht="16.5" customHeight="1">
      <c r="A20" s="165" t="s">
        <v>742</v>
      </c>
      <c r="B20" s="94" t="s">
        <v>205</v>
      </c>
      <c r="C20" s="90" t="s">
        <v>206</v>
      </c>
      <c r="D20" s="96" t="str">
        <f ca="1">IFERROR(fn취약대상('요약 통계'!20:20),"-")</f>
        <v>-</v>
      </c>
    </row>
    <row r="21" spans="1:4" ht="16.5" customHeight="1">
      <c r="A21" s="165" t="s">
        <v>742</v>
      </c>
      <c r="B21" s="94" t="s">
        <v>212</v>
      </c>
      <c r="C21" s="90" t="s">
        <v>213</v>
      </c>
      <c r="D21" s="96" t="str">
        <f ca="1">IFERROR(fn취약대상('요약 통계'!21:21),"-")</f>
        <v>-</v>
      </c>
    </row>
    <row r="22" spans="1:4" ht="16.5" customHeight="1">
      <c r="A22" s="165" t="s">
        <v>742</v>
      </c>
      <c r="B22" s="94" t="s">
        <v>218</v>
      </c>
      <c r="C22" s="90" t="s">
        <v>219</v>
      </c>
      <c r="D22" s="96" t="str">
        <f ca="1">IFERROR(fn취약대상('요약 통계'!22:22),"-")</f>
        <v>-</v>
      </c>
    </row>
    <row r="23" spans="1:4" ht="16.5" customHeight="1">
      <c r="A23" s="165" t="s">
        <v>742</v>
      </c>
      <c r="B23" s="94" t="s">
        <v>225</v>
      </c>
      <c r="C23" s="90" t="s">
        <v>226</v>
      </c>
      <c r="D23" s="96" t="str">
        <f ca="1">IFERROR(fn취약대상('요약 통계'!23:23),"-")</f>
        <v>-</v>
      </c>
    </row>
    <row r="24" spans="1:4" ht="16.5" customHeight="1">
      <c r="A24" s="165" t="s">
        <v>742</v>
      </c>
      <c r="B24" s="94" t="s">
        <v>232</v>
      </c>
      <c r="C24" s="90" t="s">
        <v>233</v>
      </c>
      <c r="D24" s="96" t="str">
        <f ca="1">IFERROR(fn취약대상('요약 통계'!24:24),"-")</f>
        <v>-</v>
      </c>
    </row>
    <row r="25" spans="1:4" ht="16.5" customHeight="1">
      <c r="A25" s="165" t="s">
        <v>742</v>
      </c>
      <c r="B25" s="94" t="s">
        <v>239</v>
      </c>
      <c r="C25" s="90" t="s">
        <v>240</v>
      </c>
      <c r="D25" s="96" t="str">
        <f ca="1">IFERROR(fn취약대상('요약 통계'!25:25),"-")</f>
        <v>-</v>
      </c>
    </row>
    <row r="26" spans="1:4" ht="16.5" customHeight="1">
      <c r="A26" s="165" t="s">
        <v>742</v>
      </c>
      <c r="B26" s="94" t="s">
        <v>246</v>
      </c>
      <c r="C26" s="90" t="s">
        <v>247</v>
      </c>
      <c r="D26" s="96" t="str">
        <f ca="1">IFERROR(fn취약대상('요약 통계'!26:26),"-")</f>
        <v>-</v>
      </c>
    </row>
    <row r="27" spans="1:4" ht="16.5" customHeight="1">
      <c r="A27" s="165" t="s">
        <v>742</v>
      </c>
      <c r="B27" s="94" t="s">
        <v>253</v>
      </c>
      <c r="C27" s="90" t="s">
        <v>254</v>
      </c>
      <c r="D27" s="96" t="str">
        <f ca="1">IFERROR(fn취약대상('요약 통계'!27:27),"-")</f>
        <v>-</v>
      </c>
    </row>
    <row r="28" spans="1:4" ht="16.5" customHeight="1">
      <c r="A28" s="165" t="s">
        <v>742</v>
      </c>
      <c r="B28" s="94" t="s">
        <v>260</v>
      </c>
      <c r="C28" s="90" t="s">
        <v>261</v>
      </c>
      <c r="D28" s="96" t="str">
        <f ca="1">IFERROR(fn취약대상('요약 통계'!28:28),"-")</f>
        <v>-</v>
      </c>
    </row>
    <row r="29" spans="1:4" ht="16.5" customHeight="1">
      <c r="A29" s="165" t="s">
        <v>742</v>
      </c>
      <c r="B29" s="94" t="s">
        <v>267</v>
      </c>
      <c r="C29" s="90" t="s">
        <v>268</v>
      </c>
      <c r="D29" s="96" t="str">
        <f ca="1">IFERROR(fn취약대상('요약 통계'!29:29),"-")</f>
        <v>-</v>
      </c>
    </row>
    <row r="30" spans="1:4" ht="16.5" customHeight="1">
      <c r="A30" s="165" t="s">
        <v>742</v>
      </c>
      <c r="B30" s="94" t="s">
        <v>274</v>
      </c>
      <c r="C30" s="90" t="s">
        <v>275</v>
      </c>
      <c r="D30" s="96" t="str">
        <f ca="1">IFERROR(fn취약대상('요약 통계'!30:30),"-")</f>
        <v>-</v>
      </c>
    </row>
    <row r="31" spans="1:4" ht="16.5" customHeight="1">
      <c r="A31" s="165" t="s">
        <v>742</v>
      </c>
      <c r="B31" s="94" t="s">
        <v>280</v>
      </c>
      <c r="C31" s="90" t="s">
        <v>281</v>
      </c>
      <c r="D31" s="96" t="str">
        <f ca="1">IFERROR(fn취약대상('요약 통계'!31:31),"-")</f>
        <v>-</v>
      </c>
    </row>
    <row r="32" spans="1:4" ht="16.5" customHeight="1">
      <c r="A32" s="165" t="s">
        <v>742</v>
      </c>
      <c r="B32" s="94" t="s">
        <v>287</v>
      </c>
      <c r="C32" s="90" t="s">
        <v>288</v>
      </c>
      <c r="D32" s="96" t="str">
        <f ca="1">IFERROR(fn취약대상('요약 통계'!32:32),"-")</f>
        <v>-</v>
      </c>
    </row>
    <row r="33" spans="1:4" ht="16.5" customHeight="1">
      <c r="A33" s="165" t="s">
        <v>742</v>
      </c>
      <c r="B33" s="94" t="s">
        <v>294</v>
      </c>
      <c r="C33" s="90" t="s">
        <v>295</v>
      </c>
      <c r="D33" s="96" t="str">
        <f ca="1">IFERROR(fn취약대상('요약 통계'!33:33),"-")</f>
        <v>-</v>
      </c>
    </row>
    <row r="34" spans="1:4" ht="16.5" customHeight="1">
      <c r="A34" s="165" t="s">
        <v>742</v>
      </c>
      <c r="B34" s="94" t="s">
        <v>301</v>
      </c>
      <c r="C34" s="90" t="s">
        <v>302</v>
      </c>
      <c r="D34" s="96" t="str">
        <f ca="1">IFERROR(fn취약대상('요약 통계'!34:34),"-")</f>
        <v>-</v>
      </c>
    </row>
    <row r="35" spans="1:4" ht="16.5" customHeight="1">
      <c r="A35" s="165" t="s">
        <v>742</v>
      </c>
      <c r="B35" s="94" t="s">
        <v>308</v>
      </c>
      <c r="C35" s="90" t="s">
        <v>309</v>
      </c>
      <c r="D35" s="96" t="str">
        <f ca="1">IFERROR(fn취약대상('요약 통계'!35:35),"-")</f>
        <v>-</v>
      </c>
    </row>
    <row r="36" spans="1:4" ht="16.5" customHeight="1">
      <c r="A36" s="165" t="s">
        <v>742</v>
      </c>
      <c r="B36" s="94" t="s">
        <v>313</v>
      </c>
      <c r="C36" s="90" t="s">
        <v>314</v>
      </c>
      <c r="D36" s="96" t="str">
        <f ca="1">IFERROR(fn취약대상('요약 통계'!36:36),"-")</f>
        <v>-</v>
      </c>
    </row>
    <row r="37" spans="1:4" ht="16.5" customHeight="1">
      <c r="A37" s="165" t="s">
        <v>742</v>
      </c>
      <c r="B37" s="94" t="s">
        <v>319</v>
      </c>
      <c r="C37" s="90" t="s">
        <v>320</v>
      </c>
      <c r="D37" s="96" t="str">
        <f ca="1">IFERROR(fn취약대상('요약 통계'!37:37),"-")</f>
        <v>-</v>
      </c>
    </row>
    <row r="38" spans="1:4" ht="16.5" customHeight="1">
      <c r="A38" s="165" t="s">
        <v>745</v>
      </c>
      <c r="B38" s="94" t="s">
        <v>327</v>
      </c>
      <c r="C38" s="90" t="s">
        <v>328</v>
      </c>
      <c r="D38" s="96" t="str">
        <f ca="1">IFERROR(fn취약대상('요약 통계'!38:38),"-")</f>
        <v>-</v>
      </c>
    </row>
    <row r="39" spans="1:4" ht="16.5" customHeight="1">
      <c r="A39" s="165" t="s">
        <v>742</v>
      </c>
      <c r="B39" s="94" t="s">
        <v>334</v>
      </c>
      <c r="C39" s="90" t="s">
        <v>335</v>
      </c>
      <c r="D39" s="96" t="str">
        <f ca="1">IFERROR(fn취약대상('요약 통계'!39:39),"-")</f>
        <v>-</v>
      </c>
    </row>
    <row r="40" spans="1:4" ht="16.5" customHeight="1">
      <c r="A40" s="165" t="s">
        <v>745</v>
      </c>
      <c r="B40" s="94" t="s">
        <v>341</v>
      </c>
      <c r="C40" s="90" t="s">
        <v>342</v>
      </c>
      <c r="D40" s="96" t="str">
        <f ca="1">IFERROR(fn취약대상('요약 통계'!40:40),"-")</f>
        <v>-</v>
      </c>
    </row>
    <row r="41" spans="1:4" ht="16.5" customHeight="1">
      <c r="A41" s="165" t="s">
        <v>742</v>
      </c>
      <c r="B41" s="94" t="s">
        <v>348</v>
      </c>
      <c r="C41" s="90" t="s">
        <v>349</v>
      </c>
      <c r="D41" s="96" t="str">
        <f ca="1">IFERROR(fn취약대상('요약 통계'!41:41),"-")</f>
        <v>-</v>
      </c>
    </row>
    <row r="42" spans="1:4" ht="16.5" customHeight="1">
      <c r="A42" s="165" t="s">
        <v>745</v>
      </c>
      <c r="B42" s="94" t="s">
        <v>355</v>
      </c>
      <c r="C42" s="90" t="s">
        <v>356</v>
      </c>
      <c r="D42" s="96" t="str">
        <f ca="1">IFERROR(fn취약대상('요약 통계'!42:42),"-")</f>
        <v>-</v>
      </c>
    </row>
    <row r="43" spans="1:4" ht="16.5" customHeight="1">
      <c r="A43" s="165" t="s">
        <v>745</v>
      </c>
      <c r="B43" s="94" t="s">
        <v>361</v>
      </c>
      <c r="C43" s="90" t="s">
        <v>362</v>
      </c>
      <c r="D43" s="96" t="str">
        <f ca="1">IFERROR(fn취약대상('요약 통계'!43:43),"-")</f>
        <v>-</v>
      </c>
    </row>
    <row r="44" spans="1:4" ht="16.5" customHeight="1">
      <c r="A44" s="165" t="s">
        <v>745</v>
      </c>
      <c r="B44" s="94" t="s">
        <v>367</v>
      </c>
      <c r="C44" s="90" t="s">
        <v>368</v>
      </c>
      <c r="D44" s="96" t="str">
        <f ca="1">IFERROR(fn취약대상('요약 통계'!44:44),"-")</f>
        <v>-</v>
      </c>
    </row>
    <row r="45" spans="1:4" ht="16.5" customHeight="1">
      <c r="A45" s="165" t="s">
        <v>742</v>
      </c>
      <c r="B45" s="94" t="s">
        <v>374</v>
      </c>
      <c r="C45" s="90" t="s">
        <v>375</v>
      </c>
      <c r="D45" s="96" t="str">
        <f ca="1">IFERROR(fn취약대상('요약 통계'!45:45),"-")</f>
        <v>-</v>
      </c>
    </row>
    <row r="46" spans="1:4" ht="16.5" customHeight="1">
      <c r="A46" s="165" t="s">
        <v>742</v>
      </c>
      <c r="B46" s="94" t="s">
        <v>381</v>
      </c>
      <c r="C46" s="90" t="s">
        <v>382</v>
      </c>
      <c r="D46" s="96" t="str">
        <f ca="1">IFERROR(fn취약대상('요약 통계'!46:46),"-")</f>
        <v>-</v>
      </c>
    </row>
    <row r="47" spans="1:4" ht="16.5" customHeight="1">
      <c r="A47" s="165" t="s">
        <v>742</v>
      </c>
      <c r="B47" s="94" t="s">
        <v>388</v>
      </c>
      <c r="C47" s="90" t="s">
        <v>389</v>
      </c>
      <c r="D47" s="96" t="str">
        <f ca="1">IFERROR(fn취약대상('요약 통계'!47:47),"-")</f>
        <v>-</v>
      </c>
    </row>
    <row r="48" spans="1:4" ht="16.5" customHeight="1">
      <c r="A48" s="165" t="s">
        <v>742</v>
      </c>
      <c r="B48" s="94" t="s">
        <v>395</v>
      </c>
      <c r="C48" s="90" t="s">
        <v>396</v>
      </c>
      <c r="D48" s="96" t="str">
        <f ca="1">IFERROR(fn취약대상('요약 통계'!48:48),"-")</f>
        <v>-</v>
      </c>
    </row>
    <row r="49" spans="1:4" ht="16.5" customHeight="1">
      <c r="A49" s="165" t="s">
        <v>742</v>
      </c>
      <c r="B49" s="94" t="s">
        <v>402</v>
      </c>
      <c r="C49" s="90" t="s">
        <v>403</v>
      </c>
      <c r="D49" s="96" t="str">
        <f ca="1">IFERROR(fn취약대상('요약 통계'!49:49),"-")</f>
        <v>-</v>
      </c>
    </row>
    <row r="50" spans="1:4" ht="16.5" customHeight="1">
      <c r="A50" s="165" t="s">
        <v>742</v>
      </c>
      <c r="B50" s="94" t="s">
        <v>409</v>
      </c>
      <c r="C50" s="90" t="s">
        <v>410</v>
      </c>
      <c r="D50" s="96" t="str">
        <f ca="1">IFERROR(fn취약대상('요약 통계'!50:50),"-")</f>
        <v>-</v>
      </c>
    </row>
    <row r="51" spans="1:4" ht="16.5" customHeight="1">
      <c r="A51" s="165" t="s">
        <v>742</v>
      </c>
      <c r="B51" s="94" t="s">
        <v>416</v>
      </c>
      <c r="C51" s="90" t="s">
        <v>417</v>
      </c>
      <c r="D51" s="96" t="str">
        <f ca="1">IFERROR(fn취약대상('요약 통계'!51:51),"-")</f>
        <v>-</v>
      </c>
    </row>
    <row r="52" spans="1:4" ht="16.5" customHeight="1">
      <c r="A52" s="165" t="s">
        <v>742</v>
      </c>
      <c r="B52" s="94" t="s">
        <v>423</v>
      </c>
      <c r="C52" s="90" t="s">
        <v>424</v>
      </c>
      <c r="D52" s="96" t="str">
        <f ca="1">IFERROR(fn취약대상('요약 통계'!52:52),"-")</f>
        <v>-</v>
      </c>
    </row>
    <row r="53" spans="1:4" ht="16.5" customHeight="1">
      <c r="A53" s="165" t="s">
        <v>742</v>
      </c>
      <c r="B53" s="94" t="s">
        <v>431</v>
      </c>
      <c r="C53" s="90" t="s">
        <v>432</v>
      </c>
      <c r="D53" s="96" t="str">
        <f ca="1">IFERROR(fn취약대상('요약 통계'!53:53),"-")</f>
        <v>-</v>
      </c>
    </row>
    <row r="54" spans="1:4" ht="16.5" customHeight="1">
      <c r="A54" s="165" t="s">
        <v>742</v>
      </c>
      <c r="B54" s="94" t="s">
        <v>438</v>
      </c>
      <c r="C54" s="90" t="s">
        <v>439</v>
      </c>
      <c r="D54" s="96" t="str">
        <f ca="1">IFERROR(fn취약대상('요약 통계'!54:54),"-")</f>
        <v>-</v>
      </c>
    </row>
    <row r="55" spans="1:4" ht="16.5" customHeight="1">
      <c r="A55" s="165" t="s">
        <v>742</v>
      </c>
      <c r="B55" s="94" t="s">
        <v>445</v>
      </c>
      <c r="C55" s="90" t="s">
        <v>446</v>
      </c>
      <c r="D55" s="96" t="str">
        <f ca="1">IFERROR(fn취약대상('요약 통계'!55:55),"-")</f>
        <v>-</v>
      </c>
    </row>
    <row r="56" spans="1:4" ht="16.5" customHeight="1">
      <c r="A56" s="165" t="s">
        <v>742</v>
      </c>
      <c r="B56" s="94" t="s">
        <v>452</v>
      </c>
      <c r="C56" s="90" t="s">
        <v>453</v>
      </c>
      <c r="D56" s="96" t="str">
        <f ca="1">IFERROR(fn취약대상('요약 통계'!56:56),"-")</f>
        <v>-</v>
      </c>
    </row>
    <row r="57" spans="1:4" ht="16.5" customHeight="1">
      <c r="A57" s="165" t="s">
        <v>742</v>
      </c>
      <c r="B57" s="94" t="s">
        <v>459</v>
      </c>
      <c r="C57" s="90" t="s">
        <v>460</v>
      </c>
      <c r="D57" s="96" t="str">
        <f ca="1">IFERROR(fn취약대상('요약 통계'!57:57),"-")</f>
        <v>-</v>
      </c>
    </row>
    <row r="58" spans="1:4" ht="16.5" customHeight="1">
      <c r="A58" s="165" t="s">
        <v>742</v>
      </c>
      <c r="B58" s="94" t="s">
        <v>466</v>
      </c>
      <c r="C58" s="90" t="s">
        <v>467</v>
      </c>
      <c r="D58" s="96" t="str">
        <f ca="1">IFERROR(fn취약대상('요약 통계'!58:58),"-")</f>
        <v>-</v>
      </c>
    </row>
    <row r="59" spans="1:4" ht="16.5" customHeight="1">
      <c r="A59" s="165" t="s">
        <v>742</v>
      </c>
      <c r="B59" s="94" t="s">
        <v>473</v>
      </c>
      <c r="C59" s="90" t="s">
        <v>474</v>
      </c>
      <c r="D59" s="96" t="str">
        <f ca="1">IFERROR(fn취약대상('요약 통계'!59:59),"-")</f>
        <v>-</v>
      </c>
    </row>
    <row r="60" spans="1:4" ht="16.5" customHeight="1">
      <c r="A60" s="165" t="s">
        <v>746</v>
      </c>
      <c r="B60" s="94" t="s">
        <v>481</v>
      </c>
      <c r="C60" s="90" t="s">
        <v>482</v>
      </c>
      <c r="D60" s="96" t="str">
        <f ca="1">IFERROR(fn취약대상('요약 통계'!60:60),"-")</f>
        <v>-</v>
      </c>
    </row>
    <row r="61" spans="1:4" ht="16.5" customHeight="1">
      <c r="A61" s="165" t="s">
        <v>746</v>
      </c>
      <c r="B61" s="94" t="s">
        <v>487</v>
      </c>
      <c r="C61" s="90" t="s">
        <v>488</v>
      </c>
      <c r="D61" s="96" t="str">
        <f ca="1">IFERROR(fn취약대상('요약 통계'!61:61),"-")</f>
        <v>-</v>
      </c>
    </row>
    <row r="62" spans="1:4" ht="16.5" customHeight="1">
      <c r="A62" s="165" t="s">
        <v>742</v>
      </c>
      <c r="B62" s="94" t="s">
        <v>494</v>
      </c>
      <c r="C62" s="90" t="s">
        <v>495</v>
      </c>
      <c r="D62" s="96" t="str">
        <f ca="1">IFERROR(fn취약대상('요약 통계'!62:62),"-")</f>
        <v>-</v>
      </c>
    </row>
    <row r="63" spans="1:4" ht="16.5" customHeight="1">
      <c r="A63" s="165" t="s">
        <v>742</v>
      </c>
      <c r="B63" s="94" t="s">
        <v>501</v>
      </c>
      <c r="C63" s="90" t="s">
        <v>502</v>
      </c>
      <c r="D63" s="96" t="str">
        <f ca="1">IFERROR(fn취약대상('요약 통계'!63:63),"-")</f>
        <v>-</v>
      </c>
    </row>
    <row r="64" spans="1:4" ht="16.5" customHeight="1">
      <c r="A64" s="165" t="s">
        <v>745</v>
      </c>
      <c r="B64" s="94" t="s">
        <v>507</v>
      </c>
      <c r="C64" s="90" t="s">
        <v>508</v>
      </c>
      <c r="D64" s="96" t="str">
        <f ca="1">IFERROR(fn취약대상('요약 통계'!64:64),"-")</f>
        <v>-</v>
      </c>
    </row>
    <row r="65" spans="1:4" ht="16.5" customHeight="1">
      <c r="A65" s="165" t="s">
        <v>745</v>
      </c>
      <c r="B65" s="94" t="s">
        <v>514</v>
      </c>
      <c r="C65" s="90" t="s">
        <v>515</v>
      </c>
      <c r="D65" s="96" t="str">
        <f ca="1">IFERROR(fn취약대상('요약 통계'!65:65),"-")</f>
        <v>-</v>
      </c>
    </row>
    <row r="66" spans="1:4" ht="16.5" customHeight="1">
      <c r="A66" s="165" t="s">
        <v>742</v>
      </c>
      <c r="B66" s="94" t="s">
        <v>521</v>
      </c>
      <c r="C66" s="90" t="s">
        <v>522</v>
      </c>
      <c r="D66" s="96" t="str">
        <f ca="1">IFERROR(fn취약대상('요약 통계'!66:66),"-")</f>
        <v>-</v>
      </c>
    </row>
    <row r="67" spans="1:4" ht="16.5" customHeight="1">
      <c r="A67" s="165" t="s">
        <v>742</v>
      </c>
      <c r="B67" s="94" t="s">
        <v>528</v>
      </c>
      <c r="C67" s="90" t="s">
        <v>529</v>
      </c>
      <c r="D67" s="96" t="str">
        <f ca="1">IFERROR(fn취약대상('요약 통계'!67:67),"-")</f>
        <v>-</v>
      </c>
    </row>
    <row r="68" spans="1:4" ht="16.5" customHeight="1">
      <c r="A68" s="165" t="s">
        <v>742</v>
      </c>
      <c r="B68" s="94" t="s">
        <v>535</v>
      </c>
      <c r="C68" s="90" t="s">
        <v>536</v>
      </c>
      <c r="D68" s="96" t="str">
        <f ca="1">IFERROR(fn취약대상('요약 통계'!68:68),"-")</f>
        <v>-</v>
      </c>
    </row>
    <row r="69" spans="1:4" ht="16.5" customHeight="1">
      <c r="A69" s="165" t="s">
        <v>742</v>
      </c>
      <c r="B69" s="94" t="s">
        <v>542</v>
      </c>
      <c r="C69" s="90" t="s">
        <v>543</v>
      </c>
      <c r="D69" s="96" t="str">
        <f ca="1">IFERROR(fn취약대상('요약 통계'!69:69),"-")</f>
        <v>-</v>
      </c>
    </row>
    <row r="70" spans="1:4" ht="16.5" customHeight="1">
      <c r="A70" s="165" t="s">
        <v>742</v>
      </c>
      <c r="B70" s="94" t="s">
        <v>549</v>
      </c>
      <c r="C70" s="90" t="s">
        <v>550</v>
      </c>
      <c r="D70" s="96" t="str">
        <f ca="1">IFERROR(fn취약대상('요약 통계'!70:70),"-")</f>
        <v>-</v>
      </c>
    </row>
    <row r="71" spans="1:4" ht="16.5" customHeight="1">
      <c r="A71" s="165" t="s">
        <v>742</v>
      </c>
      <c r="B71" s="94" t="s">
        <v>555</v>
      </c>
      <c r="C71" s="90" t="s">
        <v>556</v>
      </c>
      <c r="D71" s="96" t="str">
        <f ca="1">IFERROR(fn취약대상('요약 통계'!71:71),"-")</f>
        <v>-</v>
      </c>
    </row>
    <row r="72" spans="1:4" ht="16.5" customHeight="1">
      <c r="A72" s="165" t="s">
        <v>742</v>
      </c>
      <c r="B72" s="94" t="s">
        <v>561</v>
      </c>
      <c r="C72" s="90" t="s">
        <v>562</v>
      </c>
      <c r="D72" s="96" t="str">
        <f ca="1">IFERROR(fn취약대상('요약 통계'!72:72),"-")</f>
        <v>-</v>
      </c>
    </row>
    <row r="73" spans="1:4" ht="16.5" customHeight="1">
      <c r="A73" s="165" t="s">
        <v>742</v>
      </c>
      <c r="B73" s="94" t="s">
        <v>566</v>
      </c>
      <c r="C73" s="90" t="s">
        <v>567</v>
      </c>
      <c r="D73" s="96" t="str">
        <f ca="1">IFERROR(fn취약대상('요약 통계'!73:73),"-")</f>
        <v>-</v>
      </c>
    </row>
    <row r="74" spans="1:4" ht="16.5" customHeight="1">
      <c r="A74" s="165" t="s">
        <v>742</v>
      </c>
      <c r="B74" s="94" t="s">
        <v>573</v>
      </c>
      <c r="C74" s="90" t="s">
        <v>866</v>
      </c>
      <c r="D74" s="96" t="str">
        <f ca="1">IFERROR(fn취약대상('요약 통계'!74:74),"-")</f>
        <v>-</v>
      </c>
    </row>
    <row r="75" spans="1:4" ht="16.5" customHeight="1">
      <c r="A75" s="165" t="s">
        <v>742</v>
      </c>
      <c r="B75" s="94" t="s">
        <v>576</v>
      </c>
      <c r="C75" s="90" t="s">
        <v>577</v>
      </c>
      <c r="D75" s="96" t="str">
        <f ca="1">IFERROR(fn취약대상('요약 통계'!75:75),"-")</f>
        <v>-</v>
      </c>
    </row>
    <row r="76" spans="1:4" ht="16.5" customHeight="1">
      <c r="A76" s="165" t="s">
        <v>742</v>
      </c>
      <c r="B76" s="94" t="s">
        <v>581</v>
      </c>
      <c r="C76" s="90" t="s">
        <v>582</v>
      </c>
      <c r="D76" s="96" t="str">
        <f ca="1">IFERROR(fn취약대상('요약 통계'!76:76),"-")</f>
        <v>-</v>
      </c>
    </row>
    <row r="77" spans="1:4" ht="16.5" customHeight="1">
      <c r="A77" s="165" t="s">
        <v>745</v>
      </c>
      <c r="B77" s="94" t="s">
        <v>588</v>
      </c>
      <c r="C77" s="90" t="s">
        <v>589</v>
      </c>
      <c r="D77" s="96" t="str">
        <f ca="1">IFERROR(fn취약대상('요약 통계'!77:77),"-")</f>
        <v>-</v>
      </c>
    </row>
    <row r="78" spans="1:4" ht="16.5" customHeight="1">
      <c r="A78" s="165" t="s">
        <v>742</v>
      </c>
      <c r="B78" s="94" t="s">
        <v>595</v>
      </c>
      <c r="C78" s="90" t="s">
        <v>596</v>
      </c>
      <c r="D78" s="96" t="str">
        <f ca="1">IFERROR(fn취약대상('요약 통계'!78:78),"-")</f>
        <v>-</v>
      </c>
    </row>
    <row r="79" spans="1:4" ht="16.5" customHeight="1">
      <c r="A79" s="165" t="s">
        <v>742</v>
      </c>
      <c r="B79" s="94" t="s">
        <v>602</v>
      </c>
      <c r="C79" s="90" t="s">
        <v>603</v>
      </c>
      <c r="D79" s="96" t="str">
        <f ca="1">IFERROR(fn취약대상('요약 통계'!79:79),"-")</f>
        <v>-</v>
      </c>
    </row>
    <row r="80" spans="1:4" ht="16.5" customHeight="1">
      <c r="A80" s="165" t="s">
        <v>742</v>
      </c>
      <c r="B80" s="94" t="s">
        <v>609</v>
      </c>
      <c r="C80" s="90" t="s">
        <v>610</v>
      </c>
      <c r="D80" s="96" t="str">
        <f ca="1">IFERROR(fn취약대상('요약 통계'!80:80),"-")</f>
        <v>-</v>
      </c>
    </row>
    <row r="81" spans="1:4" ht="16.5" customHeight="1">
      <c r="A81" s="165" t="s">
        <v>742</v>
      </c>
      <c r="B81" s="94" t="s">
        <v>615</v>
      </c>
      <c r="C81" s="90" t="s">
        <v>616</v>
      </c>
      <c r="D81" s="96" t="str">
        <f ca="1">IFERROR(fn취약대상('요약 통계'!81:81),"-")</f>
        <v>-</v>
      </c>
    </row>
    <row r="82" spans="1:4" ht="16.5" customHeight="1">
      <c r="A82" s="165" t="s">
        <v>742</v>
      </c>
      <c r="B82" s="94" t="s">
        <v>622</v>
      </c>
      <c r="C82" s="90" t="s">
        <v>623</v>
      </c>
      <c r="D82" s="96" t="str">
        <f ca="1">IFERROR(fn취약대상('요약 통계'!82:82),"-")</f>
        <v>-</v>
      </c>
    </row>
    <row r="83" spans="1:4" ht="16.5" customHeight="1">
      <c r="A83" s="165" t="s">
        <v>742</v>
      </c>
      <c r="B83" s="94" t="s">
        <v>628</v>
      </c>
      <c r="C83" s="90" t="s">
        <v>629</v>
      </c>
      <c r="D83" s="96" t="str">
        <f ca="1">IFERROR(fn취약대상('요약 통계'!83:83),"-")</f>
        <v>-</v>
      </c>
    </row>
    <row r="84" spans="1:4" ht="16.5" customHeight="1">
      <c r="A84" s="165" t="s">
        <v>742</v>
      </c>
      <c r="B84" s="94" t="s">
        <v>635</v>
      </c>
      <c r="C84" s="90" t="s">
        <v>636</v>
      </c>
      <c r="D84" s="96" t="str">
        <f ca="1">IFERROR(fn취약대상('요약 통계'!84:84),"-")</f>
        <v>-</v>
      </c>
    </row>
    <row r="85" spans="1:4">
      <c r="A85" s="165" t="s">
        <v>109</v>
      </c>
      <c r="B85" s="94" t="s">
        <v>855</v>
      </c>
      <c r="C85" s="90" t="s">
        <v>642</v>
      </c>
      <c r="D85" s="96" t="str">
        <f ca="1">IFERROR(fn취약대상('요약 통계'!85:85),"-")</f>
        <v>-</v>
      </c>
    </row>
    <row r="86" spans="1:4">
      <c r="A86" s="165" t="s">
        <v>109</v>
      </c>
      <c r="B86" s="94" t="s">
        <v>857</v>
      </c>
      <c r="C86" s="90" t="s">
        <v>648</v>
      </c>
      <c r="D86" s="96" t="str">
        <f ca="1">IFERROR(fn취약대상('요약 통계'!86:86),"-")</f>
        <v>-</v>
      </c>
    </row>
    <row r="87" spans="1:4">
      <c r="A87" s="165" t="s">
        <v>109</v>
      </c>
      <c r="B87" s="94" t="s">
        <v>859</v>
      </c>
      <c r="C87" s="90" t="s">
        <v>655</v>
      </c>
      <c r="D87" s="96" t="str">
        <f ca="1">IFERROR(fn취약대상('요약 통계'!87:87),"-")</f>
        <v>-</v>
      </c>
    </row>
    <row r="88" spans="1:4">
      <c r="A88" s="165" t="s">
        <v>109</v>
      </c>
      <c r="B88" s="94" t="s">
        <v>861</v>
      </c>
      <c r="C88" s="90" t="s">
        <v>661</v>
      </c>
      <c r="D88" s="96" t="str">
        <f ca="1">IFERROR(fn취약대상('요약 통계'!88:88),"-")</f>
        <v>-</v>
      </c>
    </row>
    <row r="89" spans="1:4" ht="16.5" customHeight="1"/>
    <row r="90" spans="1:4" ht="16.5" customHeight="1"/>
    <row r="91" spans="1:4" ht="16.5" customHeight="1"/>
    <row r="92" spans="1:4" ht="16.5" customHeight="1"/>
    <row r="93" spans="1:4" ht="16.5" customHeight="1"/>
    <row r="94" spans="1:4" ht="16.5" customHeight="1"/>
    <row r="95" spans="1:4" ht="16.5" customHeight="1"/>
    <row r="96" spans="1:4"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sheetData>
  <mergeCells count="2">
    <mergeCell ref="A4:C4"/>
    <mergeCell ref="D4:D5"/>
  </mergeCells>
  <phoneticPr fontId="1" type="noConversion"/>
  <conditionalFormatting sqref="D6:D84">
    <cfRule type="cellIs" dxfId="64" priority="4" stopIfTrue="1" operator="equal">
      <formula>"취약"</formula>
    </cfRule>
    <cfRule type="cellIs" dxfId="63" priority="5" stopIfTrue="1" operator="equal">
      <formula>"부분만족"</formula>
    </cfRule>
    <cfRule type="cellIs" dxfId="62" priority="6" stopIfTrue="1" operator="equal">
      <formula>"N/A"</formula>
    </cfRule>
  </conditionalFormatting>
  <conditionalFormatting sqref="D85:D88">
    <cfRule type="cellIs" dxfId="61" priority="1" stopIfTrue="1" operator="equal">
      <formula>"취약"</formula>
    </cfRule>
    <cfRule type="cellIs" dxfId="60" priority="2" stopIfTrue="1" operator="equal">
      <formula>"부분만족"</formula>
    </cfRule>
    <cfRule type="cellIs" dxfId="59" priority="3"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4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1"/>
    <pageSetUpPr fitToPage="1"/>
  </sheetPr>
  <dimension ref="A1:N144"/>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4" s="5" customFormat="1" ht="13.5">
      <c r="L1" s="41"/>
      <c r="M1" s="41"/>
    </row>
    <row r="2" spans="1:14" s="7" customFormat="1" ht="18" customHeight="1">
      <c r="A2" s="71" t="s">
        <v>838</v>
      </c>
      <c r="B2" s="6"/>
      <c r="C2" s="6"/>
      <c r="D2" s="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4" t="s">
        <v>685</v>
      </c>
      <c r="B4" s="424"/>
      <c r="C4" s="424"/>
      <c r="D4" s="424" t="s">
        <v>733</v>
      </c>
      <c r="E4" s="424" t="s">
        <v>690</v>
      </c>
      <c r="F4" s="424" t="s">
        <v>734</v>
      </c>
      <c r="G4" s="424"/>
      <c r="H4" s="424"/>
      <c r="I4" s="424"/>
      <c r="J4" s="424"/>
      <c r="K4" s="476">
        <f>'요약 통계'!K4:K5</f>
        <v>0</v>
      </c>
      <c r="L4" s="476" t="str">
        <f ca="1">'요약 통계'!L4:L5</f>
        <v>WINDOWS(샘플)</v>
      </c>
      <c r="M4" s="476" t="str">
        <f ca="1">'요약 통계'!M4:M5</f>
        <v>WINDOWS(샘플)_이행</v>
      </c>
      <c r="N4" s="476">
        <f ca="1">'요약 통계'!N4:N5</f>
        <v>0</v>
      </c>
    </row>
    <row r="5" spans="1:14" ht="17.25" thickBot="1">
      <c r="A5" s="73" t="s">
        <v>735</v>
      </c>
      <c r="B5" s="74" t="s">
        <v>753</v>
      </c>
      <c r="C5" s="74" t="s">
        <v>737</v>
      </c>
      <c r="D5" s="460"/>
      <c r="E5" s="460"/>
      <c r="F5" s="74" t="s">
        <v>738</v>
      </c>
      <c r="G5" s="74" t="s">
        <v>724</v>
      </c>
      <c r="H5" s="74" t="s">
        <v>739</v>
      </c>
      <c r="I5" s="74" t="s">
        <v>740</v>
      </c>
      <c r="J5" s="74" t="s">
        <v>741</v>
      </c>
      <c r="K5" s="477"/>
      <c r="L5" s="477"/>
      <c r="M5" s="477"/>
      <c r="N5" s="477"/>
    </row>
    <row r="6" spans="1:14" ht="16.5" customHeight="1">
      <c r="A6" s="164" t="s">
        <v>742</v>
      </c>
      <c r="B6" s="93" t="s">
        <v>110</v>
      </c>
      <c r="C6" s="87" t="s">
        <v>864</v>
      </c>
      <c r="D6" s="76" t="s">
        <v>743</v>
      </c>
      <c r="E6" s="76">
        <v>3</v>
      </c>
      <c r="F6" s="50">
        <f ca="1">COUNTA($L6:INDIRECT(ADDRESS(ROW(),MATCH("",$4:$4,-1),1,1)))</f>
        <v>0</v>
      </c>
      <c r="G6" s="50">
        <f t="shared" ref="G6:G88" ca="1" si="0">F6-J6</f>
        <v>0</v>
      </c>
      <c r="H6" s="50">
        <f ca="1">COUNTIF($L6:INDIRECT(ADDRESS(ROW(),MATCH("",$4:$4,-1),1,1)),"양호")</f>
        <v>0</v>
      </c>
      <c r="I6" s="50">
        <f ca="1">COUNTIF($L6:INDIRECT(ADDRESS(ROW(),MATCH("",$4:$4,-1),1,1)),"취약")</f>
        <v>0</v>
      </c>
      <c r="J6" s="50">
        <f ca="1">COUNTIF($L6:INDIRECT(ADDRESS(ROW(),MATCH("",$4:$4,-1),1,1)),"N/A")</f>
        <v>0</v>
      </c>
      <c r="K6" s="50"/>
      <c r="L6" s="51"/>
      <c r="M6" s="51"/>
      <c r="N6" s="97"/>
    </row>
    <row r="7" spans="1:14" ht="16.5" customHeight="1">
      <c r="A7" s="165" t="s">
        <v>742</v>
      </c>
      <c r="B7" s="94" t="s">
        <v>116</v>
      </c>
      <c r="C7" s="90" t="s">
        <v>865</v>
      </c>
      <c r="D7" s="77" t="s">
        <v>743</v>
      </c>
      <c r="E7" s="77">
        <v>3</v>
      </c>
      <c r="F7" s="47">
        <f ca="1">COUNTA($L7:INDIRECT(ADDRESS(ROW(),MATCH("",$4:$4,-1),1,1)))</f>
        <v>0</v>
      </c>
      <c r="G7" s="47">
        <f t="shared" ref="G7:G10" ca="1" si="1">F7-J7</f>
        <v>0</v>
      </c>
      <c r="H7" s="47">
        <f ca="1">COUNTIF($L7:INDIRECT(ADDRESS(ROW(),MATCH("",$4:$4,-1),1,1)),"양호")</f>
        <v>0</v>
      </c>
      <c r="I7" s="47">
        <f ca="1">COUNTIF($L7:INDIRECT(ADDRESS(ROW(),MATCH("",$4:$4,-1),1,1)),"취약")</f>
        <v>0</v>
      </c>
      <c r="J7" s="47">
        <f ca="1">COUNTIF($L7:INDIRECT(ADDRESS(ROW(),MATCH("",$4:$4,-1),1,1)),"N/A")</f>
        <v>0</v>
      </c>
      <c r="K7" s="47"/>
      <c r="L7" s="49"/>
      <c r="M7" s="49"/>
      <c r="N7" s="98"/>
    </row>
    <row r="8" spans="1:14" ht="16.5" customHeight="1">
      <c r="A8" s="165" t="s">
        <v>742</v>
      </c>
      <c r="B8" s="94" t="s">
        <v>118</v>
      </c>
      <c r="C8" s="90" t="s">
        <v>119</v>
      </c>
      <c r="D8" s="77" t="s">
        <v>743</v>
      </c>
      <c r="E8" s="77">
        <v>3</v>
      </c>
      <c r="F8" s="47">
        <f ca="1">COUNTA($L8:INDIRECT(ADDRESS(ROW(),MATCH("",$4:$4,-1),1,1)))</f>
        <v>0</v>
      </c>
      <c r="G8" s="47">
        <f t="shared" ca="1" si="1"/>
        <v>0</v>
      </c>
      <c r="H8" s="47">
        <f ca="1">COUNTIF($L8:INDIRECT(ADDRESS(ROW(),MATCH("",$4:$4,-1),1,1)),"양호")</f>
        <v>0</v>
      </c>
      <c r="I8" s="47">
        <f ca="1">COUNTIF($L8:INDIRECT(ADDRESS(ROW(),MATCH("",$4:$4,-1),1,1)),"취약")</f>
        <v>0</v>
      </c>
      <c r="J8" s="47">
        <f ca="1">COUNTIF($L8:INDIRECT(ADDRESS(ROW(),MATCH("",$4:$4,-1),1,1)),"N/A")</f>
        <v>0</v>
      </c>
      <c r="K8" s="47"/>
      <c r="L8" s="49"/>
      <c r="M8" s="49"/>
      <c r="N8" s="98"/>
    </row>
    <row r="9" spans="1:14" ht="16.5" customHeight="1">
      <c r="A9" s="165" t="s">
        <v>742</v>
      </c>
      <c r="B9" s="94" t="s">
        <v>125</v>
      </c>
      <c r="C9" s="90" t="s">
        <v>126</v>
      </c>
      <c r="D9" s="77" t="s">
        <v>714</v>
      </c>
      <c r="E9" s="77">
        <v>5</v>
      </c>
      <c r="F9" s="47">
        <f ca="1">COUNTA($L9:INDIRECT(ADDRESS(ROW(),MATCH("",$4:$4,-1),1,1)))</f>
        <v>0</v>
      </c>
      <c r="G9" s="47">
        <f t="shared" ca="1" si="1"/>
        <v>0</v>
      </c>
      <c r="H9" s="47">
        <f ca="1">COUNTIF($L9:INDIRECT(ADDRESS(ROW(),MATCH("",$4:$4,-1),1,1)),"양호")</f>
        <v>0</v>
      </c>
      <c r="I9" s="47">
        <f ca="1">COUNTIF($L9:INDIRECT(ADDRESS(ROW(),MATCH("",$4:$4,-1),1,1)),"취약")</f>
        <v>0</v>
      </c>
      <c r="J9" s="47">
        <f ca="1">COUNTIF($L9:INDIRECT(ADDRESS(ROW(),MATCH("",$4:$4,-1),1,1)),"N/A")</f>
        <v>0</v>
      </c>
      <c r="K9" s="47"/>
      <c r="L9" s="49"/>
      <c r="M9" s="49"/>
      <c r="N9" s="98"/>
    </row>
    <row r="10" spans="1:14" ht="16.5" customHeight="1">
      <c r="A10" s="165" t="s">
        <v>742</v>
      </c>
      <c r="B10" s="94" t="s">
        <v>133</v>
      </c>
      <c r="C10" s="90" t="s">
        <v>134</v>
      </c>
      <c r="D10" s="77" t="s">
        <v>714</v>
      </c>
      <c r="E10" s="77">
        <v>4</v>
      </c>
      <c r="F10" s="47">
        <f ca="1">COUNTA($L10:INDIRECT(ADDRESS(ROW(),MATCH("",$4:$4,-1),1,1)))</f>
        <v>0</v>
      </c>
      <c r="G10" s="47">
        <f t="shared" ca="1" si="1"/>
        <v>0</v>
      </c>
      <c r="H10" s="47">
        <f ca="1">COUNTIF($L10:INDIRECT(ADDRESS(ROW(),MATCH("",$4:$4,-1),1,1)),"양호")</f>
        <v>0</v>
      </c>
      <c r="I10" s="47">
        <f ca="1">COUNTIF($L10:INDIRECT(ADDRESS(ROW(),MATCH("",$4:$4,-1),1,1)),"취약")</f>
        <v>0</v>
      </c>
      <c r="J10" s="47">
        <f ca="1">COUNTIF($L10:INDIRECT(ADDRESS(ROW(),MATCH("",$4:$4,-1),1,1)),"N/A")</f>
        <v>0</v>
      </c>
      <c r="K10" s="47"/>
      <c r="L10" s="49"/>
      <c r="M10" s="49"/>
      <c r="N10" s="98"/>
    </row>
    <row r="11" spans="1:14" ht="16.5" customHeight="1">
      <c r="A11" s="165" t="s">
        <v>742</v>
      </c>
      <c r="B11" s="94" t="s">
        <v>140</v>
      </c>
      <c r="C11" s="90" t="s">
        <v>141</v>
      </c>
      <c r="D11" s="77" t="s">
        <v>714</v>
      </c>
      <c r="E11" s="77">
        <v>5</v>
      </c>
      <c r="F11" s="47">
        <f ca="1">COUNTA($L11:INDIRECT(ADDRESS(ROW(),MATCH("",$4:$4,-1),1,1)))</f>
        <v>0</v>
      </c>
      <c r="G11" s="47">
        <f t="shared" ca="1" si="0"/>
        <v>0</v>
      </c>
      <c r="H11" s="47">
        <f ca="1">COUNTIF($L11:INDIRECT(ADDRESS(ROW(),MATCH("",$4:$4,-1),1,1)),"양호")</f>
        <v>0</v>
      </c>
      <c r="I11" s="47">
        <f ca="1">COUNTIF($L11:INDIRECT(ADDRESS(ROW(),MATCH("",$4:$4,-1),1,1)),"취약")</f>
        <v>0</v>
      </c>
      <c r="J11" s="47">
        <f ca="1">COUNTIF($L11:INDIRECT(ADDRESS(ROW(),MATCH("",$4:$4,-1),1,1)),"N/A")</f>
        <v>0</v>
      </c>
      <c r="K11" s="47"/>
      <c r="L11" s="49"/>
      <c r="M11" s="49"/>
      <c r="N11" s="98"/>
    </row>
    <row r="12" spans="1:14" ht="16.5" customHeight="1">
      <c r="A12" s="165" t="s">
        <v>742</v>
      </c>
      <c r="B12" s="94" t="s">
        <v>148</v>
      </c>
      <c r="C12" s="90" t="s">
        <v>149</v>
      </c>
      <c r="D12" s="77" t="s">
        <v>714</v>
      </c>
      <c r="E12" s="77">
        <v>5</v>
      </c>
      <c r="F12" s="47">
        <f ca="1">COUNTA($L12:INDIRECT(ADDRESS(ROW(),MATCH("",$4:$4,-1),1,1)))</f>
        <v>0</v>
      </c>
      <c r="G12" s="47">
        <f t="shared" ca="1" si="0"/>
        <v>0</v>
      </c>
      <c r="H12" s="47">
        <f ca="1">COUNTIF($L12:INDIRECT(ADDRESS(ROW(),MATCH("",$4:$4,-1),1,1)),"양호")</f>
        <v>0</v>
      </c>
      <c r="I12" s="47">
        <f ca="1">COUNTIF($L12:INDIRECT(ADDRESS(ROW(),MATCH("",$4:$4,-1),1,1)),"취약")</f>
        <v>0</v>
      </c>
      <c r="J12" s="47">
        <f ca="1">COUNTIF($L12:INDIRECT(ADDRESS(ROW(),MATCH("",$4:$4,-1),1,1)),"N/A")</f>
        <v>0</v>
      </c>
      <c r="K12" s="47"/>
      <c r="L12" s="49"/>
      <c r="M12" s="49"/>
      <c r="N12" s="98"/>
    </row>
    <row r="13" spans="1:14" ht="16.5" customHeight="1">
      <c r="A13" s="165" t="s">
        <v>742</v>
      </c>
      <c r="B13" s="94" t="s">
        <v>154</v>
      </c>
      <c r="C13" s="90" t="s">
        <v>155</v>
      </c>
      <c r="D13" s="77" t="s">
        <v>743</v>
      </c>
      <c r="E13" s="77">
        <v>3</v>
      </c>
      <c r="F13" s="47">
        <f ca="1">COUNTA($L13:INDIRECT(ADDRESS(ROW(),MATCH("",$4:$4,-1),1,1)))</f>
        <v>0</v>
      </c>
      <c r="G13" s="47">
        <f t="shared" ref="G13:G49" ca="1" si="2">F13-J13</f>
        <v>0</v>
      </c>
      <c r="H13" s="47">
        <f ca="1">COUNTIF($L13:INDIRECT(ADDRESS(ROW(),MATCH("",$4:$4,-1),1,1)),"양호")</f>
        <v>0</v>
      </c>
      <c r="I13" s="47">
        <f ca="1">COUNTIF($L13:INDIRECT(ADDRESS(ROW(),MATCH("",$4:$4,-1),1,1)),"취약")</f>
        <v>0</v>
      </c>
      <c r="J13" s="47">
        <f ca="1">COUNTIF($L13:INDIRECT(ADDRESS(ROW(),MATCH("",$4:$4,-1),1,1)),"N/A")</f>
        <v>0</v>
      </c>
      <c r="K13" s="47"/>
      <c r="L13" s="49"/>
      <c r="M13" s="49"/>
      <c r="N13" s="98"/>
    </row>
    <row r="14" spans="1:14" ht="16.5" customHeight="1">
      <c r="A14" s="165" t="s">
        <v>742</v>
      </c>
      <c r="B14" s="94" t="s">
        <v>161</v>
      </c>
      <c r="C14" s="90" t="s">
        <v>162</v>
      </c>
      <c r="D14" s="77" t="s">
        <v>743</v>
      </c>
      <c r="E14" s="77">
        <v>3</v>
      </c>
      <c r="F14" s="47">
        <f ca="1">COUNTA($L14:INDIRECT(ADDRESS(ROW(),MATCH("",$4:$4,-1),1,1)))</f>
        <v>0</v>
      </c>
      <c r="G14" s="47">
        <f t="shared" ca="1" si="2"/>
        <v>0</v>
      </c>
      <c r="H14" s="47">
        <f ca="1">COUNTIF($L14:INDIRECT(ADDRESS(ROW(),MATCH("",$4:$4,-1),1,1)),"양호")</f>
        <v>0</v>
      </c>
      <c r="I14" s="47">
        <f ca="1">COUNTIF($L14:INDIRECT(ADDRESS(ROW(),MATCH("",$4:$4,-1),1,1)),"취약")</f>
        <v>0</v>
      </c>
      <c r="J14" s="47">
        <f ca="1">COUNTIF($L14:INDIRECT(ADDRESS(ROW(),MATCH("",$4:$4,-1),1,1)),"N/A")</f>
        <v>0</v>
      </c>
      <c r="K14" s="47"/>
      <c r="L14" s="49"/>
      <c r="M14" s="49"/>
      <c r="N14" s="98"/>
    </row>
    <row r="15" spans="1:14" ht="16.5" customHeight="1">
      <c r="A15" s="165" t="s">
        <v>742</v>
      </c>
      <c r="B15" s="94" t="s">
        <v>169</v>
      </c>
      <c r="C15" s="90" t="s">
        <v>170</v>
      </c>
      <c r="D15" s="77" t="s">
        <v>743</v>
      </c>
      <c r="E15" s="77">
        <v>3</v>
      </c>
      <c r="F15" s="47">
        <f ca="1">COUNTA($L15:INDIRECT(ADDRESS(ROW(),MATCH("",$4:$4,-1),1,1)))</f>
        <v>0</v>
      </c>
      <c r="G15" s="47">
        <f t="shared" ca="1" si="2"/>
        <v>0</v>
      </c>
      <c r="H15" s="47">
        <f ca="1">COUNTIF($L15:INDIRECT(ADDRESS(ROW(),MATCH("",$4:$4,-1),1,1)),"양호")</f>
        <v>0</v>
      </c>
      <c r="I15" s="47">
        <f ca="1">COUNTIF($L15:INDIRECT(ADDRESS(ROW(),MATCH("",$4:$4,-1),1,1)),"취약")</f>
        <v>0</v>
      </c>
      <c r="J15" s="47">
        <f ca="1">COUNTIF($L15:INDIRECT(ADDRESS(ROW(),MATCH("",$4:$4,-1),1,1)),"N/A")</f>
        <v>0</v>
      </c>
      <c r="K15" s="47"/>
      <c r="L15" s="49"/>
      <c r="M15" s="49"/>
      <c r="N15" s="98"/>
    </row>
    <row r="16" spans="1:14" ht="16.5" customHeight="1">
      <c r="A16" s="165" t="s">
        <v>742</v>
      </c>
      <c r="B16" s="94" t="s">
        <v>176</v>
      </c>
      <c r="C16" s="90" t="s">
        <v>177</v>
      </c>
      <c r="D16" s="77" t="s">
        <v>714</v>
      </c>
      <c r="E16" s="77">
        <v>4</v>
      </c>
      <c r="F16" s="47">
        <f ca="1">COUNTA($L16:INDIRECT(ADDRESS(ROW(),MATCH("",$4:$4,-1),1,1)))</f>
        <v>0</v>
      </c>
      <c r="G16" s="47">
        <f t="shared" ca="1" si="2"/>
        <v>0</v>
      </c>
      <c r="H16" s="47">
        <f ca="1">COUNTIF($L16:INDIRECT(ADDRESS(ROW(),MATCH("",$4:$4,-1),1,1)),"양호")</f>
        <v>0</v>
      </c>
      <c r="I16" s="47">
        <f ca="1">COUNTIF($L16:INDIRECT(ADDRESS(ROW(),MATCH("",$4:$4,-1),1,1)),"취약")</f>
        <v>0</v>
      </c>
      <c r="J16" s="47">
        <f ca="1">COUNTIF($L16:INDIRECT(ADDRESS(ROW(),MATCH("",$4:$4,-1),1,1)),"N/A")</f>
        <v>0</v>
      </c>
      <c r="K16" s="47"/>
      <c r="L16" s="49"/>
      <c r="M16" s="49"/>
      <c r="N16" s="98"/>
    </row>
    <row r="17" spans="1:14" ht="16.5" customHeight="1">
      <c r="A17" s="165" t="s">
        <v>742</v>
      </c>
      <c r="B17" s="94" t="s">
        <v>182</v>
      </c>
      <c r="C17" s="90" t="s">
        <v>183</v>
      </c>
      <c r="D17" s="77" t="s">
        <v>744</v>
      </c>
      <c r="E17" s="77">
        <v>2</v>
      </c>
      <c r="F17" s="47">
        <f ca="1">COUNTA($L17:INDIRECT(ADDRESS(ROW(),MATCH("",$4:$4,-1),1,1)))</f>
        <v>0</v>
      </c>
      <c r="G17" s="47">
        <f t="shared" ca="1" si="2"/>
        <v>0</v>
      </c>
      <c r="H17" s="47">
        <f ca="1">COUNTIF($L17:INDIRECT(ADDRESS(ROW(),MATCH("",$4:$4,-1),1,1)),"양호")</f>
        <v>0</v>
      </c>
      <c r="I17" s="47">
        <f ca="1">COUNTIF($L17:INDIRECT(ADDRESS(ROW(),MATCH("",$4:$4,-1),1,1)),"취약")</f>
        <v>0</v>
      </c>
      <c r="J17" s="47">
        <f ca="1">COUNTIF($L17:INDIRECT(ADDRESS(ROW(),MATCH("",$4:$4,-1),1,1)),"N/A")</f>
        <v>0</v>
      </c>
      <c r="K17" s="47"/>
      <c r="L17" s="49"/>
      <c r="M17" s="49"/>
      <c r="N17" s="98"/>
    </row>
    <row r="18" spans="1:14" ht="16.5" customHeight="1">
      <c r="A18" s="165" t="s">
        <v>742</v>
      </c>
      <c r="B18" s="94" t="s">
        <v>190</v>
      </c>
      <c r="C18" s="90" t="s">
        <v>191</v>
      </c>
      <c r="D18" s="77" t="s">
        <v>743</v>
      </c>
      <c r="E18" s="77">
        <v>3</v>
      </c>
      <c r="F18" s="47">
        <f ca="1">COUNTA($L18:INDIRECT(ADDRESS(ROW(),MATCH("",$4:$4,-1),1,1)))</f>
        <v>0</v>
      </c>
      <c r="G18" s="47">
        <f t="shared" ca="1" si="2"/>
        <v>0</v>
      </c>
      <c r="H18" s="47">
        <f ca="1">COUNTIF($L18:INDIRECT(ADDRESS(ROW(),MATCH("",$4:$4,-1),1,1)),"양호")</f>
        <v>0</v>
      </c>
      <c r="I18" s="47">
        <f ca="1">COUNTIF($L18:INDIRECT(ADDRESS(ROW(),MATCH("",$4:$4,-1),1,1)),"취약")</f>
        <v>0</v>
      </c>
      <c r="J18" s="47">
        <f ca="1">COUNTIF($L18:INDIRECT(ADDRESS(ROW(),MATCH("",$4:$4,-1),1,1)),"N/A")</f>
        <v>0</v>
      </c>
      <c r="K18" s="47"/>
      <c r="L18" s="49"/>
      <c r="M18" s="49"/>
      <c r="N18" s="98"/>
    </row>
    <row r="19" spans="1:14" ht="16.5" customHeight="1">
      <c r="A19" s="165" t="s">
        <v>742</v>
      </c>
      <c r="B19" s="94" t="s">
        <v>197</v>
      </c>
      <c r="C19" s="90" t="s">
        <v>198</v>
      </c>
      <c r="D19" s="77" t="s">
        <v>714</v>
      </c>
      <c r="E19" s="77">
        <v>5</v>
      </c>
      <c r="F19" s="47">
        <f ca="1">COUNTA($L19:INDIRECT(ADDRESS(ROW(),MATCH("",$4:$4,-1),1,1)))</f>
        <v>0</v>
      </c>
      <c r="G19" s="47">
        <f t="shared" ca="1" si="2"/>
        <v>0</v>
      </c>
      <c r="H19" s="47">
        <f ca="1">COUNTIF($L19:INDIRECT(ADDRESS(ROW(),MATCH("",$4:$4,-1),1,1)),"양호")</f>
        <v>0</v>
      </c>
      <c r="I19" s="47">
        <f ca="1">COUNTIF($L19:INDIRECT(ADDRESS(ROW(),MATCH("",$4:$4,-1),1,1)),"취약")</f>
        <v>0</v>
      </c>
      <c r="J19" s="47">
        <f ca="1">COUNTIF($L19:INDIRECT(ADDRESS(ROW(),MATCH("",$4:$4,-1),1,1)),"N/A")</f>
        <v>0</v>
      </c>
      <c r="K19" s="47"/>
      <c r="L19" s="49"/>
      <c r="M19" s="49"/>
      <c r="N19" s="98"/>
    </row>
    <row r="20" spans="1:14" ht="16.5" customHeight="1">
      <c r="A20" s="165" t="s">
        <v>742</v>
      </c>
      <c r="B20" s="94" t="s">
        <v>205</v>
      </c>
      <c r="C20" s="90" t="s">
        <v>206</v>
      </c>
      <c r="D20" s="77" t="s">
        <v>743</v>
      </c>
      <c r="E20" s="77">
        <v>3</v>
      </c>
      <c r="F20" s="47">
        <f ca="1">COUNTA($L20:INDIRECT(ADDRESS(ROW(),MATCH("",$4:$4,-1),1,1)))</f>
        <v>0</v>
      </c>
      <c r="G20" s="47">
        <f t="shared" ca="1" si="2"/>
        <v>0</v>
      </c>
      <c r="H20" s="47">
        <f ca="1">COUNTIF($L20:INDIRECT(ADDRESS(ROW(),MATCH("",$4:$4,-1),1,1)),"양호")</f>
        <v>0</v>
      </c>
      <c r="I20" s="47">
        <f ca="1">COUNTIF($L20:INDIRECT(ADDRESS(ROW(),MATCH("",$4:$4,-1),1,1)),"취약")</f>
        <v>0</v>
      </c>
      <c r="J20" s="47">
        <f ca="1">COUNTIF($L20:INDIRECT(ADDRESS(ROW(),MATCH("",$4:$4,-1),1,1)),"N/A")</f>
        <v>0</v>
      </c>
      <c r="K20" s="47"/>
      <c r="L20" s="49"/>
      <c r="M20" s="49"/>
      <c r="N20" s="98"/>
    </row>
    <row r="21" spans="1:14" ht="16.5" customHeight="1">
      <c r="A21" s="165" t="s">
        <v>742</v>
      </c>
      <c r="B21" s="94" t="s">
        <v>212</v>
      </c>
      <c r="C21" s="90" t="s">
        <v>213</v>
      </c>
      <c r="D21" s="77" t="s">
        <v>743</v>
      </c>
      <c r="E21" s="77">
        <v>3</v>
      </c>
      <c r="F21" s="47">
        <f ca="1">COUNTA($L21:INDIRECT(ADDRESS(ROW(),MATCH("",$4:$4,-1),1,1)))</f>
        <v>0</v>
      </c>
      <c r="G21" s="47">
        <f t="shared" ca="1" si="2"/>
        <v>0</v>
      </c>
      <c r="H21" s="47">
        <f ca="1">COUNTIF($L21:INDIRECT(ADDRESS(ROW(),MATCH("",$4:$4,-1),1,1)),"양호")</f>
        <v>0</v>
      </c>
      <c r="I21" s="47">
        <f ca="1">COUNTIF($L21:INDIRECT(ADDRESS(ROW(),MATCH("",$4:$4,-1),1,1)),"취약")</f>
        <v>0</v>
      </c>
      <c r="J21" s="47">
        <f ca="1">COUNTIF($L21:INDIRECT(ADDRESS(ROW(),MATCH("",$4:$4,-1),1,1)),"N/A")</f>
        <v>0</v>
      </c>
      <c r="K21" s="47"/>
      <c r="L21" s="49"/>
      <c r="M21" s="49"/>
      <c r="N21" s="98"/>
    </row>
    <row r="22" spans="1:14" ht="16.5" customHeight="1">
      <c r="A22" s="165" t="s">
        <v>742</v>
      </c>
      <c r="B22" s="94" t="s">
        <v>218</v>
      </c>
      <c r="C22" s="90" t="s">
        <v>219</v>
      </c>
      <c r="D22" s="77" t="s">
        <v>714</v>
      </c>
      <c r="E22" s="77">
        <v>5</v>
      </c>
      <c r="F22" s="47">
        <f ca="1">COUNTA($L22:INDIRECT(ADDRESS(ROW(),MATCH("",$4:$4,-1),1,1)))</f>
        <v>0</v>
      </c>
      <c r="G22" s="47">
        <f t="shared" ca="1" si="2"/>
        <v>0</v>
      </c>
      <c r="H22" s="47">
        <f ca="1">COUNTIF($L22:INDIRECT(ADDRESS(ROW(),MATCH("",$4:$4,-1),1,1)),"양호")</f>
        <v>0</v>
      </c>
      <c r="I22" s="47">
        <f ca="1">COUNTIF($L22:INDIRECT(ADDRESS(ROW(),MATCH("",$4:$4,-1),1,1)),"취약")</f>
        <v>0</v>
      </c>
      <c r="J22" s="47">
        <f ca="1">COUNTIF($L22:INDIRECT(ADDRESS(ROW(),MATCH("",$4:$4,-1),1,1)),"N/A")</f>
        <v>0</v>
      </c>
      <c r="K22" s="47"/>
      <c r="L22" s="49"/>
      <c r="M22" s="49"/>
      <c r="N22" s="98"/>
    </row>
    <row r="23" spans="1:14" ht="16.5" customHeight="1">
      <c r="A23" s="165" t="s">
        <v>742</v>
      </c>
      <c r="B23" s="94" t="s">
        <v>225</v>
      </c>
      <c r="C23" s="90" t="s">
        <v>226</v>
      </c>
      <c r="D23" s="77" t="s">
        <v>714</v>
      </c>
      <c r="E23" s="77">
        <v>5</v>
      </c>
      <c r="F23" s="47">
        <f ca="1">COUNTA($L23:INDIRECT(ADDRESS(ROW(),MATCH("",$4:$4,-1),1,1)))</f>
        <v>0</v>
      </c>
      <c r="G23" s="47">
        <f t="shared" ca="1" si="2"/>
        <v>0</v>
      </c>
      <c r="H23" s="47">
        <f ca="1">COUNTIF($L23:INDIRECT(ADDRESS(ROW(),MATCH("",$4:$4,-1),1,1)),"양호")</f>
        <v>0</v>
      </c>
      <c r="I23" s="47">
        <f ca="1">COUNTIF($L23:INDIRECT(ADDRESS(ROW(),MATCH("",$4:$4,-1),1,1)),"취약")</f>
        <v>0</v>
      </c>
      <c r="J23" s="47">
        <f ca="1">COUNTIF($L23:INDIRECT(ADDRESS(ROW(),MATCH("",$4:$4,-1),1,1)),"N/A")</f>
        <v>0</v>
      </c>
      <c r="K23" s="47"/>
      <c r="L23" s="49"/>
      <c r="M23" s="49"/>
      <c r="N23" s="98"/>
    </row>
    <row r="24" spans="1:14" ht="16.5" customHeight="1">
      <c r="A24" s="165" t="s">
        <v>742</v>
      </c>
      <c r="B24" s="94" t="s">
        <v>232</v>
      </c>
      <c r="C24" s="90" t="s">
        <v>233</v>
      </c>
      <c r="D24" s="77" t="s">
        <v>714</v>
      </c>
      <c r="E24" s="77">
        <v>5</v>
      </c>
      <c r="F24" s="47">
        <f ca="1">COUNTA($L24:INDIRECT(ADDRESS(ROW(),MATCH("",$4:$4,-1),1,1)))</f>
        <v>0</v>
      </c>
      <c r="G24" s="47">
        <f t="shared" ca="1" si="2"/>
        <v>0</v>
      </c>
      <c r="H24" s="47">
        <f ca="1">COUNTIF($L24:INDIRECT(ADDRESS(ROW(),MATCH("",$4:$4,-1),1,1)),"양호")</f>
        <v>0</v>
      </c>
      <c r="I24" s="47">
        <f ca="1">COUNTIF($L24:INDIRECT(ADDRESS(ROW(),MATCH("",$4:$4,-1),1,1)),"취약")</f>
        <v>0</v>
      </c>
      <c r="J24" s="47">
        <f ca="1">COUNTIF($L24:INDIRECT(ADDRESS(ROW(),MATCH("",$4:$4,-1),1,1)),"N/A")</f>
        <v>0</v>
      </c>
      <c r="K24" s="47"/>
      <c r="L24" s="49"/>
      <c r="M24" s="49"/>
      <c r="N24" s="98"/>
    </row>
    <row r="25" spans="1:14" ht="16.5" customHeight="1">
      <c r="A25" s="165" t="s">
        <v>742</v>
      </c>
      <c r="B25" s="94" t="s">
        <v>239</v>
      </c>
      <c r="C25" s="90" t="s">
        <v>240</v>
      </c>
      <c r="D25" s="77" t="s">
        <v>714</v>
      </c>
      <c r="E25" s="77">
        <v>4</v>
      </c>
      <c r="F25" s="47">
        <f ca="1">COUNTA($L25:INDIRECT(ADDRESS(ROW(),MATCH("",$4:$4,-1),1,1)))</f>
        <v>0</v>
      </c>
      <c r="G25" s="47">
        <f t="shared" ca="1" si="2"/>
        <v>0</v>
      </c>
      <c r="H25" s="47">
        <f ca="1">COUNTIF($L25:INDIRECT(ADDRESS(ROW(),MATCH("",$4:$4,-1),1,1)),"양호")</f>
        <v>0</v>
      </c>
      <c r="I25" s="47">
        <f ca="1">COUNTIF($L25:INDIRECT(ADDRESS(ROW(),MATCH("",$4:$4,-1),1,1)),"취약")</f>
        <v>0</v>
      </c>
      <c r="J25" s="47">
        <f ca="1">COUNTIF($L25:INDIRECT(ADDRESS(ROW(),MATCH("",$4:$4,-1),1,1)),"N/A")</f>
        <v>0</v>
      </c>
      <c r="K25" s="47"/>
      <c r="L25" s="49"/>
      <c r="M25" s="49"/>
      <c r="N25" s="98"/>
    </row>
    <row r="26" spans="1:14" ht="16.5" customHeight="1">
      <c r="A26" s="165" t="s">
        <v>742</v>
      </c>
      <c r="B26" s="94" t="s">
        <v>246</v>
      </c>
      <c r="C26" s="90" t="s">
        <v>247</v>
      </c>
      <c r="D26" s="77" t="s">
        <v>714</v>
      </c>
      <c r="E26" s="77">
        <v>4</v>
      </c>
      <c r="F26" s="47">
        <f ca="1">COUNTA($L26:INDIRECT(ADDRESS(ROW(),MATCH("",$4:$4,-1),1,1)))</f>
        <v>0</v>
      </c>
      <c r="G26" s="47">
        <f t="shared" ca="1" si="2"/>
        <v>0</v>
      </c>
      <c r="H26" s="47">
        <f ca="1">COUNTIF($L26:INDIRECT(ADDRESS(ROW(),MATCH("",$4:$4,-1),1,1)),"양호")</f>
        <v>0</v>
      </c>
      <c r="I26" s="47">
        <f ca="1">COUNTIF($L26:INDIRECT(ADDRESS(ROW(),MATCH("",$4:$4,-1),1,1)),"취약")</f>
        <v>0</v>
      </c>
      <c r="J26" s="47">
        <f ca="1">COUNTIF($L26:INDIRECT(ADDRESS(ROW(),MATCH("",$4:$4,-1),1,1)),"N/A")</f>
        <v>0</v>
      </c>
      <c r="K26" s="47"/>
      <c r="L26" s="49"/>
      <c r="M26" s="49"/>
      <c r="N26" s="98"/>
    </row>
    <row r="27" spans="1:14" ht="16.5" customHeight="1">
      <c r="A27" s="165" t="s">
        <v>742</v>
      </c>
      <c r="B27" s="94" t="s">
        <v>253</v>
      </c>
      <c r="C27" s="90" t="s">
        <v>254</v>
      </c>
      <c r="D27" s="77" t="s">
        <v>714</v>
      </c>
      <c r="E27" s="77">
        <v>5</v>
      </c>
      <c r="F27" s="47">
        <f ca="1">COUNTA($L27:INDIRECT(ADDRESS(ROW(),MATCH("",$4:$4,-1),1,1)))</f>
        <v>0</v>
      </c>
      <c r="G27" s="47">
        <f t="shared" ca="1" si="2"/>
        <v>0</v>
      </c>
      <c r="H27" s="47">
        <f ca="1">COUNTIF($L27:INDIRECT(ADDRESS(ROW(),MATCH("",$4:$4,-1),1,1)),"양호")</f>
        <v>0</v>
      </c>
      <c r="I27" s="47">
        <f ca="1">COUNTIF($L27:INDIRECT(ADDRESS(ROW(),MATCH("",$4:$4,-1),1,1)),"취약")</f>
        <v>0</v>
      </c>
      <c r="J27" s="47">
        <f ca="1">COUNTIF($L27:INDIRECT(ADDRESS(ROW(),MATCH("",$4:$4,-1),1,1)),"N/A")</f>
        <v>0</v>
      </c>
      <c r="K27" s="47"/>
      <c r="L27" s="49"/>
      <c r="M27" s="49"/>
      <c r="N27" s="98"/>
    </row>
    <row r="28" spans="1:14" ht="16.5" customHeight="1">
      <c r="A28" s="165" t="s">
        <v>742</v>
      </c>
      <c r="B28" s="94" t="s">
        <v>260</v>
      </c>
      <c r="C28" s="90" t="s">
        <v>261</v>
      </c>
      <c r="D28" s="77" t="s">
        <v>714</v>
      </c>
      <c r="E28" s="77">
        <v>4</v>
      </c>
      <c r="F28" s="47">
        <f ca="1">COUNTA($L28:INDIRECT(ADDRESS(ROW(),MATCH("",$4:$4,-1),1,1)))</f>
        <v>0</v>
      </c>
      <c r="G28" s="47">
        <f t="shared" ca="1" si="2"/>
        <v>0</v>
      </c>
      <c r="H28" s="47">
        <f ca="1">COUNTIF($L28:INDIRECT(ADDRESS(ROW(),MATCH("",$4:$4,-1),1,1)),"양호")</f>
        <v>0</v>
      </c>
      <c r="I28" s="47">
        <f ca="1">COUNTIF($L28:INDIRECT(ADDRESS(ROW(),MATCH("",$4:$4,-1),1,1)),"취약")</f>
        <v>0</v>
      </c>
      <c r="J28" s="47">
        <f ca="1">COUNTIF($L28:INDIRECT(ADDRESS(ROW(),MATCH("",$4:$4,-1),1,1)),"N/A")</f>
        <v>0</v>
      </c>
      <c r="K28" s="47"/>
      <c r="L28" s="49"/>
      <c r="M28" s="49"/>
      <c r="N28" s="98"/>
    </row>
    <row r="29" spans="1:14" ht="16.5" customHeight="1">
      <c r="A29" s="165" t="s">
        <v>742</v>
      </c>
      <c r="B29" s="94" t="s">
        <v>267</v>
      </c>
      <c r="C29" s="90" t="s">
        <v>268</v>
      </c>
      <c r="D29" s="77" t="s">
        <v>714</v>
      </c>
      <c r="E29" s="77">
        <v>4</v>
      </c>
      <c r="F29" s="47">
        <f ca="1">COUNTA($L29:INDIRECT(ADDRESS(ROW(),MATCH("",$4:$4,-1),1,1)))</f>
        <v>0</v>
      </c>
      <c r="G29" s="47">
        <f t="shared" ca="1" si="2"/>
        <v>0</v>
      </c>
      <c r="H29" s="47">
        <f ca="1">COUNTIF($L29:INDIRECT(ADDRESS(ROW(),MATCH("",$4:$4,-1),1,1)),"양호")</f>
        <v>0</v>
      </c>
      <c r="I29" s="47">
        <f ca="1">COUNTIF($L29:INDIRECT(ADDRESS(ROW(),MATCH("",$4:$4,-1),1,1)),"취약")</f>
        <v>0</v>
      </c>
      <c r="J29" s="47">
        <f ca="1">COUNTIF($L29:INDIRECT(ADDRESS(ROW(),MATCH("",$4:$4,-1),1,1)),"N/A")</f>
        <v>0</v>
      </c>
      <c r="K29" s="47"/>
      <c r="L29" s="49"/>
      <c r="M29" s="49"/>
      <c r="N29" s="98"/>
    </row>
    <row r="30" spans="1:14" ht="16.5" customHeight="1">
      <c r="A30" s="165" t="s">
        <v>742</v>
      </c>
      <c r="B30" s="94" t="s">
        <v>274</v>
      </c>
      <c r="C30" s="90" t="s">
        <v>275</v>
      </c>
      <c r="D30" s="77" t="s">
        <v>743</v>
      </c>
      <c r="E30" s="77">
        <v>3</v>
      </c>
      <c r="F30" s="47">
        <f ca="1">COUNTA($L30:INDIRECT(ADDRESS(ROW(),MATCH("",$4:$4,-1),1,1)))</f>
        <v>0</v>
      </c>
      <c r="G30" s="47">
        <f t="shared" ca="1" si="2"/>
        <v>0</v>
      </c>
      <c r="H30" s="47">
        <f ca="1">COUNTIF($L30:INDIRECT(ADDRESS(ROW(),MATCH("",$4:$4,-1),1,1)),"양호")</f>
        <v>0</v>
      </c>
      <c r="I30" s="47">
        <f ca="1">COUNTIF($L30:INDIRECT(ADDRESS(ROW(),MATCH("",$4:$4,-1),1,1)),"취약")</f>
        <v>0</v>
      </c>
      <c r="J30" s="47">
        <f ca="1">COUNTIF($L30:INDIRECT(ADDRESS(ROW(),MATCH("",$4:$4,-1),1,1)),"N/A")</f>
        <v>0</v>
      </c>
      <c r="K30" s="47"/>
      <c r="L30" s="49"/>
      <c r="M30" s="49"/>
      <c r="N30" s="98"/>
    </row>
    <row r="31" spans="1:14" ht="16.5" customHeight="1">
      <c r="A31" s="165" t="s">
        <v>742</v>
      </c>
      <c r="B31" s="94" t="s">
        <v>280</v>
      </c>
      <c r="C31" s="90" t="s">
        <v>281</v>
      </c>
      <c r="D31" s="77" t="s">
        <v>714</v>
      </c>
      <c r="E31" s="77">
        <v>5</v>
      </c>
      <c r="F31" s="47">
        <f ca="1">COUNTA($L31:INDIRECT(ADDRESS(ROW(),MATCH("",$4:$4,-1),1,1)))</f>
        <v>0</v>
      </c>
      <c r="G31" s="47">
        <f t="shared" ca="1" si="2"/>
        <v>0</v>
      </c>
      <c r="H31" s="47">
        <f ca="1">COUNTIF($L31:INDIRECT(ADDRESS(ROW(),MATCH("",$4:$4,-1),1,1)),"양호")</f>
        <v>0</v>
      </c>
      <c r="I31" s="47">
        <f ca="1">COUNTIF($L31:INDIRECT(ADDRESS(ROW(),MATCH("",$4:$4,-1),1,1)),"취약")</f>
        <v>0</v>
      </c>
      <c r="J31" s="47">
        <f ca="1">COUNTIF($L31:INDIRECT(ADDRESS(ROW(),MATCH("",$4:$4,-1),1,1)),"N/A")</f>
        <v>0</v>
      </c>
      <c r="K31" s="47"/>
      <c r="L31" s="49"/>
      <c r="M31" s="49"/>
      <c r="N31" s="98"/>
    </row>
    <row r="32" spans="1:14" ht="16.5" customHeight="1">
      <c r="A32" s="165" t="s">
        <v>742</v>
      </c>
      <c r="B32" s="94" t="s">
        <v>287</v>
      </c>
      <c r="C32" s="90" t="s">
        <v>288</v>
      </c>
      <c r="D32" s="77" t="s">
        <v>714</v>
      </c>
      <c r="E32" s="77">
        <v>5</v>
      </c>
      <c r="F32" s="47">
        <f ca="1">COUNTA($L32:INDIRECT(ADDRESS(ROW(),MATCH("",$4:$4,-1),1,1)))</f>
        <v>0</v>
      </c>
      <c r="G32" s="47">
        <f t="shared" ca="1" si="2"/>
        <v>0</v>
      </c>
      <c r="H32" s="47">
        <f ca="1">COUNTIF($L32:INDIRECT(ADDRESS(ROW(),MATCH("",$4:$4,-1),1,1)),"양호")</f>
        <v>0</v>
      </c>
      <c r="I32" s="47">
        <f ca="1">COUNTIF($L32:INDIRECT(ADDRESS(ROW(),MATCH("",$4:$4,-1),1,1)),"취약")</f>
        <v>0</v>
      </c>
      <c r="J32" s="47">
        <f ca="1">COUNTIF($L32:INDIRECT(ADDRESS(ROW(),MATCH("",$4:$4,-1),1,1)),"N/A")</f>
        <v>0</v>
      </c>
      <c r="K32" s="47"/>
      <c r="L32" s="49"/>
      <c r="M32" s="49"/>
      <c r="N32" s="98"/>
    </row>
    <row r="33" spans="1:14" ht="16.5" customHeight="1">
      <c r="A33" s="165" t="s">
        <v>742</v>
      </c>
      <c r="B33" s="94" t="s">
        <v>294</v>
      </c>
      <c r="C33" s="90" t="s">
        <v>295</v>
      </c>
      <c r="D33" s="77" t="s">
        <v>714</v>
      </c>
      <c r="E33" s="77">
        <v>4</v>
      </c>
      <c r="F33" s="47">
        <f ca="1">COUNTA($L33:INDIRECT(ADDRESS(ROW(),MATCH("",$4:$4,-1),1,1)))</f>
        <v>0</v>
      </c>
      <c r="G33" s="47">
        <f t="shared" ca="1" si="2"/>
        <v>0</v>
      </c>
      <c r="H33" s="47">
        <f ca="1">COUNTIF($L33:INDIRECT(ADDRESS(ROW(),MATCH("",$4:$4,-1),1,1)),"양호")</f>
        <v>0</v>
      </c>
      <c r="I33" s="47">
        <f ca="1">COUNTIF($L33:INDIRECT(ADDRESS(ROW(),MATCH("",$4:$4,-1),1,1)),"취약")</f>
        <v>0</v>
      </c>
      <c r="J33" s="47">
        <f ca="1">COUNTIF($L33:INDIRECT(ADDRESS(ROW(),MATCH("",$4:$4,-1),1,1)),"N/A")</f>
        <v>0</v>
      </c>
      <c r="K33" s="47"/>
      <c r="L33" s="49"/>
      <c r="M33" s="49"/>
      <c r="N33" s="98"/>
    </row>
    <row r="34" spans="1:14" ht="16.5" customHeight="1">
      <c r="A34" s="165" t="s">
        <v>742</v>
      </c>
      <c r="B34" s="94" t="s">
        <v>301</v>
      </c>
      <c r="C34" s="90" t="s">
        <v>302</v>
      </c>
      <c r="D34" s="77" t="s">
        <v>714</v>
      </c>
      <c r="E34" s="77">
        <v>5</v>
      </c>
      <c r="F34" s="47">
        <f ca="1">COUNTA($L34:INDIRECT(ADDRESS(ROW(),MATCH("",$4:$4,-1),1,1)))</f>
        <v>0</v>
      </c>
      <c r="G34" s="47">
        <f t="shared" ca="1" si="2"/>
        <v>0</v>
      </c>
      <c r="H34" s="47">
        <f ca="1">COUNTIF($L34:INDIRECT(ADDRESS(ROW(),MATCH("",$4:$4,-1),1,1)),"양호")</f>
        <v>0</v>
      </c>
      <c r="I34" s="47">
        <f ca="1">COUNTIF($L34:INDIRECT(ADDRESS(ROW(),MATCH("",$4:$4,-1),1,1)),"취약")</f>
        <v>0</v>
      </c>
      <c r="J34" s="47">
        <f ca="1">COUNTIF($L34:INDIRECT(ADDRESS(ROW(),MATCH("",$4:$4,-1),1,1)),"N/A")</f>
        <v>0</v>
      </c>
      <c r="K34" s="47"/>
      <c r="L34" s="49"/>
      <c r="M34" s="49"/>
      <c r="N34" s="98"/>
    </row>
    <row r="35" spans="1:14" ht="16.5" customHeight="1">
      <c r="A35" s="165" t="s">
        <v>742</v>
      </c>
      <c r="B35" s="94" t="s">
        <v>308</v>
      </c>
      <c r="C35" s="90" t="s">
        <v>309</v>
      </c>
      <c r="D35" s="77" t="s">
        <v>714</v>
      </c>
      <c r="E35" s="77">
        <v>5</v>
      </c>
      <c r="F35" s="47">
        <f ca="1">COUNTA($L35:INDIRECT(ADDRESS(ROW(),MATCH("",$4:$4,-1),1,1)))</f>
        <v>0</v>
      </c>
      <c r="G35" s="47">
        <f t="shared" ca="1" si="2"/>
        <v>0</v>
      </c>
      <c r="H35" s="47">
        <f ca="1">COUNTIF($L35:INDIRECT(ADDRESS(ROW(),MATCH("",$4:$4,-1),1,1)),"양호")</f>
        <v>0</v>
      </c>
      <c r="I35" s="47">
        <f ca="1">COUNTIF($L35:INDIRECT(ADDRESS(ROW(),MATCH("",$4:$4,-1),1,1)),"취약")</f>
        <v>0</v>
      </c>
      <c r="J35" s="47">
        <f ca="1">COUNTIF($L35:INDIRECT(ADDRESS(ROW(),MATCH("",$4:$4,-1),1,1)),"N/A")</f>
        <v>0</v>
      </c>
      <c r="K35" s="47"/>
      <c r="L35" s="49"/>
      <c r="M35" s="49"/>
      <c r="N35" s="98"/>
    </row>
    <row r="36" spans="1:14" ht="16.5" customHeight="1">
      <c r="A36" s="165" t="s">
        <v>742</v>
      </c>
      <c r="B36" s="94" t="s">
        <v>313</v>
      </c>
      <c r="C36" s="90" t="s">
        <v>314</v>
      </c>
      <c r="D36" s="77" t="s">
        <v>743</v>
      </c>
      <c r="E36" s="77">
        <v>3</v>
      </c>
      <c r="F36" s="47">
        <f ca="1">COUNTA($L36:INDIRECT(ADDRESS(ROW(),MATCH("",$4:$4,-1),1,1)))</f>
        <v>0</v>
      </c>
      <c r="G36" s="47">
        <f t="shared" ca="1" si="2"/>
        <v>0</v>
      </c>
      <c r="H36" s="47">
        <f ca="1">COUNTIF($L36:INDIRECT(ADDRESS(ROW(),MATCH("",$4:$4,-1),1,1)),"양호")</f>
        <v>0</v>
      </c>
      <c r="I36" s="47">
        <f ca="1">COUNTIF($L36:INDIRECT(ADDRESS(ROW(),MATCH("",$4:$4,-1),1,1)),"취약")</f>
        <v>0</v>
      </c>
      <c r="J36" s="47">
        <f ca="1">COUNTIF($L36:INDIRECT(ADDRESS(ROW(),MATCH("",$4:$4,-1),1,1)),"N/A")</f>
        <v>0</v>
      </c>
      <c r="K36" s="47"/>
      <c r="L36" s="49"/>
      <c r="M36" s="49"/>
      <c r="N36" s="98"/>
    </row>
    <row r="37" spans="1:14" ht="16.5" customHeight="1">
      <c r="A37" s="165" t="s">
        <v>742</v>
      </c>
      <c r="B37" s="94" t="s">
        <v>319</v>
      </c>
      <c r="C37" s="90" t="s">
        <v>320</v>
      </c>
      <c r="D37" s="77" t="s">
        <v>714</v>
      </c>
      <c r="E37" s="77">
        <v>4</v>
      </c>
      <c r="F37" s="47">
        <f ca="1">COUNTA($L37:INDIRECT(ADDRESS(ROW(),MATCH("",$4:$4,-1),1,1)))</f>
        <v>0</v>
      </c>
      <c r="G37" s="47">
        <f t="shared" ca="1" si="2"/>
        <v>0</v>
      </c>
      <c r="H37" s="47">
        <f ca="1">COUNTIF($L37:INDIRECT(ADDRESS(ROW(),MATCH("",$4:$4,-1),1,1)),"양호")</f>
        <v>0</v>
      </c>
      <c r="I37" s="47">
        <f ca="1">COUNTIF($L37:INDIRECT(ADDRESS(ROW(),MATCH("",$4:$4,-1),1,1)),"취약")</f>
        <v>0</v>
      </c>
      <c r="J37" s="47">
        <f ca="1">COUNTIF($L37:INDIRECT(ADDRESS(ROW(),MATCH("",$4:$4,-1),1,1)),"N/A")</f>
        <v>0</v>
      </c>
      <c r="K37" s="47"/>
      <c r="L37" s="49"/>
      <c r="M37" s="49"/>
      <c r="N37" s="98"/>
    </row>
    <row r="38" spans="1:14" ht="16.5" customHeight="1">
      <c r="A38" s="165" t="s">
        <v>745</v>
      </c>
      <c r="B38" s="94" t="s">
        <v>327</v>
      </c>
      <c r="C38" s="90" t="s">
        <v>328</v>
      </c>
      <c r="D38" s="77" t="s">
        <v>714</v>
      </c>
      <c r="E38" s="77">
        <v>5</v>
      </c>
      <c r="F38" s="47">
        <f ca="1">COUNTA($L38:INDIRECT(ADDRESS(ROW(),MATCH("",$4:$4,-1),1,1)))</f>
        <v>0</v>
      </c>
      <c r="G38" s="47">
        <f t="shared" ca="1" si="2"/>
        <v>0</v>
      </c>
      <c r="H38" s="47">
        <f ca="1">COUNTIF($L38:INDIRECT(ADDRESS(ROW(),MATCH("",$4:$4,-1),1,1)),"양호")</f>
        <v>0</v>
      </c>
      <c r="I38" s="47">
        <f ca="1">COUNTIF($L38:INDIRECT(ADDRESS(ROW(),MATCH("",$4:$4,-1),1,1)),"취약")</f>
        <v>0</v>
      </c>
      <c r="J38" s="47">
        <f ca="1">COUNTIF($L38:INDIRECT(ADDRESS(ROW(),MATCH("",$4:$4,-1),1,1)),"N/A")</f>
        <v>0</v>
      </c>
      <c r="K38" s="47"/>
      <c r="L38" s="49"/>
      <c r="M38" s="49"/>
      <c r="N38" s="98"/>
    </row>
    <row r="39" spans="1:14" ht="16.5" customHeight="1">
      <c r="A39" s="165" t="s">
        <v>742</v>
      </c>
      <c r="B39" s="94" t="s">
        <v>334</v>
      </c>
      <c r="C39" s="90" t="s">
        <v>335</v>
      </c>
      <c r="D39" s="77" t="s">
        <v>714</v>
      </c>
      <c r="E39" s="77">
        <v>5</v>
      </c>
      <c r="F39" s="47">
        <f ca="1">COUNTA($L39:INDIRECT(ADDRESS(ROW(),MATCH("",$4:$4,-1),1,1)))</f>
        <v>0</v>
      </c>
      <c r="G39" s="47">
        <f t="shared" ca="1" si="2"/>
        <v>0</v>
      </c>
      <c r="H39" s="47">
        <f ca="1">COUNTIF($L39:INDIRECT(ADDRESS(ROW(),MATCH("",$4:$4,-1),1,1)),"양호")</f>
        <v>0</v>
      </c>
      <c r="I39" s="47">
        <f ca="1">COUNTIF($L39:INDIRECT(ADDRESS(ROW(),MATCH("",$4:$4,-1),1,1)),"취약")</f>
        <v>0</v>
      </c>
      <c r="J39" s="47">
        <f ca="1">COUNTIF($L39:INDIRECT(ADDRESS(ROW(),MATCH("",$4:$4,-1),1,1)),"N/A")</f>
        <v>0</v>
      </c>
      <c r="K39" s="47"/>
      <c r="L39" s="49"/>
      <c r="M39" s="49"/>
      <c r="N39" s="98"/>
    </row>
    <row r="40" spans="1:14" ht="16.5" customHeight="1">
      <c r="A40" s="165" t="s">
        <v>745</v>
      </c>
      <c r="B40" s="94" t="s">
        <v>341</v>
      </c>
      <c r="C40" s="90" t="s">
        <v>342</v>
      </c>
      <c r="D40" s="77" t="s">
        <v>714</v>
      </c>
      <c r="E40" s="77">
        <v>4</v>
      </c>
      <c r="F40" s="47">
        <f ca="1">COUNTA($L40:INDIRECT(ADDRESS(ROW(),MATCH("",$4:$4,-1),1,1)))</f>
        <v>0</v>
      </c>
      <c r="G40" s="47">
        <f t="shared" ca="1" si="2"/>
        <v>0</v>
      </c>
      <c r="H40" s="47">
        <f ca="1">COUNTIF($L40:INDIRECT(ADDRESS(ROW(),MATCH("",$4:$4,-1),1,1)),"양호")</f>
        <v>0</v>
      </c>
      <c r="I40" s="47">
        <f ca="1">COUNTIF($L40:INDIRECT(ADDRESS(ROW(),MATCH("",$4:$4,-1),1,1)),"취약")</f>
        <v>0</v>
      </c>
      <c r="J40" s="47">
        <f ca="1">COUNTIF($L40:INDIRECT(ADDRESS(ROW(),MATCH("",$4:$4,-1),1,1)),"N/A")</f>
        <v>0</v>
      </c>
      <c r="K40" s="47"/>
      <c r="L40" s="49"/>
      <c r="M40" s="49"/>
      <c r="N40" s="98"/>
    </row>
    <row r="41" spans="1:14" ht="16.5" customHeight="1">
      <c r="A41" s="165" t="s">
        <v>742</v>
      </c>
      <c r="B41" s="94" t="s">
        <v>348</v>
      </c>
      <c r="C41" s="90" t="s">
        <v>349</v>
      </c>
      <c r="D41" s="77" t="s">
        <v>714</v>
      </c>
      <c r="E41" s="77">
        <v>4</v>
      </c>
      <c r="F41" s="47">
        <f ca="1">COUNTA($L41:INDIRECT(ADDRESS(ROW(),MATCH("",$4:$4,-1),1,1)))</f>
        <v>0</v>
      </c>
      <c r="G41" s="47">
        <f t="shared" ca="1" si="2"/>
        <v>0</v>
      </c>
      <c r="H41" s="47">
        <f ca="1">COUNTIF($L41:INDIRECT(ADDRESS(ROW(),MATCH("",$4:$4,-1),1,1)),"양호")</f>
        <v>0</v>
      </c>
      <c r="I41" s="47">
        <f ca="1">COUNTIF($L41:INDIRECT(ADDRESS(ROW(),MATCH("",$4:$4,-1),1,1)),"취약")</f>
        <v>0</v>
      </c>
      <c r="J41" s="47">
        <f ca="1">COUNTIF($L41:INDIRECT(ADDRESS(ROW(),MATCH("",$4:$4,-1),1,1)),"N/A")</f>
        <v>0</v>
      </c>
      <c r="K41" s="47"/>
      <c r="L41" s="49"/>
      <c r="M41" s="49"/>
      <c r="N41" s="98"/>
    </row>
    <row r="42" spans="1:14" ht="16.5" customHeight="1">
      <c r="A42" s="165" t="s">
        <v>745</v>
      </c>
      <c r="B42" s="94" t="s">
        <v>355</v>
      </c>
      <c r="C42" s="90" t="s">
        <v>356</v>
      </c>
      <c r="D42" s="77" t="s">
        <v>714</v>
      </c>
      <c r="E42" s="77">
        <v>4</v>
      </c>
      <c r="F42" s="47">
        <f ca="1">COUNTA($L42:INDIRECT(ADDRESS(ROW(),MATCH("",$4:$4,-1),1,1)))</f>
        <v>0</v>
      </c>
      <c r="G42" s="47">
        <f t="shared" ca="1" si="2"/>
        <v>0</v>
      </c>
      <c r="H42" s="47">
        <f ca="1">COUNTIF($L42:INDIRECT(ADDRESS(ROW(),MATCH("",$4:$4,-1),1,1)),"양호")</f>
        <v>0</v>
      </c>
      <c r="I42" s="47">
        <f ca="1">COUNTIF($L42:INDIRECT(ADDRESS(ROW(),MATCH("",$4:$4,-1),1,1)),"취약")</f>
        <v>0</v>
      </c>
      <c r="J42" s="47">
        <f ca="1">COUNTIF($L42:INDIRECT(ADDRESS(ROW(),MATCH("",$4:$4,-1),1,1)),"N/A")</f>
        <v>0</v>
      </c>
      <c r="K42" s="47"/>
      <c r="L42" s="49"/>
      <c r="M42" s="49"/>
      <c r="N42" s="98"/>
    </row>
    <row r="43" spans="1:14" ht="16.5" customHeight="1">
      <c r="A43" s="165" t="s">
        <v>745</v>
      </c>
      <c r="B43" s="94" t="s">
        <v>361</v>
      </c>
      <c r="C43" s="90" t="s">
        <v>362</v>
      </c>
      <c r="D43" s="77" t="s">
        <v>714</v>
      </c>
      <c r="E43" s="77">
        <v>5</v>
      </c>
      <c r="F43" s="47">
        <f ca="1">COUNTA($L43:INDIRECT(ADDRESS(ROW(),MATCH("",$4:$4,-1),1,1)))</f>
        <v>0</v>
      </c>
      <c r="G43" s="47">
        <f t="shared" ca="1" si="2"/>
        <v>0</v>
      </c>
      <c r="H43" s="47">
        <f ca="1">COUNTIF($L43:INDIRECT(ADDRESS(ROW(),MATCH("",$4:$4,-1),1,1)),"양호")</f>
        <v>0</v>
      </c>
      <c r="I43" s="47">
        <f ca="1">COUNTIF($L43:INDIRECT(ADDRESS(ROW(),MATCH("",$4:$4,-1),1,1)),"취약")</f>
        <v>0</v>
      </c>
      <c r="J43" s="47">
        <f ca="1">COUNTIF($L43:INDIRECT(ADDRESS(ROW(),MATCH("",$4:$4,-1),1,1)),"N/A")</f>
        <v>0</v>
      </c>
      <c r="K43" s="47"/>
      <c r="L43" s="49"/>
      <c r="M43" s="49"/>
      <c r="N43" s="98"/>
    </row>
    <row r="44" spans="1:14" ht="16.5" customHeight="1">
      <c r="A44" s="165" t="s">
        <v>745</v>
      </c>
      <c r="B44" s="94" t="s">
        <v>367</v>
      </c>
      <c r="C44" s="90" t="s">
        <v>368</v>
      </c>
      <c r="D44" s="77" t="s">
        <v>714</v>
      </c>
      <c r="E44" s="77">
        <v>4</v>
      </c>
      <c r="F44" s="47">
        <f ca="1">COUNTA($L44:INDIRECT(ADDRESS(ROW(),MATCH("",$4:$4,-1),1,1)))</f>
        <v>0</v>
      </c>
      <c r="G44" s="47">
        <f t="shared" ca="1" si="2"/>
        <v>0</v>
      </c>
      <c r="H44" s="47">
        <f ca="1">COUNTIF($L44:INDIRECT(ADDRESS(ROW(),MATCH("",$4:$4,-1),1,1)),"양호")</f>
        <v>0</v>
      </c>
      <c r="I44" s="47">
        <f ca="1">COUNTIF($L44:INDIRECT(ADDRESS(ROW(),MATCH("",$4:$4,-1),1,1)),"취약")</f>
        <v>0</v>
      </c>
      <c r="J44" s="47">
        <f ca="1">COUNTIF($L44:INDIRECT(ADDRESS(ROW(),MATCH("",$4:$4,-1),1,1)),"N/A")</f>
        <v>0</v>
      </c>
      <c r="K44" s="47"/>
      <c r="L44" s="49"/>
      <c r="M44" s="49"/>
      <c r="N44" s="98"/>
    </row>
    <row r="45" spans="1:14" ht="16.5" customHeight="1">
      <c r="A45" s="165" t="s">
        <v>742</v>
      </c>
      <c r="B45" s="94" t="s">
        <v>374</v>
      </c>
      <c r="C45" s="90" t="s">
        <v>375</v>
      </c>
      <c r="D45" s="77" t="s">
        <v>714</v>
      </c>
      <c r="E45" s="77">
        <v>5</v>
      </c>
      <c r="F45" s="47">
        <f ca="1">COUNTA($L45:INDIRECT(ADDRESS(ROW(),MATCH("",$4:$4,-1),1,1)))</f>
        <v>0</v>
      </c>
      <c r="G45" s="47">
        <f t="shared" ca="1" si="2"/>
        <v>0</v>
      </c>
      <c r="H45" s="47">
        <f ca="1">COUNTIF($L45:INDIRECT(ADDRESS(ROW(),MATCH("",$4:$4,-1),1,1)),"양호")</f>
        <v>0</v>
      </c>
      <c r="I45" s="47">
        <f ca="1">COUNTIF($L45:INDIRECT(ADDRESS(ROW(),MATCH("",$4:$4,-1),1,1)),"취약")</f>
        <v>0</v>
      </c>
      <c r="J45" s="47">
        <f ca="1">COUNTIF($L45:INDIRECT(ADDRESS(ROW(),MATCH("",$4:$4,-1),1,1)),"N/A")</f>
        <v>0</v>
      </c>
      <c r="K45" s="47"/>
      <c r="L45" s="49"/>
      <c r="M45" s="49"/>
      <c r="N45" s="98"/>
    </row>
    <row r="46" spans="1:14" ht="16.5" customHeight="1">
      <c r="A46" s="165" t="s">
        <v>742</v>
      </c>
      <c r="B46" s="94" t="s">
        <v>381</v>
      </c>
      <c r="C46" s="90" t="s">
        <v>382</v>
      </c>
      <c r="D46" s="77" t="s">
        <v>743</v>
      </c>
      <c r="E46" s="77">
        <v>3</v>
      </c>
      <c r="F46" s="47">
        <f ca="1">COUNTA($L46:INDIRECT(ADDRESS(ROW(),MATCH("",$4:$4,-1),1,1)))</f>
        <v>0</v>
      </c>
      <c r="G46" s="47">
        <f t="shared" ca="1" si="2"/>
        <v>0</v>
      </c>
      <c r="H46" s="47">
        <f ca="1">COUNTIF($L46:INDIRECT(ADDRESS(ROW(),MATCH("",$4:$4,-1),1,1)),"양호")</f>
        <v>0</v>
      </c>
      <c r="I46" s="47">
        <f ca="1">COUNTIF($L46:INDIRECT(ADDRESS(ROW(),MATCH("",$4:$4,-1),1,1)),"취약")</f>
        <v>0</v>
      </c>
      <c r="J46" s="47">
        <f ca="1">COUNTIF($L46:INDIRECT(ADDRESS(ROW(),MATCH("",$4:$4,-1),1,1)),"N/A")</f>
        <v>0</v>
      </c>
      <c r="K46" s="47"/>
      <c r="L46" s="49"/>
      <c r="M46" s="49"/>
      <c r="N46" s="98"/>
    </row>
    <row r="47" spans="1:14" ht="16.5" customHeight="1">
      <c r="A47" s="165" t="s">
        <v>742</v>
      </c>
      <c r="B47" s="94" t="s">
        <v>388</v>
      </c>
      <c r="C47" s="90" t="s">
        <v>389</v>
      </c>
      <c r="D47" s="77" t="s">
        <v>714</v>
      </c>
      <c r="E47" s="77">
        <v>4</v>
      </c>
      <c r="F47" s="47">
        <f ca="1">COUNTA($L47:INDIRECT(ADDRESS(ROW(),MATCH("",$4:$4,-1),1,1)))</f>
        <v>0</v>
      </c>
      <c r="G47" s="47">
        <f t="shared" ca="1" si="2"/>
        <v>0</v>
      </c>
      <c r="H47" s="47">
        <f ca="1">COUNTIF($L47:INDIRECT(ADDRESS(ROW(),MATCH("",$4:$4,-1),1,1)),"양호")</f>
        <v>0</v>
      </c>
      <c r="I47" s="47">
        <f ca="1">COUNTIF($L47:INDIRECT(ADDRESS(ROW(),MATCH("",$4:$4,-1),1,1)),"취약")</f>
        <v>0</v>
      </c>
      <c r="J47" s="47">
        <f ca="1">COUNTIF($L47:INDIRECT(ADDRESS(ROW(),MATCH("",$4:$4,-1),1,1)),"N/A")</f>
        <v>0</v>
      </c>
      <c r="K47" s="47"/>
      <c r="L47" s="49"/>
      <c r="M47" s="49"/>
      <c r="N47" s="98"/>
    </row>
    <row r="48" spans="1:14" ht="16.5" customHeight="1">
      <c r="A48" s="165" t="s">
        <v>742</v>
      </c>
      <c r="B48" s="94" t="s">
        <v>395</v>
      </c>
      <c r="C48" s="90" t="s">
        <v>396</v>
      </c>
      <c r="D48" s="77" t="s">
        <v>714</v>
      </c>
      <c r="E48" s="77">
        <v>5</v>
      </c>
      <c r="F48" s="47">
        <f ca="1">COUNTA($L48:INDIRECT(ADDRESS(ROW(),MATCH("",$4:$4,-1),1,1)))</f>
        <v>0</v>
      </c>
      <c r="G48" s="47">
        <f t="shared" ca="1" si="2"/>
        <v>0</v>
      </c>
      <c r="H48" s="47">
        <f ca="1">COUNTIF($L48:INDIRECT(ADDRESS(ROW(),MATCH("",$4:$4,-1),1,1)),"양호")</f>
        <v>0</v>
      </c>
      <c r="I48" s="47">
        <f ca="1">COUNTIF($L48:INDIRECT(ADDRESS(ROW(),MATCH("",$4:$4,-1),1,1)),"취약")</f>
        <v>0</v>
      </c>
      <c r="J48" s="47">
        <f ca="1">COUNTIF($L48:INDIRECT(ADDRESS(ROW(),MATCH("",$4:$4,-1),1,1)),"N/A")</f>
        <v>0</v>
      </c>
      <c r="K48" s="47"/>
      <c r="L48" s="49"/>
      <c r="M48" s="49"/>
      <c r="N48" s="98"/>
    </row>
    <row r="49" spans="1:14" ht="16.5" customHeight="1">
      <c r="A49" s="165" t="s">
        <v>742</v>
      </c>
      <c r="B49" s="94" t="s">
        <v>402</v>
      </c>
      <c r="C49" s="90" t="s">
        <v>403</v>
      </c>
      <c r="D49" s="77" t="s">
        <v>714</v>
      </c>
      <c r="E49" s="77">
        <v>5</v>
      </c>
      <c r="F49" s="47">
        <f ca="1">COUNTA($L49:INDIRECT(ADDRESS(ROW(),MATCH("",$4:$4,-1),1,1)))</f>
        <v>0</v>
      </c>
      <c r="G49" s="47">
        <f t="shared" ca="1" si="2"/>
        <v>0</v>
      </c>
      <c r="H49" s="47">
        <f ca="1">COUNTIF($L49:INDIRECT(ADDRESS(ROW(),MATCH("",$4:$4,-1),1,1)),"양호")</f>
        <v>0</v>
      </c>
      <c r="I49" s="47">
        <f ca="1">COUNTIF($L49:INDIRECT(ADDRESS(ROW(),MATCH("",$4:$4,-1),1,1)),"취약")</f>
        <v>0</v>
      </c>
      <c r="J49" s="47">
        <f ca="1">COUNTIF($L49:INDIRECT(ADDRESS(ROW(),MATCH("",$4:$4,-1),1,1)),"N/A")</f>
        <v>0</v>
      </c>
      <c r="K49" s="47"/>
      <c r="L49" s="49"/>
      <c r="M49" s="49"/>
      <c r="N49" s="98"/>
    </row>
    <row r="50" spans="1:14" ht="16.5" customHeight="1">
      <c r="A50" s="165" t="s">
        <v>742</v>
      </c>
      <c r="B50" s="94" t="s">
        <v>409</v>
      </c>
      <c r="C50" s="90" t="s">
        <v>410</v>
      </c>
      <c r="D50" s="77" t="s">
        <v>714</v>
      </c>
      <c r="E50" s="77">
        <v>4</v>
      </c>
      <c r="F50" s="47">
        <f ca="1">COUNTA($L50:INDIRECT(ADDRESS(ROW(),MATCH("",$4:$4,-1),1,1)))</f>
        <v>0</v>
      </c>
      <c r="G50" s="47">
        <f t="shared" ca="1" si="0"/>
        <v>0</v>
      </c>
      <c r="H50" s="47">
        <f ca="1">COUNTIF($L50:INDIRECT(ADDRESS(ROW(),MATCH("",$4:$4,-1),1,1)),"양호")</f>
        <v>0</v>
      </c>
      <c r="I50" s="47">
        <f ca="1">COUNTIF($L50:INDIRECT(ADDRESS(ROW(),MATCH("",$4:$4,-1),1,1)),"취약")</f>
        <v>0</v>
      </c>
      <c r="J50" s="47">
        <f ca="1">COUNTIF($L50:INDIRECT(ADDRESS(ROW(),MATCH("",$4:$4,-1),1,1)),"N/A")</f>
        <v>0</v>
      </c>
      <c r="K50" s="47"/>
      <c r="L50" s="49"/>
      <c r="M50" s="49"/>
      <c r="N50" s="98"/>
    </row>
    <row r="51" spans="1:14" ht="16.5" customHeight="1">
      <c r="A51" s="165" t="s">
        <v>742</v>
      </c>
      <c r="B51" s="94" t="s">
        <v>416</v>
      </c>
      <c r="C51" s="90" t="s">
        <v>417</v>
      </c>
      <c r="D51" s="77" t="s">
        <v>714</v>
      </c>
      <c r="E51" s="77">
        <v>4</v>
      </c>
      <c r="F51" s="47">
        <f ca="1">COUNTA($L51:INDIRECT(ADDRESS(ROW(),MATCH("",$4:$4,-1),1,1)))</f>
        <v>0</v>
      </c>
      <c r="G51" s="47">
        <f t="shared" ca="1" si="0"/>
        <v>0</v>
      </c>
      <c r="H51" s="47">
        <f ca="1">COUNTIF($L51:INDIRECT(ADDRESS(ROW(),MATCH("",$4:$4,-1),1,1)),"양호")</f>
        <v>0</v>
      </c>
      <c r="I51" s="47">
        <f ca="1">COUNTIF($L51:INDIRECT(ADDRESS(ROW(),MATCH("",$4:$4,-1),1,1)),"취약")</f>
        <v>0</v>
      </c>
      <c r="J51" s="47">
        <f ca="1">COUNTIF($L51:INDIRECT(ADDRESS(ROW(),MATCH("",$4:$4,-1),1,1)),"N/A")</f>
        <v>0</v>
      </c>
      <c r="K51" s="47"/>
      <c r="L51" s="49"/>
      <c r="M51" s="49"/>
      <c r="N51" s="98"/>
    </row>
    <row r="52" spans="1:14" ht="16.5" customHeight="1">
      <c r="A52" s="165" t="s">
        <v>742</v>
      </c>
      <c r="B52" s="94" t="s">
        <v>423</v>
      </c>
      <c r="C52" s="90" t="s">
        <v>424</v>
      </c>
      <c r="D52" s="77" t="s">
        <v>743</v>
      </c>
      <c r="E52" s="77">
        <v>3</v>
      </c>
      <c r="F52" s="47">
        <f ca="1">COUNTA($L52:INDIRECT(ADDRESS(ROW(),MATCH("",$4:$4,-1),1,1)))</f>
        <v>0</v>
      </c>
      <c r="G52" s="47">
        <f t="shared" ca="1" si="0"/>
        <v>0</v>
      </c>
      <c r="H52" s="47">
        <f ca="1">COUNTIF($L52:INDIRECT(ADDRESS(ROW(),MATCH("",$4:$4,-1),1,1)),"양호")</f>
        <v>0</v>
      </c>
      <c r="I52" s="47">
        <f ca="1">COUNTIF($L52:INDIRECT(ADDRESS(ROW(),MATCH("",$4:$4,-1),1,1)),"취약")</f>
        <v>0</v>
      </c>
      <c r="J52" s="47">
        <f ca="1">COUNTIF($L52:INDIRECT(ADDRESS(ROW(),MATCH("",$4:$4,-1),1,1)),"N/A")</f>
        <v>0</v>
      </c>
      <c r="K52" s="47"/>
      <c r="L52" s="49"/>
      <c r="M52" s="49"/>
      <c r="N52" s="98"/>
    </row>
    <row r="53" spans="1:14" ht="16.5" customHeight="1">
      <c r="A53" s="165" t="s">
        <v>742</v>
      </c>
      <c r="B53" s="94" t="s">
        <v>431</v>
      </c>
      <c r="C53" s="90" t="s">
        <v>432</v>
      </c>
      <c r="D53" s="77" t="s">
        <v>743</v>
      </c>
      <c r="E53" s="77">
        <v>3</v>
      </c>
      <c r="F53" s="47">
        <f ca="1">COUNTA($L53:INDIRECT(ADDRESS(ROW(),MATCH("",$4:$4,-1),1,1)))</f>
        <v>0</v>
      </c>
      <c r="G53" s="47">
        <f t="shared" ca="1" si="0"/>
        <v>0</v>
      </c>
      <c r="H53" s="47">
        <f ca="1">COUNTIF($L53:INDIRECT(ADDRESS(ROW(),MATCH("",$4:$4,-1),1,1)),"양호")</f>
        <v>0</v>
      </c>
      <c r="I53" s="47">
        <f ca="1">COUNTIF($L53:INDIRECT(ADDRESS(ROW(),MATCH("",$4:$4,-1),1,1)),"취약")</f>
        <v>0</v>
      </c>
      <c r="J53" s="47">
        <f ca="1">COUNTIF($L53:INDIRECT(ADDRESS(ROW(),MATCH("",$4:$4,-1),1,1)),"N/A")</f>
        <v>0</v>
      </c>
      <c r="K53" s="47"/>
      <c r="L53" s="49"/>
      <c r="M53" s="49"/>
      <c r="N53" s="98"/>
    </row>
    <row r="54" spans="1:14" ht="16.5" customHeight="1">
      <c r="A54" s="165" t="s">
        <v>742</v>
      </c>
      <c r="B54" s="94" t="s">
        <v>438</v>
      </c>
      <c r="C54" s="90" t="s">
        <v>439</v>
      </c>
      <c r="D54" s="77" t="s">
        <v>743</v>
      </c>
      <c r="E54" s="77">
        <v>3</v>
      </c>
      <c r="F54" s="47">
        <f ca="1">COUNTA($L54:INDIRECT(ADDRESS(ROW(),MATCH("",$4:$4,-1),1,1)))</f>
        <v>0</v>
      </c>
      <c r="G54" s="47">
        <f t="shared" ca="1" si="0"/>
        <v>0</v>
      </c>
      <c r="H54" s="47">
        <f ca="1">COUNTIF($L54:INDIRECT(ADDRESS(ROW(),MATCH("",$4:$4,-1),1,1)),"양호")</f>
        <v>0</v>
      </c>
      <c r="I54" s="47">
        <f ca="1">COUNTIF($L54:INDIRECT(ADDRESS(ROW(),MATCH("",$4:$4,-1),1,1)),"취약")</f>
        <v>0</v>
      </c>
      <c r="J54" s="47">
        <f ca="1">COUNTIF($L54:INDIRECT(ADDRESS(ROW(),MATCH("",$4:$4,-1),1,1)),"N/A")</f>
        <v>0</v>
      </c>
      <c r="K54" s="47"/>
      <c r="L54" s="49"/>
      <c r="M54" s="49"/>
      <c r="N54" s="98"/>
    </row>
    <row r="55" spans="1:14" ht="16.5" customHeight="1">
      <c r="A55" s="165" t="s">
        <v>742</v>
      </c>
      <c r="B55" s="94" t="s">
        <v>445</v>
      </c>
      <c r="C55" s="90" t="s">
        <v>446</v>
      </c>
      <c r="D55" s="77" t="s">
        <v>743</v>
      </c>
      <c r="E55" s="77">
        <v>3</v>
      </c>
      <c r="F55" s="47">
        <f ca="1">COUNTA($L55:INDIRECT(ADDRESS(ROW(),MATCH("",$4:$4,-1),1,1)))</f>
        <v>0</v>
      </c>
      <c r="G55" s="47">
        <f t="shared" ca="1" si="0"/>
        <v>0</v>
      </c>
      <c r="H55" s="47">
        <f ca="1">COUNTIF($L55:INDIRECT(ADDRESS(ROW(),MATCH("",$4:$4,-1),1,1)),"양호")</f>
        <v>0</v>
      </c>
      <c r="I55" s="47">
        <f ca="1">COUNTIF($L55:INDIRECT(ADDRESS(ROW(),MATCH("",$4:$4,-1),1,1)),"취약")</f>
        <v>0</v>
      </c>
      <c r="J55" s="47">
        <f ca="1">COUNTIF($L55:INDIRECT(ADDRESS(ROW(),MATCH("",$4:$4,-1),1,1)),"N/A")</f>
        <v>0</v>
      </c>
      <c r="K55" s="47"/>
      <c r="L55" s="49"/>
      <c r="M55" s="49"/>
      <c r="N55" s="98"/>
    </row>
    <row r="56" spans="1:14" ht="16.5" customHeight="1">
      <c r="A56" s="165" t="s">
        <v>742</v>
      </c>
      <c r="B56" s="94" t="s">
        <v>452</v>
      </c>
      <c r="C56" s="90" t="s">
        <v>453</v>
      </c>
      <c r="D56" s="77" t="s">
        <v>743</v>
      </c>
      <c r="E56" s="77">
        <v>3</v>
      </c>
      <c r="F56" s="47">
        <f ca="1">COUNTA($L56:INDIRECT(ADDRESS(ROW(),MATCH("",$4:$4,-1),1,1)))</f>
        <v>0</v>
      </c>
      <c r="G56" s="47">
        <f t="shared" ca="1" si="0"/>
        <v>0</v>
      </c>
      <c r="H56" s="47">
        <f ca="1">COUNTIF($L56:INDIRECT(ADDRESS(ROW(),MATCH("",$4:$4,-1),1,1)),"양호")</f>
        <v>0</v>
      </c>
      <c r="I56" s="47">
        <f ca="1">COUNTIF($L56:INDIRECT(ADDRESS(ROW(),MATCH("",$4:$4,-1),1,1)),"취약")</f>
        <v>0</v>
      </c>
      <c r="J56" s="47">
        <f ca="1">COUNTIF($L56:INDIRECT(ADDRESS(ROW(),MATCH("",$4:$4,-1),1,1)),"N/A")</f>
        <v>0</v>
      </c>
      <c r="K56" s="47"/>
      <c r="L56" s="49"/>
      <c r="M56" s="49"/>
      <c r="N56" s="98"/>
    </row>
    <row r="57" spans="1:14" ht="16.5" customHeight="1">
      <c r="A57" s="165" t="s">
        <v>742</v>
      </c>
      <c r="B57" s="94" t="s">
        <v>459</v>
      </c>
      <c r="C57" s="90" t="s">
        <v>460</v>
      </c>
      <c r="D57" s="77" t="s">
        <v>743</v>
      </c>
      <c r="E57" s="77">
        <v>3</v>
      </c>
      <c r="F57" s="47">
        <f ca="1">COUNTA($L57:INDIRECT(ADDRESS(ROW(),MATCH("",$4:$4,-1),1,1)))</f>
        <v>0</v>
      </c>
      <c r="G57" s="47">
        <f t="shared" ca="1" si="0"/>
        <v>0</v>
      </c>
      <c r="H57" s="47">
        <f ca="1">COUNTIF($L57:INDIRECT(ADDRESS(ROW(),MATCH("",$4:$4,-1),1,1)),"양호")</f>
        <v>0</v>
      </c>
      <c r="I57" s="47">
        <f ca="1">COUNTIF($L57:INDIRECT(ADDRESS(ROW(),MATCH("",$4:$4,-1),1,1)),"취약")</f>
        <v>0</v>
      </c>
      <c r="J57" s="47">
        <f ca="1">COUNTIF($L57:INDIRECT(ADDRESS(ROW(),MATCH("",$4:$4,-1),1,1)),"N/A")</f>
        <v>0</v>
      </c>
      <c r="K57" s="47"/>
      <c r="L57" s="49"/>
      <c r="M57" s="49"/>
      <c r="N57" s="98"/>
    </row>
    <row r="58" spans="1:14" ht="16.5" customHeight="1">
      <c r="A58" s="165" t="s">
        <v>742</v>
      </c>
      <c r="B58" s="94" t="s">
        <v>466</v>
      </c>
      <c r="C58" s="90" t="s">
        <v>467</v>
      </c>
      <c r="D58" s="77" t="s">
        <v>714</v>
      </c>
      <c r="E58" s="77">
        <v>4</v>
      </c>
      <c r="F58" s="47">
        <f ca="1">COUNTA($L58:INDIRECT(ADDRESS(ROW(),MATCH("",$4:$4,-1),1,1)))</f>
        <v>0</v>
      </c>
      <c r="G58" s="47">
        <f t="shared" ca="1" si="0"/>
        <v>0</v>
      </c>
      <c r="H58" s="47">
        <f ca="1">COUNTIF($L58:INDIRECT(ADDRESS(ROW(),MATCH("",$4:$4,-1),1,1)),"양호")</f>
        <v>0</v>
      </c>
      <c r="I58" s="47">
        <f ca="1">COUNTIF($L58:INDIRECT(ADDRESS(ROW(),MATCH("",$4:$4,-1),1,1)),"취약")</f>
        <v>0</v>
      </c>
      <c r="J58" s="47">
        <f ca="1">COUNTIF($L58:INDIRECT(ADDRESS(ROW(),MATCH("",$4:$4,-1),1,1)),"N/A")</f>
        <v>0</v>
      </c>
      <c r="K58" s="47"/>
      <c r="L58" s="49"/>
      <c r="M58" s="49"/>
      <c r="N58" s="98"/>
    </row>
    <row r="59" spans="1:14" ht="16.5" customHeight="1">
      <c r="A59" s="165" t="s">
        <v>742</v>
      </c>
      <c r="B59" s="94" t="s">
        <v>473</v>
      </c>
      <c r="C59" s="90" t="s">
        <v>474</v>
      </c>
      <c r="D59" s="77" t="s">
        <v>714</v>
      </c>
      <c r="E59" s="77">
        <v>5</v>
      </c>
      <c r="F59" s="47">
        <f ca="1">COUNTA($L59:INDIRECT(ADDRESS(ROW(),MATCH("",$4:$4,-1),1,1)))</f>
        <v>0</v>
      </c>
      <c r="G59" s="47">
        <f t="shared" ca="1" si="0"/>
        <v>0</v>
      </c>
      <c r="H59" s="47">
        <f ca="1">COUNTIF($L59:INDIRECT(ADDRESS(ROW(),MATCH("",$4:$4,-1),1,1)),"양호")</f>
        <v>0</v>
      </c>
      <c r="I59" s="47">
        <f ca="1">COUNTIF($L59:INDIRECT(ADDRESS(ROW(),MATCH("",$4:$4,-1),1,1)),"취약")</f>
        <v>0</v>
      </c>
      <c r="J59" s="47">
        <f ca="1">COUNTIF($L59:INDIRECT(ADDRESS(ROW(),MATCH("",$4:$4,-1),1,1)),"N/A")</f>
        <v>0</v>
      </c>
      <c r="K59" s="47"/>
      <c r="L59" s="49"/>
      <c r="M59" s="49"/>
      <c r="N59" s="98"/>
    </row>
    <row r="60" spans="1:14" ht="16.5" customHeight="1">
      <c r="A60" s="165" t="s">
        <v>746</v>
      </c>
      <c r="B60" s="94" t="s">
        <v>481</v>
      </c>
      <c r="C60" s="90" t="s">
        <v>482</v>
      </c>
      <c r="D60" s="77" t="s">
        <v>714</v>
      </c>
      <c r="E60" s="77">
        <v>5</v>
      </c>
      <c r="F60" s="47">
        <f ca="1">COUNTA($L60:INDIRECT(ADDRESS(ROW(),MATCH("",$4:$4,-1),1,1)))</f>
        <v>0</v>
      </c>
      <c r="G60" s="47">
        <f t="shared" ca="1" si="0"/>
        <v>0</v>
      </c>
      <c r="H60" s="47">
        <f ca="1">COUNTIF($L60:INDIRECT(ADDRESS(ROW(),MATCH("",$4:$4,-1),1,1)),"양호")</f>
        <v>0</v>
      </c>
      <c r="I60" s="47">
        <f ca="1">COUNTIF($L60:INDIRECT(ADDRESS(ROW(),MATCH("",$4:$4,-1),1,1)),"취약")</f>
        <v>0</v>
      </c>
      <c r="J60" s="47">
        <f ca="1">COUNTIF($L60:INDIRECT(ADDRESS(ROW(),MATCH("",$4:$4,-1),1,1)),"N/A")</f>
        <v>0</v>
      </c>
      <c r="K60" s="47"/>
      <c r="L60" s="49"/>
      <c r="M60" s="49"/>
      <c r="N60" s="98"/>
    </row>
    <row r="61" spans="1:14" ht="16.5" customHeight="1">
      <c r="A61" s="165" t="s">
        <v>746</v>
      </c>
      <c r="B61" s="94" t="s">
        <v>487</v>
      </c>
      <c r="C61" s="90" t="s">
        <v>488</v>
      </c>
      <c r="D61" s="77" t="s">
        <v>714</v>
      </c>
      <c r="E61" s="77">
        <v>5</v>
      </c>
      <c r="F61" s="47">
        <f ca="1">COUNTA($L61:INDIRECT(ADDRESS(ROW(),MATCH("",$4:$4,-1),1,1)))</f>
        <v>0</v>
      </c>
      <c r="G61" s="47">
        <f t="shared" ca="1" si="0"/>
        <v>0</v>
      </c>
      <c r="H61" s="47">
        <f ca="1">COUNTIF($L61:INDIRECT(ADDRESS(ROW(),MATCH("",$4:$4,-1),1,1)),"양호")</f>
        <v>0</v>
      </c>
      <c r="I61" s="47">
        <f ca="1">COUNTIF($L61:INDIRECT(ADDRESS(ROW(),MATCH("",$4:$4,-1),1,1)),"취약")</f>
        <v>0</v>
      </c>
      <c r="J61" s="47">
        <f ca="1">COUNTIF($L61:INDIRECT(ADDRESS(ROW(),MATCH("",$4:$4,-1),1,1)),"N/A")</f>
        <v>0</v>
      </c>
      <c r="K61" s="47"/>
      <c r="L61" s="49"/>
      <c r="M61" s="49"/>
      <c r="N61" s="98"/>
    </row>
    <row r="62" spans="1:14" ht="16.5" customHeight="1">
      <c r="A62" s="165" t="s">
        <v>742</v>
      </c>
      <c r="B62" s="94" t="s">
        <v>494</v>
      </c>
      <c r="C62" s="90" t="s">
        <v>495</v>
      </c>
      <c r="D62" s="77" t="s">
        <v>743</v>
      </c>
      <c r="E62" s="77">
        <v>3</v>
      </c>
      <c r="F62" s="47">
        <f ca="1">COUNTA($L62:INDIRECT(ADDRESS(ROW(),MATCH("",$4:$4,-1),1,1)))</f>
        <v>0</v>
      </c>
      <c r="G62" s="47">
        <f t="shared" ca="1" si="0"/>
        <v>0</v>
      </c>
      <c r="H62" s="47">
        <f ca="1">COUNTIF($L62:INDIRECT(ADDRESS(ROW(),MATCH("",$4:$4,-1),1,1)),"양호")</f>
        <v>0</v>
      </c>
      <c r="I62" s="47">
        <f ca="1">COUNTIF($L62:INDIRECT(ADDRESS(ROW(),MATCH("",$4:$4,-1),1,1)),"취약")</f>
        <v>0</v>
      </c>
      <c r="J62" s="47">
        <f ca="1">COUNTIF($L62:INDIRECT(ADDRESS(ROW(),MATCH("",$4:$4,-1),1,1)),"N/A")</f>
        <v>0</v>
      </c>
      <c r="K62" s="47"/>
      <c r="L62" s="49"/>
      <c r="M62" s="49"/>
      <c r="N62" s="98"/>
    </row>
    <row r="63" spans="1:14" ht="16.5" customHeight="1">
      <c r="A63" s="165" t="s">
        <v>742</v>
      </c>
      <c r="B63" s="94" t="s">
        <v>501</v>
      </c>
      <c r="C63" s="90" t="s">
        <v>502</v>
      </c>
      <c r="D63" s="77" t="s">
        <v>714</v>
      </c>
      <c r="E63" s="77">
        <v>4</v>
      </c>
      <c r="F63" s="47">
        <f ca="1">COUNTA($L63:INDIRECT(ADDRESS(ROW(),MATCH("",$4:$4,-1),1,1)))</f>
        <v>0</v>
      </c>
      <c r="G63" s="47">
        <f t="shared" ca="1" si="0"/>
        <v>0</v>
      </c>
      <c r="H63" s="47">
        <f ca="1">COUNTIF($L63:INDIRECT(ADDRESS(ROW(),MATCH("",$4:$4,-1),1,1)),"양호")</f>
        <v>0</v>
      </c>
      <c r="I63" s="47">
        <f ca="1">COUNTIF($L63:INDIRECT(ADDRESS(ROW(),MATCH("",$4:$4,-1),1,1)),"취약")</f>
        <v>0</v>
      </c>
      <c r="J63" s="47">
        <f ca="1">COUNTIF($L63:INDIRECT(ADDRESS(ROW(),MATCH("",$4:$4,-1),1,1)),"N/A")</f>
        <v>0</v>
      </c>
      <c r="K63" s="47"/>
      <c r="L63" s="49"/>
      <c r="M63" s="49"/>
      <c r="N63" s="98"/>
    </row>
    <row r="64" spans="1:14" ht="16.5" customHeight="1">
      <c r="A64" s="165" t="s">
        <v>745</v>
      </c>
      <c r="B64" s="94" t="s">
        <v>507</v>
      </c>
      <c r="C64" s="90" t="s">
        <v>508</v>
      </c>
      <c r="D64" s="77" t="s">
        <v>714</v>
      </c>
      <c r="E64" s="77">
        <v>4</v>
      </c>
      <c r="F64" s="47">
        <f ca="1">COUNTA($L64:INDIRECT(ADDRESS(ROW(),MATCH("",$4:$4,-1),1,1)))</f>
        <v>0</v>
      </c>
      <c r="G64" s="47">
        <f t="shared" ca="1" si="0"/>
        <v>0</v>
      </c>
      <c r="H64" s="47">
        <f ca="1">COUNTIF($L64:INDIRECT(ADDRESS(ROW(),MATCH("",$4:$4,-1),1,1)),"양호")</f>
        <v>0</v>
      </c>
      <c r="I64" s="47">
        <f ca="1">COUNTIF($L64:INDIRECT(ADDRESS(ROW(),MATCH("",$4:$4,-1),1,1)),"취약")</f>
        <v>0</v>
      </c>
      <c r="J64" s="47">
        <f ca="1">COUNTIF($L64:INDIRECT(ADDRESS(ROW(),MATCH("",$4:$4,-1),1,1)),"N/A")</f>
        <v>0</v>
      </c>
      <c r="K64" s="47"/>
      <c r="L64" s="49"/>
      <c r="M64" s="49"/>
      <c r="N64" s="98"/>
    </row>
    <row r="65" spans="1:14" ht="16.5" customHeight="1">
      <c r="A65" s="165" t="s">
        <v>745</v>
      </c>
      <c r="B65" s="94" t="s">
        <v>514</v>
      </c>
      <c r="C65" s="90" t="s">
        <v>515</v>
      </c>
      <c r="D65" s="77" t="s">
        <v>714</v>
      </c>
      <c r="E65" s="77">
        <v>4</v>
      </c>
      <c r="F65" s="47">
        <f ca="1">COUNTA($L65:INDIRECT(ADDRESS(ROW(),MATCH("",$4:$4,-1),1,1)))</f>
        <v>0</v>
      </c>
      <c r="G65" s="47">
        <f t="shared" ca="1" si="0"/>
        <v>0</v>
      </c>
      <c r="H65" s="47">
        <f ca="1">COUNTIF($L65:INDIRECT(ADDRESS(ROW(),MATCH("",$4:$4,-1),1,1)),"양호")</f>
        <v>0</v>
      </c>
      <c r="I65" s="47">
        <f ca="1">COUNTIF($L65:INDIRECT(ADDRESS(ROW(),MATCH("",$4:$4,-1),1,1)),"취약")</f>
        <v>0</v>
      </c>
      <c r="J65" s="47">
        <f ca="1">COUNTIF($L65:INDIRECT(ADDRESS(ROW(),MATCH("",$4:$4,-1),1,1)),"N/A")</f>
        <v>0</v>
      </c>
      <c r="K65" s="47"/>
      <c r="L65" s="49"/>
      <c r="M65" s="49"/>
      <c r="N65" s="98"/>
    </row>
    <row r="66" spans="1:14" ht="16.5" customHeight="1">
      <c r="A66" s="165" t="s">
        <v>742</v>
      </c>
      <c r="B66" s="94" t="s">
        <v>521</v>
      </c>
      <c r="C66" s="90" t="s">
        <v>522</v>
      </c>
      <c r="D66" s="77" t="s">
        <v>743</v>
      </c>
      <c r="E66" s="77">
        <v>3</v>
      </c>
      <c r="F66" s="47">
        <f ca="1">COUNTA($L66:INDIRECT(ADDRESS(ROW(),MATCH("",$4:$4,-1),1,1)))</f>
        <v>0</v>
      </c>
      <c r="G66" s="47">
        <f t="shared" ca="1" si="0"/>
        <v>0</v>
      </c>
      <c r="H66" s="47">
        <f ca="1">COUNTIF($L66:INDIRECT(ADDRESS(ROW(),MATCH("",$4:$4,-1),1,1)),"양호")</f>
        <v>0</v>
      </c>
      <c r="I66" s="47">
        <f ca="1">COUNTIF($L66:INDIRECT(ADDRESS(ROW(),MATCH("",$4:$4,-1),1,1)),"취약")</f>
        <v>0</v>
      </c>
      <c r="J66" s="47">
        <f ca="1">COUNTIF($L66:INDIRECT(ADDRESS(ROW(),MATCH("",$4:$4,-1),1,1)),"N/A")</f>
        <v>0</v>
      </c>
      <c r="K66" s="47"/>
      <c r="L66" s="49"/>
      <c r="M66" s="49"/>
      <c r="N66" s="98"/>
    </row>
    <row r="67" spans="1:14" ht="16.5" customHeight="1">
      <c r="A67" s="165" t="s">
        <v>742</v>
      </c>
      <c r="B67" s="94" t="s">
        <v>528</v>
      </c>
      <c r="C67" s="90" t="s">
        <v>529</v>
      </c>
      <c r="D67" s="77" t="s">
        <v>714</v>
      </c>
      <c r="E67" s="77">
        <v>5</v>
      </c>
      <c r="F67" s="47">
        <f ca="1">COUNTA($L67:INDIRECT(ADDRESS(ROW(),MATCH("",$4:$4,-1),1,1)))</f>
        <v>0</v>
      </c>
      <c r="G67" s="47">
        <f t="shared" ca="1" si="0"/>
        <v>0</v>
      </c>
      <c r="H67" s="47">
        <f ca="1">COUNTIF($L67:INDIRECT(ADDRESS(ROW(),MATCH("",$4:$4,-1),1,1)),"양호")</f>
        <v>0</v>
      </c>
      <c r="I67" s="47">
        <f ca="1">COUNTIF($L67:INDIRECT(ADDRESS(ROW(),MATCH("",$4:$4,-1),1,1)),"취약")</f>
        <v>0</v>
      </c>
      <c r="J67" s="47">
        <f ca="1">COUNTIF($L67:INDIRECT(ADDRESS(ROW(),MATCH("",$4:$4,-1),1,1)),"N/A")</f>
        <v>0</v>
      </c>
      <c r="K67" s="47"/>
      <c r="L67" s="49"/>
      <c r="M67" s="49"/>
      <c r="N67" s="98"/>
    </row>
    <row r="68" spans="1:14" ht="16.5" customHeight="1">
      <c r="A68" s="165" t="s">
        <v>742</v>
      </c>
      <c r="B68" s="94" t="s">
        <v>535</v>
      </c>
      <c r="C68" s="90" t="s">
        <v>536</v>
      </c>
      <c r="D68" s="77" t="s">
        <v>744</v>
      </c>
      <c r="E68" s="77">
        <v>2</v>
      </c>
      <c r="F68" s="47">
        <f ca="1">COUNTA($L68:INDIRECT(ADDRESS(ROW(),MATCH("",$4:$4,-1),1,1)))</f>
        <v>0</v>
      </c>
      <c r="G68" s="47">
        <f t="shared" ca="1" si="0"/>
        <v>0</v>
      </c>
      <c r="H68" s="47">
        <f ca="1">COUNTIF($L68:INDIRECT(ADDRESS(ROW(),MATCH("",$4:$4,-1),1,1)),"양호")</f>
        <v>0</v>
      </c>
      <c r="I68" s="47">
        <f ca="1">COUNTIF($L68:INDIRECT(ADDRESS(ROW(),MATCH("",$4:$4,-1),1,1)),"취약")</f>
        <v>0</v>
      </c>
      <c r="J68" s="47">
        <f ca="1">COUNTIF($L68:INDIRECT(ADDRESS(ROW(),MATCH("",$4:$4,-1),1,1)),"N/A")</f>
        <v>0</v>
      </c>
      <c r="K68" s="47"/>
      <c r="L68" s="49"/>
      <c r="M68" s="49"/>
      <c r="N68" s="98"/>
    </row>
    <row r="69" spans="1:14" ht="16.5" customHeight="1">
      <c r="A69" s="165" t="s">
        <v>742</v>
      </c>
      <c r="B69" s="94" t="s">
        <v>542</v>
      </c>
      <c r="C69" s="90" t="s">
        <v>543</v>
      </c>
      <c r="D69" s="77" t="s">
        <v>714</v>
      </c>
      <c r="E69" s="77">
        <v>5</v>
      </c>
      <c r="F69" s="47">
        <f ca="1">COUNTA($L69:INDIRECT(ADDRESS(ROW(),MATCH("",$4:$4,-1),1,1)))</f>
        <v>0</v>
      </c>
      <c r="G69" s="47">
        <f t="shared" ca="1" si="0"/>
        <v>0</v>
      </c>
      <c r="H69" s="47">
        <f ca="1">COUNTIF($L69:INDIRECT(ADDRESS(ROW(),MATCH("",$4:$4,-1),1,1)),"양호")</f>
        <v>0</v>
      </c>
      <c r="I69" s="47">
        <f ca="1">COUNTIF($L69:INDIRECT(ADDRESS(ROW(),MATCH("",$4:$4,-1),1,1)),"취약")</f>
        <v>0</v>
      </c>
      <c r="J69" s="47">
        <f ca="1">COUNTIF($L69:INDIRECT(ADDRESS(ROW(),MATCH("",$4:$4,-1),1,1)),"N/A")</f>
        <v>0</v>
      </c>
      <c r="K69" s="47"/>
      <c r="L69" s="49"/>
      <c r="M69" s="49"/>
      <c r="N69" s="98"/>
    </row>
    <row r="70" spans="1:14" ht="16.5" customHeight="1">
      <c r="A70" s="165" t="s">
        <v>742</v>
      </c>
      <c r="B70" s="94" t="s">
        <v>549</v>
      </c>
      <c r="C70" s="90" t="s">
        <v>550</v>
      </c>
      <c r="D70" s="77" t="s">
        <v>743</v>
      </c>
      <c r="E70" s="77">
        <v>3</v>
      </c>
      <c r="F70" s="47">
        <f ca="1">COUNTA($L70:INDIRECT(ADDRESS(ROW(),MATCH("",$4:$4,-1),1,1)))</f>
        <v>0</v>
      </c>
      <c r="G70" s="47">
        <f t="shared" ca="1" si="0"/>
        <v>0</v>
      </c>
      <c r="H70" s="47">
        <f ca="1">COUNTIF($L70:INDIRECT(ADDRESS(ROW(),MATCH("",$4:$4,-1),1,1)),"양호")</f>
        <v>0</v>
      </c>
      <c r="I70" s="47">
        <f ca="1">COUNTIF($L70:INDIRECT(ADDRESS(ROW(),MATCH("",$4:$4,-1),1,1)),"취약")</f>
        <v>0</v>
      </c>
      <c r="J70" s="47">
        <f ca="1">COUNTIF($L70:INDIRECT(ADDRESS(ROW(),MATCH("",$4:$4,-1),1,1)),"N/A")</f>
        <v>0</v>
      </c>
      <c r="K70" s="47"/>
      <c r="L70" s="49"/>
      <c r="M70" s="49"/>
      <c r="N70" s="98"/>
    </row>
    <row r="71" spans="1:14" ht="16.5" customHeight="1">
      <c r="A71" s="165" t="s">
        <v>742</v>
      </c>
      <c r="B71" s="94" t="s">
        <v>555</v>
      </c>
      <c r="C71" s="90" t="s">
        <v>556</v>
      </c>
      <c r="D71" s="77" t="s">
        <v>744</v>
      </c>
      <c r="E71" s="77">
        <v>2</v>
      </c>
      <c r="F71" s="47">
        <f ca="1">COUNTA($L71:INDIRECT(ADDRESS(ROW(),MATCH("",$4:$4,-1),1,1)))</f>
        <v>0</v>
      </c>
      <c r="G71" s="47">
        <f t="shared" ca="1" si="0"/>
        <v>0</v>
      </c>
      <c r="H71" s="47">
        <f ca="1">COUNTIF($L71:INDIRECT(ADDRESS(ROW(),MATCH("",$4:$4,-1),1,1)),"양호")</f>
        <v>0</v>
      </c>
      <c r="I71" s="47">
        <f ca="1">COUNTIF($L71:INDIRECT(ADDRESS(ROW(),MATCH("",$4:$4,-1),1,1)),"취약")</f>
        <v>0</v>
      </c>
      <c r="J71" s="47">
        <f ca="1">COUNTIF($L71:INDIRECT(ADDRESS(ROW(),MATCH("",$4:$4,-1),1,1)),"N/A")</f>
        <v>0</v>
      </c>
      <c r="K71" s="47"/>
      <c r="L71" s="49"/>
      <c r="M71" s="49"/>
      <c r="N71" s="98"/>
    </row>
    <row r="72" spans="1:14" ht="16.5" customHeight="1">
      <c r="A72" s="165" t="s">
        <v>742</v>
      </c>
      <c r="B72" s="94" t="s">
        <v>561</v>
      </c>
      <c r="C72" s="90" t="s">
        <v>562</v>
      </c>
      <c r="D72" s="77" t="s">
        <v>743</v>
      </c>
      <c r="E72" s="77">
        <v>3</v>
      </c>
      <c r="F72" s="47">
        <f ca="1">COUNTA($L72:INDIRECT(ADDRESS(ROW(),MATCH("",$4:$4,-1),1,1)))</f>
        <v>0</v>
      </c>
      <c r="G72" s="47">
        <f t="shared" ca="1" si="0"/>
        <v>0</v>
      </c>
      <c r="H72" s="47">
        <f ca="1">COUNTIF($L72:INDIRECT(ADDRESS(ROW(),MATCH("",$4:$4,-1),1,1)),"양호")</f>
        <v>0</v>
      </c>
      <c r="I72" s="47">
        <f ca="1">COUNTIF($L72:INDIRECT(ADDRESS(ROW(),MATCH("",$4:$4,-1),1,1)),"취약")</f>
        <v>0</v>
      </c>
      <c r="J72" s="47">
        <f ca="1">COUNTIF($L72:INDIRECT(ADDRESS(ROW(),MATCH("",$4:$4,-1),1,1)),"N/A")</f>
        <v>0</v>
      </c>
      <c r="K72" s="47"/>
      <c r="L72" s="49"/>
      <c r="M72" s="49"/>
      <c r="N72" s="98"/>
    </row>
    <row r="73" spans="1:14" ht="16.5" customHeight="1">
      <c r="A73" s="165" t="s">
        <v>742</v>
      </c>
      <c r="B73" s="94" t="s">
        <v>566</v>
      </c>
      <c r="C73" s="90" t="s">
        <v>567</v>
      </c>
      <c r="D73" s="77" t="s">
        <v>714</v>
      </c>
      <c r="E73" s="77">
        <v>4</v>
      </c>
      <c r="F73" s="47">
        <f ca="1">COUNTA($L73:INDIRECT(ADDRESS(ROW(),MATCH("",$4:$4,-1),1,1)))</f>
        <v>0</v>
      </c>
      <c r="G73" s="47">
        <f t="shared" ca="1" si="0"/>
        <v>0</v>
      </c>
      <c r="H73" s="47">
        <f ca="1">COUNTIF($L73:INDIRECT(ADDRESS(ROW(),MATCH("",$4:$4,-1),1,1)),"양호")</f>
        <v>0</v>
      </c>
      <c r="I73" s="47">
        <f ca="1">COUNTIF($L73:INDIRECT(ADDRESS(ROW(),MATCH("",$4:$4,-1),1,1)),"취약")</f>
        <v>0</v>
      </c>
      <c r="J73" s="47">
        <f ca="1">COUNTIF($L73:INDIRECT(ADDRESS(ROW(),MATCH("",$4:$4,-1),1,1)),"N/A")</f>
        <v>0</v>
      </c>
      <c r="K73" s="47"/>
      <c r="L73" s="49"/>
      <c r="M73" s="49"/>
      <c r="N73" s="98"/>
    </row>
    <row r="74" spans="1:14" ht="16.5" customHeight="1">
      <c r="A74" s="165" t="s">
        <v>742</v>
      </c>
      <c r="B74" s="94" t="s">
        <v>573</v>
      </c>
      <c r="C74" s="90" t="s">
        <v>866</v>
      </c>
      <c r="D74" s="77" t="s">
        <v>743</v>
      </c>
      <c r="E74" s="77">
        <v>3</v>
      </c>
      <c r="F74" s="47">
        <f ca="1">COUNTA($L74:INDIRECT(ADDRESS(ROW(),MATCH("",$4:$4,-1),1,1)))</f>
        <v>0</v>
      </c>
      <c r="G74" s="47">
        <f t="shared" ca="1" si="0"/>
        <v>0</v>
      </c>
      <c r="H74" s="47">
        <f ca="1">COUNTIF($L74:INDIRECT(ADDRESS(ROW(),MATCH("",$4:$4,-1),1,1)),"양호")</f>
        <v>0</v>
      </c>
      <c r="I74" s="47">
        <f ca="1">COUNTIF($L74:INDIRECT(ADDRESS(ROW(),MATCH("",$4:$4,-1),1,1)),"취약")</f>
        <v>0</v>
      </c>
      <c r="J74" s="47">
        <f ca="1">COUNTIF($L74:INDIRECT(ADDRESS(ROW(),MATCH("",$4:$4,-1),1,1)),"N/A")</f>
        <v>0</v>
      </c>
      <c r="K74" s="47"/>
      <c r="L74" s="49"/>
      <c r="M74" s="49"/>
      <c r="N74" s="98"/>
    </row>
    <row r="75" spans="1:14" ht="16.5" customHeight="1">
      <c r="A75" s="165" t="s">
        <v>742</v>
      </c>
      <c r="B75" s="94" t="s">
        <v>576</v>
      </c>
      <c r="C75" s="90" t="s">
        <v>577</v>
      </c>
      <c r="D75" s="77" t="s">
        <v>743</v>
      </c>
      <c r="E75" s="77">
        <v>3</v>
      </c>
      <c r="F75" s="47">
        <f ca="1">COUNTA($L75:INDIRECT(ADDRESS(ROW(),MATCH("",$4:$4,-1),1,1)))</f>
        <v>0</v>
      </c>
      <c r="G75" s="47">
        <f t="shared" ca="1" si="0"/>
        <v>0</v>
      </c>
      <c r="H75" s="47">
        <f ca="1">COUNTIF($L75:INDIRECT(ADDRESS(ROW(),MATCH("",$4:$4,-1),1,1)),"양호")</f>
        <v>0</v>
      </c>
      <c r="I75" s="47">
        <f ca="1">COUNTIF($L75:INDIRECT(ADDRESS(ROW(),MATCH("",$4:$4,-1),1,1)),"취약")</f>
        <v>0</v>
      </c>
      <c r="J75" s="47">
        <f ca="1">COUNTIF($L75:INDIRECT(ADDRESS(ROW(),MATCH("",$4:$4,-1),1,1)),"N/A")</f>
        <v>0</v>
      </c>
      <c r="K75" s="47"/>
      <c r="L75" s="49"/>
      <c r="M75" s="49"/>
      <c r="N75" s="98"/>
    </row>
    <row r="76" spans="1:14" ht="16.5" customHeight="1">
      <c r="A76" s="165" t="s">
        <v>742</v>
      </c>
      <c r="B76" s="94" t="s">
        <v>581</v>
      </c>
      <c r="C76" s="90" t="s">
        <v>582</v>
      </c>
      <c r="D76" s="77" t="s">
        <v>714</v>
      </c>
      <c r="E76" s="77">
        <v>4</v>
      </c>
      <c r="F76" s="47">
        <f ca="1">COUNTA($L76:INDIRECT(ADDRESS(ROW(),MATCH("",$4:$4,-1),1,1)))</f>
        <v>0</v>
      </c>
      <c r="G76" s="47">
        <f t="shared" ca="1" si="0"/>
        <v>0</v>
      </c>
      <c r="H76" s="47">
        <f ca="1">COUNTIF($L76:INDIRECT(ADDRESS(ROW(),MATCH("",$4:$4,-1),1,1)),"양호")</f>
        <v>0</v>
      </c>
      <c r="I76" s="47">
        <f ca="1">COUNTIF($L76:INDIRECT(ADDRESS(ROW(),MATCH("",$4:$4,-1),1,1)),"취약")</f>
        <v>0</v>
      </c>
      <c r="J76" s="47">
        <f ca="1">COUNTIF($L76:INDIRECT(ADDRESS(ROW(),MATCH("",$4:$4,-1),1,1)),"N/A")</f>
        <v>0</v>
      </c>
      <c r="K76" s="47"/>
      <c r="L76" s="49"/>
      <c r="M76" s="49"/>
      <c r="N76" s="98"/>
    </row>
    <row r="77" spans="1:14" ht="16.5" customHeight="1">
      <c r="A77" s="165" t="s">
        <v>745</v>
      </c>
      <c r="B77" s="94" t="s">
        <v>588</v>
      </c>
      <c r="C77" s="90" t="s">
        <v>589</v>
      </c>
      <c r="D77" s="77" t="s">
        <v>743</v>
      </c>
      <c r="E77" s="77">
        <v>3</v>
      </c>
      <c r="F77" s="47">
        <f ca="1">COUNTA($L77:INDIRECT(ADDRESS(ROW(),MATCH("",$4:$4,-1),1,1)))</f>
        <v>0</v>
      </c>
      <c r="G77" s="47">
        <f t="shared" ca="1" si="0"/>
        <v>0</v>
      </c>
      <c r="H77" s="47">
        <f ca="1">COUNTIF($L77:INDIRECT(ADDRESS(ROW(),MATCH("",$4:$4,-1),1,1)),"양호")</f>
        <v>0</v>
      </c>
      <c r="I77" s="47">
        <f ca="1">COUNTIF($L77:INDIRECT(ADDRESS(ROW(),MATCH("",$4:$4,-1),1,1)),"취약")</f>
        <v>0</v>
      </c>
      <c r="J77" s="47">
        <f ca="1">COUNTIF($L77:INDIRECT(ADDRESS(ROW(),MATCH("",$4:$4,-1),1,1)),"N/A")</f>
        <v>0</v>
      </c>
      <c r="K77" s="47"/>
      <c r="L77" s="49"/>
      <c r="M77" s="49"/>
      <c r="N77" s="98"/>
    </row>
    <row r="78" spans="1:14" ht="16.5" customHeight="1">
      <c r="A78" s="165" t="s">
        <v>742</v>
      </c>
      <c r="B78" s="94" t="s">
        <v>595</v>
      </c>
      <c r="C78" s="90" t="s">
        <v>596</v>
      </c>
      <c r="D78" s="77" t="s">
        <v>743</v>
      </c>
      <c r="E78" s="77">
        <v>3</v>
      </c>
      <c r="F78" s="47">
        <f ca="1">COUNTA($L78:INDIRECT(ADDRESS(ROW(),MATCH("",$4:$4,-1),1,1)))</f>
        <v>0</v>
      </c>
      <c r="G78" s="47">
        <f t="shared" ca="1" si="0"/>
        <v>0</v>
      </c>
      <c r="H78" s="47">
        <f ca="1">COUNTIF($L78:INDIRECT(ADDRESS(ROW(),MATCH("",$4:$4,-1),1,1)),"양호")</f>
        <v>0</v>
      </c>
      <c r="I78" s="47">
        <f ca="1">COUNTIF($L78:INDIRECT(ADDRESS(ROW(),MATCH("",$4:$4,-1),1,1)),"취약")</f>
        <v>0</v>
      </c>
      <c r="J78" s="47">
        <f ca="1">COUNTIF($L78:INDIRECT(ADDRESS(ROW(),MATCH("",$4:$4,-1),1,1)),"N/A")</f>
        <v>0</v>
      </c>
      <c r="K78" s="47"/>
      <c r="L78" s="49"/>
      <c r="M78" s="49"/>
      <c r="N78" s="98"/>
    </row>
    <row r="79" spans="1:14" ht="16.5" customHeight="1">
      <c r="A79" s="165" t="s">
        <v>742</v>
      </c>
      <c r="B79" s="94" t="s">
        <v>602</v>
      </c>
      <c r="C79" s="90" t="s">
        <v>603</v>
      </c>
      <c r="D79" s="77" t="s">
        <v>743</v>
      </c>
      <c r="E79" s="77">
        <v>3</v>
      </c>
      <c r="F79" s="47">
        <f ca="1">COUNTA($L79:INDIRECT(ADDRESS(ROW(),MATCH("",$4:$4,-1),1,1)))</f>
        <v>0</v>
      </c>
      <c r="G79" s="47">
        <f t="shared" ca="1" si="0"/>
        <v>0</v>
      </c>
      <c r="H79" s="47">
        <f ca="1">COUNTIF($L79:INDIRECT(ADDRESS(ROW(),MATCH("",$4:$4,-1),1,1)),"양호")</f>
        <v>0</v>
      </c>
      <c r="I79" s="47">
        <f ca="1">COUNTIF($L79:INDIRECT(ADDRESS(ROW(),MATCH("",$4:$4,-1),1,1)),"취약")</f>
        <v>0</v>
      </c>
      <c r="J79" s="47">
        <f ca="1">COUNTIF($L79:INDIRECT(ADDRESS(ROW(),MATCH("",$4:$4,-1),1,1)),"N/A")</f>
        <v>0</v>
      </c>
      <c r="K79" s="47"/>
      <c r="L79" s="49"/>
      <c r="M79" s="49"/>
      <c r="N79" s="98"/>
    </row>
    <row r="80" spans="1:14" ht="16.5" customHeight="1">
      <c r="A80" s="165" t="s">
        <v>742</v>
      </c>
      <c r="B80" s="94" t="s">
        <v>609</v>
      </c>
      <c r="C80" s="90" t="s">
        <v>610</v>
      </c>
      <c r="D80" s="77" t="s">
        <v>743</v>
      </c>
      <c r="E80" s="77">
        <v>3</v>
      </c>
      <c r="F80" s="47">
        <f ca="1">COUNTA($L80:INDIRECT(ADDRESS(ROW(),MATCH("",$4:$4,-1),1,1)))</f>
        <v>0</v>
      </c>
      <c r="G80" s="47">
        <f t="shared" ca="1" si="0"/>
        <v>0</v>
      </c>
      <c r="H80" s="47">
        <f ca="1">COUNTIF($L80:INDIRECT(ADDRESS(ROW(),MATCH("",$4:$4,-1),1,1)),"양호")</f>
        <v>0</v>
      </c>
      <c r="I80" s="47">
        <f ca="1">COUNTIF($L80:INDIRECT(ADDRESS(ROW(),MATCH("",$4:$4,-1),1,1)),"취약")</f>
        <v>0</v>
      </c>
      <c r="J80" s="47">
        <f ca="1">COUNTIF($L80:INDIRECT(ADDRESS(ROW(),MATCH("",$4:$4,-1),1,1)),"N/A")</f>
        <v>0</v>
      </c>
      <c r="K80" s="47"/>
      <c r="L80" s="49"/>
      <c r="M80" s="49"/>
      <c r="N80" s="98"/>
    </row>
    <row r="81" spans="1:14" ht="16.5" customHeight="1">
      <c r="A81" s="165" t="s">
        <v>742</v>
      </c>
      <c r="B81" s="94" t="s">
        <v>615</v>
      </c>
      <c r="C81" s="90" t="s">
        <v>616</v>
      </c>
      <c r="D81" s="77" t="s">
        <v>744</v>
      </c>
      <c r="E81" s="77">
        <v>1</v>
      </c>
      <c r="F81" s="47">
        <f ca="1">COUNTA($L81:INDIRECT(ADDRESS(ROW(),MATCH("",$4:$4,-1),1,1)))</f>
        <v>0</v>
      </c>
      <c r="G81" s="47">
        <f t="shared" ca="1" si="0"/>
        <v>0</v>
      </c>
      <c r="H81" s="47">
        <f ca="1">COUNTIF($L81:INDIRECT(ADDRESS(ROW(),MATCH("",$4:$4,-1),1,1)),"양호")</f>
        <v>0</v>
      </c>
      <c r="I81" s="47">
        <f ca="1">COUNTIF($L81:INDIRECT(ADDRESS(ROW(),MATCH("",$4:$4,-1),1,1)),"취약")</f>
        <v>0</v>
      </c>
      <c r="J81" s="47">
        <f ca="1">COUNTIF($L81:INDIRECT(ADDRESS(ROW(),MATCH("",$4:$4,-1),1,1)),"N/A")</f>
        <v>0</v>
      </c>
      <c r="K81" s="47"/>
      <c r="L81" s="49"/>
      <c r="M81" s="49"/>
      <c r="N81" s="98"/>
    </row>
    <row r="82" spans="1:14" ht="16.5" customHeight="1">
      <c r="A82" s="165" t="s">
        <v>742</v>
      </c>
      <c r="B82" s="94" t="s">
        <v>622</v>
      </c>
      <c r="C82" s="90" t="s">
        <v>623</v>
      </c>
      <c r="D82" s="77" t="s">
        <v>744</v>
      </c>
      <c r="E82" s="77">
        <v>1</v>
      </c>
      <c r="F82" s="47">
        <f ca="1">COUNTA($L82:INDIRECT(ADDRESS(ROW(),MATCH("",$4:$4,-1),1,1)))</f>
        <v>0</v>
      </c>
      <c r="G82" s="47">
        <f t="shared" ca="1" si="0"/>
        <v>0</v>
      </c>
      <c r="H82" s="47">
        <f ca="1">COUNTIF($L82:INDIRECT(ADDRESS(ROW(),MATCH("",$4:$4,-1),1,1)),"양호")</f>
        <v>0</v>
      </c>
      <c r="I82" s="47">
        <f ca="1">COUNTIF($L82:INDIRECT(ADDRESS(ROW(),MATCH("",$4:$4,-1),1,1)),"취약")</f>
        <v>0</v>
      </c>
      <c r="J82" s="47">
        <f ca="1">COUNTIF($L82:INDIRECT(ADDRESS(ROW(),MATCH("",$4:$4,-1),1,1)),"N/A")</f>
        <v>0</v>
      </c>
      <c r="K82" s="47"/>
      <c r="L82" s="49"/>
      <c r="M82" s="49"/>
      <c r="N82" s="98"/>
    </row>
    <row r="83" spans="1:14" ht="16.5" customHeight="1">
      <c r="A83" s="165" t="s">
        <v>742</v>
      </c>
      <c r="B83" s="94" t="s">
        <v>628</v>
      </c>
      <c r="C83" s="90" t="s">
        <v>629</v>
      </c>
      <c r="D83" s="77" t="s">
        <v>744</v>
      </c>
      <c r="E83" s="77">
        <v>1</v>
      </c>
      <c r="F83" s="47">
        <f ca="1">COUNTA($L83:INDIRECT(ADDRESS(ROW(),MATCH("",$4:$4,-1),1,1)))</f>
        <v>0</v>
      </c>
      <c r="G83" s="47">
        <f t="shared" ca="1" si="0"/>
        <v>0</v>
      </c>
      <c r="H83" s="47">
        <f ca="1">COUNTIF($L83:INDIRECT(ADDRESS(ROW(),MATCH("",$4:$4,-1),1,1)),"양호")</f>
        <v>0</v>
      </c>
      <c r="I83" s="47">
        <f ca="1">COUNTIF($L83:INDIRECT(ADDRESS(ROW(),MATCH("",$4:$4,-1),1,1)),"취약")</f>
        <v>0</v>
      </c>
      <c r="J83" s="47">
        <f ca="1">COUNTIF($L83:INDIRECT(ADDRESS(ROW(),MATCH("",$4:$4,-1),1,1)),"N/A")</f>
        <v>0</v>
      </c>
      <c r="K83" s="47"/>
      <c r="L83" s="49"/>
      <c r="M83" s="49"/>
      <c r="N83" s="98"/>
    </row>
    <row r="84" spans="1:14" ht="16.5" customHeight="1">
      <c r="A84" s="165" t="s">
        <v>742</v>
      </c>
      <c r="B84" s="94" t="s">
        <v>635</v>
      </c>
      <c r="C84" s="90" t="s">
        <v>636</v>
      </c>
      <c r="D84" s="77" t="s">
        <v>744</v>
      </c>
      <c r="E84" s="77">
        <v>1</v>
      </c>
      <c r="F84" s="47">
        <f ca="1">COUNTA($L84:INDIRECT(ADDRESS(ROW(),MATCH("",$4:$4,-1),1,1)))</f>
        <v>0</v>
      </c>
      <c r="G84" s="47">
        <f t="shared" ca="1" si="0"/>
        <v>0</v>
      </c>
      <c r="H84" s="47">
        <f ca="1">COUNTIF($L84:INDIRECT(ADDRESS(ROW(),MATCH("",$4:$4,-1),1,1)),"양호")</f>
        <v>0</v>
      </c>
      <c r="I84" s="47">
        <f ca="1">COUNTIF($L84:INDIRECT(ADDRESS(ROW(),MATCH("",$4:$4,-1),1,1)),"취약")</f>
        <v>0</v>
      </c>
      <c r="J84" s="47">
        <f ca="1">COUNTIF($L84:INDIRECT(ADDRESS(ROW(),MATCH("",$4:$4,-1),1,1)),"N/A")</f>
        <v>0</v>
      </c>
      <c r="K84" s="47"/>
      <c r="L84" s="49"/>
      <c r="M84" s="49"/>
      <c r="N84" s="98"/>
    </row>
    <row r="85" spans="1:14" ht="16.5" customHeight="1">
      <c r="A85" s="165" t="s">
        <v>742</v>
      </c>
      <c r="B85" s="94" t="s">
        <v>855</v>
      </c>
      <c r="C85" s="90" t="s">
        <v>642</v>
      </c>
      <c r="D85" s="77" t="s">
        <v>111</v>
      </c>
      <c r="E85" s="77">
        <v>3</v>
      </c>
      <c r="F85" s="47">
        <f ca="1">COUNTA($L85:INDIRECT(ADDRESS(ROW(),MATCH("",$4:$4,-1),1,1)))</f>
        <v>0</v>
      </c>
      <c r="G85" s="47">
        <f t="shared" ca="1" si="0"/>
        <v>0</v>
      </c>
      <c r="H85" s="47">
        <f ca="1">COUNTIF($L85:INDIRECT(ADDRESS(ROW(),MATCH("",$4:$4,-1),1,1)),"양호")</f>
        <v>0</v>
      </c>
      <c r="I85" s="47">
        <f ca="1">COUNTIF($L85:INDIRECT(ADDRESS(ROW(),MATCH("",$4:$4,-1),1,1)),"취약")</f>
        <v>0</v>
      </c>
      <c r="J85" s="47">
        <f ca="1">COUNTIF($L85:INDIRECT(ADDRESS(ROW(),MATCH("",$4:$4,-1),1,1)),"N/A")</f>
        <v>0</v>
      </c>
      <c r="K85" s="47"/>
      <c r="L85" s="49"/>
      <c r="M85" s="49"/>
      <c r="N85" s="98"/>
    </row>
    <row r="86" spans="1:14" ht="16.5" customHeight="1">
      <c r="A86" s="165" t="s">
        <v>742</v>
      </c>
      <c r="B86" s="94" t="s">
        <v>647</v>
      </c>
      <c r="C86" s="90" t="s">
        <v>648</v>
      </c>
      <c r="D86" s="77" t="s">
        <v>743</v>
      </c>
      <c r="E86" s="77">
        <v>3</v>
      </c>
      <c r="F86" s="47">
        <f ca="1">COUNTA($L86:INDIRECT(ADDRESS(ROW(),MATCH("",$4:$4,-1),1,1)))</f>
        <v>0</v>
      </c>
      <c r="G86" s="47">
        <f t="shared" ca="1" si="0"/>
        <v>0</v>
      </c>
      <c r="H86" s="47">
        <f ca="1">COUNTIF($L86:INDIRECT(ADDRESS(ROW(),MATCH("",$4:$4,-1),1,1)),"양호")</f>
        <v>0</v>
      </c>
      <c r="I86" s="47">
        <f ca="1">COUNTIF($L86:INDIRECT(ADDRESS(ROW(),MATCH("",$4:$4,-1),1,1)),"취약")</f>
        <v>0</v>
      </c>
      <c r="J86" s="47">
        <f ca="1">COUNTIF($L86:INDIRECT(ADDRESS(ROW(),MATCH("",$4:$4,-1),1,1)),"N/A")</f>
        <v>0</v>
      </c>
      <c r="K86" s="47"/>
      <c r="L86" s="49"/>
      <c r="M86" s="49"/>
      <c r="N86" s="98"/>
    </row>
    <row r="87" spans="1:14" ht="16.5" customHeight="1">
      <c r="A87" s="165" t="s">
        <v>742</v>
      </c>
      <c r="B87" s="94" t="s">
        <v>654</v>
      </c>
      <c r="C87" s="90" t="s">
        <v>655</v>
      </c>
      <c r="D87" s="77" t="s">
        <v>743</v>
      </c>
      <c r="E87" s="77">
        <v>3</v>
      </c>
      <c r="F87" s="47">
        <f ca="1">COUNTA($L87:INDIRECT(ADDRESS(ROW(),MATCH("",$4:$4,-1),1,1)))</f>
        <v>0</v>
      </c>
      <c r="G87" s="47">
        <f t="shared" ca="1" si="0"/>
        <v>0</v>
      </c>
      <c r="H87" s="47">
        <f ca="1">COUNTIF($L87:INDIRECT(ADDRESS(ROW(),MATCH("",$4:$4,-1),1,1)),"양호")</f>
        <v>0</v>
      </c>
      <c r="I87" s="47">
        <f ca="1">COUNTIF($L87:INDIRECT(ADDRESS(ROW(),MATCH("",$4:$4,-1),1,1)),"취약")</f>
        <v>0</v>
      </c>
      <c r="J87" s="47">
        <f ca="1">COUNTIF($L87:INDIRECT(ADDRESS(ROW(),MATCH("",$4:$4,-1),1,1)),"N/A")</f>
        <v>0</v>
      </c>
      <c r="K87" s="47"/>
      <c r="L87" s="49"/>
      <c r="M87" s="49"/>
      <c r="N87" s="98"/>
    </row>
    <row r="88" spans="1:14" ht="16.5" customHeight="1" thickBot="1">
      <c r="A88" s="165" t="s">
        <v>742</v>
      </c>
      <c r="B88" s="94" t="s">
        <v>660</v>
      </c>
      <c r="C88" s="90" t="s">
        <v>661</v>
      </c>
      <c r="D88" s="77" t="s">
        <v>744</v>
      </c>
      <c r="E88" s="77">
        <v>2</v>
      </c>
      <c r="F88" s="47">
        <f ca="1">COUNTA($L88:INDIRECT(ADDRESS(ROW(),MATCH("",$4:$4,-1),1,1)))</f>
        <v>0</v>
      </c>
      <c r="G88" s="47">
        <f t="shared" ca="1" si="0"/>
        <v>0</v>
      </c>
      <c r="H88" s="47">
        <f ca="1">COUNTIF($L88:INDIRECT(ADDRESS(ROW(),MATCH("",$4:$4,-1),1,1)),"양호")</f>
        <v>0</v>
      </c>
      <c r="I88" s="47">
        <f ca="1">COUNTIF($L88:INDIRECT(ADDRESS(ROW(),MATCH("",$4:$4,-1),1,1)),"취약")</f>
        <v>0</v>
      </c>
      <c r="J88" s="47">
        <f ca="1">COUNTIF($L88:INDIRECT(ADDRESS(ROW(),MATCH("",$4:$4,-1),1,1)),"N/A")</f>
        <v>0</v>
      </c>
      <c r="K88" s="47"/>
      <c r="L88" s="49"/>
      <c r="M88" s="49"/>
      <c r="N88" s="98"/>
    </row>
    <row r="89" spans="1:14" ht="17.25" thickBot="1">
      <c r="A89" s="453" t="s">
        <v>747</v>
      </c>
      <c r="B89" s="454"/>
      <c r="C89" s="454"/>
      <c r="D89" s="454"/>
      <c r="E89" s="111">
        <f t="shared" ref="E89:J89" si="3">SUM(E6:E88)</f>
        <v>304</v>
      </c>
      <c r="F89" s="111">
        <f t="shared" ca="1" si="3"/>
        <v>0</v>
      </c>
      <c r="G89" s="111">
        <f t="shared" ca="1" si="3"/>
        <v>0</v>
      </c>
      <c r="H89" s="111">
        <f t="shared" ca="1" si="3"/>
        <v>0</v>
      </c>
      <c r="I89" s="111">
        <f t="shared" ca="1" si="3"/>
        <v>0</v>
      </c>
      <c r="J89" s="111">
        <f t="shared" ca="1" si="3"/>
        <v>0</v>
      </c>
      <c r="K89" s="111"/>
      <c r="L89" s="112">
        <f>COUNTIF(L6:L88,"양호")+COUNTIF(L6:L88,"취약")+COUNTIF(L6:L88,"부분만족")+COUNTIF(L6:L88,"N/A")</f>
        <v>0</v>
      </c>
      <c r="M89" s="112">
        <f>COUNTIF(M6:M88,"양호")+COUNTIF(M6:M88,"취약")+COUNTIF(M6:M88,"부분만족")+COUNTIF(M6:M88,"N/A")</f>
        <v>0</v>
      </c>
      <c r="N89" s="113">
        <f>COUNTIF(N6:N88,"양호")+COUNTIF(N6:N88,"취약")+COUNTIF(N6:N88,"부분만족")+COUNTIF(N6:N88,"N/A")</f>
        <v>0</v>
      </c>
    </row>
    <row r="90" spans="1:14" ht="17.25" thickBot="1"/>
    <row r="91" spans="1:14">
      <c r="G91" s="462" t="s">
        <v>739</v>
      </c>
      <c r="H91" s="463"/>
      <c r="I91" s="464"/>
      <c r="J91" s="11">
        <f>SUM(K91:N91)</f>
        <v>0</v>
      </c>
      <c r="K91" s="22"/>
      <c r="L91" s="12">
        <f>COUNTIF(L$6:L$88,$G$91)</f>
        <v>0</v>
      </c>
      <c r="M91" s="12">
        <f>COUNTIF(M$6:M$88,$G$91)</f>
        <v>0</v>
      </c>
      <c r="N91" s="12">
        <f>COUNTIF(N$6:N$88,$G$91)</f>
        <v>0</v>
      </c>
    </row>
    <row r="92" spans="1:14">
      <c r="G92" s="465" t="s">
        <v>740</v>
      </c>
      <c r="H92" s="466"/>
      <c r="I92" s="467"/>
      <c r="J92" s="13">
        <f>SUM(K92:N92)</f>
        <v>0</v>
      </c>
      <c r="K92" s="23"/>
      <c r="L92" s="14">
        <f>COUNTIF(L$6:L$88,$G$92)</f>
        <v>0</v>
      </c>
      <c r="M92" s="14">
        <f>COUNTIF(M$6:M$88,$G$92)</f>
        <v>0</v>
      </c>
      <c r="N92" s="14">
        <f>COUNTIF(N$6:N$88,$G$92)</f>
        <v>0</v>
      </c>
    </row>
    <row r="93" spans="1:14" ht="17.25" thickBot="1">
      <c r="G93" s="468" t="s">
        <v>748</v>
      </c>
      <c r="H93" s="469"/>
      <c r="I93" s="470"/>
      <c r="J93" s="15">
        <f>SUM(K93:N93)</f>
        <v>0</v>
      </c>
      <c r="K93" s="24"/>
      <c r="L93" s="16">
        <f>COUNTIF(L$6:L$88,$G$93)</f>
        <v>0</v>
      </c>
      <c r="M93" s="16">
        <f>COUNTIF(M$6:M$88,$G$93)</f>
        <v>0</v>
      </c>
      <c r="N93" s="16">
        <f>COUNTIF(N$6:N$88,$G$93)</f>
        <v>0</v>
      </c>
    </row>
    <row r="94" spans="1:14" ht="17.25" thickBot="1"/>
    <row r="95" spans="1:14">
      <c r="I95" s="471" t="s">
        <v>686</v>
      </c>
      <c r="J95" s="11">
        <f t="shared" ref="J95:J103" si="4">SUM(K95:N95)</f>
        <v>0</v>
      </c>
      <c r="K95" s="32"/>
      <c r="L95" s="32">
        <f>COUNTIFS($D$6:$D$88,$I$95,L$6:L$88,$G$91)</f>
        <v>0</v>
      </c>
      <c r="M95" s="32">
        <f>COUNTIFS($D$6:$D$88,$I$95,M$6:M$88,$G$91)</f>
        <v>0</v>
      </c>
      <c r="N95" s="32">
        <f>COUNTIFS($D$6:$D$88,$I$95,N$6:N$88,$G$91)</f>
        <v>0</v>
      </c>
    </row>
    <row r="96" spans="1:14" ht="16.5" customHeight="1">
      <c r="I96" s="472"/>
      <c r="J96" s="13">
        <f t="shared" si="4"/>
        <v>0</v>
      </c>
      <c r="K96" s="18"/>
      <c r="L96" s="18">
        <f>COUNTIFS($D$6:$D$88,$I$95,L$6:L$88,$G$92)</f>
        <v>0</v>
      </c>
      <c r="M96" s="18">
        <f>COUNTIFS($D$6:$D$88,$I$95,M$6:M$88,$G$92)</f>
        <v>0</v>
      </c>
      <c r="N96" s="18">
        <f>COUNTIFS($D$6:$D$88,$I$95,N$6:N$88,$G$92)</f>
        <v>0</v>
      </c>
    </row>
    <row r="97" spans="9:14" ht="16.5" customHeight="1" thickBot="1">
      <c r="I97" s="473"/>
      <c r="J97" s="15">
        <f t="shared" si="4"/>
        <v>0</v>
      </c>
      <c r="K97" s="33"/>
      <c r="L97" s="33">
        <f>COUNTIFS($D$6:$D$88,$I$95,L$6:L$88,$G$93)</f>
        <v>0</v>
      </c>
      <c r="M97" s="33">
        <f>COUNTIFS($D$6:$D$88,$I$95,M$6:M$88,$G$93)</f>
        <v>0</v>
      </c>
      <c r="N97" s="33">
        <f>COUNTIFS($D$6:$D$88,$I$95,N$6:N$88,$G$93)</f>
        <v>0</v>
      </c>
    </row>
    <row r="98" spans="9:14" ht="16.5" customHeight="1" thickBot="1">
      <c r="I98" s="461" t="s">
        <v>687</v>
      </c>
      <c r="J98" s="11">
        <f t="shared" si="4"/>
        <v>0</v>
      </c>
      <c r="K98" s="32"/>
      <c r="L98" s="32">
        <f>COUNTIFS($D$6:$D$88,$I$98,L$6:L$88,$G$91)</f>
        <v>0</v>
      </c>
      <c r="M98" s="32">
        <f>COUNTIFS($D$6:$D$88,$I$98,M$6:M$88,$G$91)</f>
        <v>0</v>
      </c>
      <c r="N98" s="32">
        <f>COUNTIFS($D$6:$D$88,$I$98,N$6:N$88,$G$91)</f>
        <v>0</v>
      </c>
    </row>
    <row r="99" spans="9:14" ht="16.5" customHeight="1" thickBot="1">
      <c r="I99" s="461"/>
      <c r="J99" s="13">
        <f t="shared" si="4"/>
        <v>0</v>
      </c>
      <c r="K99" s="18"/>
      <c r="L99" s="18">
        <f>COUNTIFS($D$6:$D$88,$I$98,L$6:L$88,$G$92)</f>
        <v>0</v>
      </c>
      <c r="M99" s="18">
        <f>COUNTIFS($D$6:$D$88,$I$98,M$6:M$88,$G$92)</f>
        <v>0</v>
      </c>
      <c r="N99" s="18">
        <f>COUNTIFS($D$6:$D$88,$I$98,N$6:N$88,$G$92)</f>
        <v>0</v>
      </c>
    </row>
    <row r="100" spans="9:14" ht="16.5" customHeight="1" thickBot="1">
      <c r="I100" s="461"/>
      <c r="J100" s="15">
        <f t="shared" si="4"/>
        <v>0</v>
      </c>
      <c r="K100" s="33"/>
      <c r="L100" s="33">
        <f>COUNTIFS($D$6:$D$88,$I$98,L$6:L$88,$G$93)</f>
        <v>0</v>
      </c>
      <c r="M100" s="33">
        <f>COUNTIFS($D$6:$D$88,$I$98,M$6:M$88,$G$93)</f>
        <v>0</v>
      </c>
      <c r="N100" s="33">
        <f>COUNTIFS($D$6:$D$88,$I$98,N$6:N$88,$G$93)</f>
        <v>0</v>
      </c>
    </row>
    <row r="101" spans="9:14" ht="16.5" customHeight="1" thickBot="1">
      <c r="I101" s="461" t="s">
        <v>688</v>
      </c>
      <c r="J101" s="11">
        <f t="shared" si="4"/>
        <v>0</v>
      </c>
      <c r="K101" s="32"/>
      <c r="L101" s="32">
        <f>COUNTIFS($D$6:$D$88,$I$101,L$6:L$88,$G$91)</f>
        <v>0</v>
      </c>
      <c r="M101" s="32">
        <f>COUNTIFS($D$6:$D$88,$I$101,M$6:M$88,$G$91)</f>
        <v>0</v>
      </c>
      <c r="N101" s="32">
        <f>COUNTIFS($D$6:$D$88,$I$101,N$6:N$88,$G$91)</f>
        <v>0</v>
      </c>
    </row>
    <row r="102" spans="9:14" ht="16.5" customHeight="1" thickBot="1">
      <c r="I102" s="461"/>
      <c r="J102" s="13">
        <f t="shared" si="4"/>
        <v>0</v>
      </c>
      <c r="K102" s="18"/>
      <c r="L102" s="18">
        <f>COUNTIFS($D$6:$D$88,$I$101,L$6:L$88,$G$92)</f>
        <v>0</v>
      </c>
      <c r="M102" s="18">
        <f>COUNTIFS($D$6:$D$88,$I$101,M$6:M$88,$G$92)</f>
        <v>0</v>
      </c>
      <c r="N102" s="18">
        <f>COUNTIFS($D$6:$D$88,$I$101,N$6:N$88,$G$92)</f>
        <v>0</v>
      </c>
    </row>
    <row r="103" spans="9:14" ht="16.5" customHeight="1" thickBot="1">
      <c r="I103" s="461"/>
      <c r="J103" s="15">
        <f t="shared" si="4"/>
        <v>0</v>
      </c>
      <c r="K103" s="33"/>
      <c r="L103" s="33">
        <f>COUNTIFS($D$6:$D$88,$I$101,L$6:L$88,$G$93)</f>
        <v>0</v>
      </c>
      <c r="M103" s="33">
        <f>COUNTIFS($D$6:$D$88,$I$101,M$6:M$88,$G$93)</f>
        <v>0</v>
      </c>
      <c r="N103" s="33">
        <f>COUNTIFS($D$6:$D$88,$I$101,N$6:N$88,$G$93)</f>
        <v>0</v>
      </c>
    </row>
    <row r="104" spans="9:14" ht="16.5" customHeight="1"/>
    <row r="105" spans="9:14" ht="16.5" customHeight="1"/>
    <row r="106" spans="9:14" ht="16.5" customHeight="1"/>
    <row r="107" spans="9:14" ht="16.5" customHeight="1"/>
    <row r="108" spans="9:14" ht="16.5" customHeight="1"/>
    <row r="109" spans="9:14" ht="16.5" customHeight="1"/>
    <row r="110" spans="9:14" ht="16.5" customHeight="1"/>
    <row r="111" spans="9:14" ht="16.5" customHeight="1"/>
    <row r="112" spans="9:14"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sheetData>
  <mergeCells count="15">
    <mergeCell ref="I95:I97"/>
    <mergeCell ref="I98:I100"/>
    <mergeCell ref="I101:I103"/>
    <mergeCell ref="N4:N5"/>
    <mergeCell ref="A89:D89"/>
    <mergeCell ref="G91:I91"/>
    <mergeCell ref="G92:I92"/>
    <mergeCell ref="G93:I93"/>
    <mergeCell ref="M4:M5"/>
    <mergeCell ref="A4:C4"/>
    <mergeCell ref="D4:D5"/>
    <mergeCell ref="E4:E5"/>
    <mergeCell ref="F4:J4"/>
    <mergeCell ref="L4:L5"/>
    <mergeCell ref="K4:K5"/>
  </mergeCells>
  <phoneticPr fontId="1" type="noConversion"/>
  <conditionalFormatting sqref="L86:N88">
    <cfRule type="cellIs" dxfId="58" priority="10" stopIfTrue="1" operator="equal">
      <formula>"취약"</formula>
    </cfRule>
    <cfRule type="cellIs" dxfId="57" priority="11" stopIfTrue="1" operator="equal">
      <formula>"부분만족"</formula>
    </cfRule>
    <cfRule type="cellIs" dxfId="56" priority="12" stopIfTrue="1" operator="equal">
      <formula>"N/A"</formula>
    </cfRule>
  </conditionalFormatting>
  <conditionalFormatting sqref="L6:N88">
    <cfRule type="cellIs" dxfId="55" priority="4" stopIfTrue="1" operator="equal">
      <formula>"취약"</formula>
    </cfRule>
    <cfRule type="cellIs" dxfId="54" priority="5" stopIfTrue="1" operator="equal">
      <formula>"부분만족"</formula>
    </cfRule>
    <cfRule type="cellIs" dxfId="53" priority="6" stopIfTrue="1" operator="equal">
      <formula>"N/A"</formula>
    </cfRule>
  </conditionalFormatting>
  <conditionalFormatting sqref="L85:N85">
    <cfRule type="cellIs" dxfId="52" priority="1" stopIfTrue="1" operator="equal">
      <formula>"취약"</formula>
    </cfRule>
    <cfRule type="cellIs" dxfId="51" priority="2" stopIfTrue="1" operator="equal">
      <formula>"부분만족"</formula>
    </cfRule>
    <cfRule type="cellIs" dxfId="50" priority="3"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34" orientation="landscape"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7030A0"/>
    <pageSetUpPr fitToPage="1"/>
  </sheetPr>
  <dimension ref="A1:N149"/>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1" width="6.75" style="8" customWidth="1"/>
    <col min="12" max="14" width="9.25" style="8" customWidth="1"/>
    <col min="15" max="15" width="2.625" style="8" customWidth="1"/>
    <col min="16" max="207" width="9" style="8"/>
    <col min="208" max="208" width="2.625" style="8" customWidth="1"/>
    <col min="209" max="209" width="9.25" style="8" bestFit="1" customWidth="1"/>
    <col min="210" max="210" width="9" style="8"/>
    <col min="211" max="211" width="40.5" style="8" customWidth="1"/>
    <col min="212" max="213" width="6.125" style="8" customWidth="1"/>
    <col min="214" max="219" width="6.75" style="8" customWidth="1"/>
    <col min="220" max="269" width="9.25" style="8" customWidth="1"/>
    <col min="270" max="270" width="2.625" style="8" customWidth="1"/>
    <col min="271" max="463" width="9" style="8"/>
    <col min="464" max="464" width="2.625" style="8" customWidth="1"/>
    <col min="465" max="465" width="9.25" style="8" bestFit="1" customWidth="1"/>
    <col min="466" max="466" width="9" style="8"/>
    <col min="467" max="467" width="40.5" style="8" customWidth="1"/>
    <col min="468" max="469" width="6.125" style="8" customWidth="1"/>
    <col min="470" max="475" width="6.75" style="8" customWidth="1"/>
    <col min="476" max="525" width="9.25" style="8" customWidth="1"/>
    <col min="526" max="526" width="2.625" style="8" customWidth="1"/>
    <col min="527" max="719" width="9" style="8"/>
    <col min="720" max="720" width="2.625" style="8" customWidth="1"/>
    <col min="721" max="721" width="9.25" style="8" bestFit="1" customWidth="1"/>
    <col min="722" max="722" width="9" style="8"/>
    <col min="723" max="723" width="40.5" style="8" customWidth="1"/>
    <col min="724" max="725" width="6.125" style="8" customWidth="1"/>
    <col min="726" max="731" width="6.75" style="8" customWidth="1"/>
    <col min="732" max="781" width="9.25" style="8" customWidth="1"/>
    <col min="782" max="782" width="2.625" style="8" customWidth="1"/>
    <col min="783" max="975" width="9" style="8"/>
    <col min="976" max="976" width="2.625" style="8" customWidth="1"/>
    <col min="977" max="977" width="9.25" style="8" bestFit="1" customWidth="1"/>
    <col min="978" max="978" width="9" style="8"/>
    <col min="979" max="979" width="40.5" style="8" customWidth="1"/>
    <col min="980" max="981" width="6.125" style="8" customWidth="1"/>
    <col min="982" max="987" width="6.75" style="8" customWidth="1"/>
    <col min="988" max="1037" width="9.25" style="8" customWidth="1"/>
    <col min="1038" max="1038" width="2.625" style="8" customWidth="1"/>
    <col min="1039" max="1231" width="9" style="8"/>
    <col min="1232" max="1232" width="2.625" style="8" customWidth="1"/>
    <col min="1233" max="1233" width="9.25" style="8" bestFit="1" customWidth="1"/>
    <col min="1234" max="1234" width="9" style="8"/>
    <col min="1235" max="1235" width="40.5" style="8" customWidth="1"/>
    <col min="1236" max="1237" width="6.125" style="8" customWidth="1"/>
    <col min="1238" max="1243" width="6.75" style="8" customWidth="1"/>
    <col min="1244" max="1293" width="9.25" style="8" customWidth="1"/>
    <col min="1294" max="1294" width="2.625" style="8" customWidth="1"/>
    <col min="1295" max="1487" width="9" style="8"/>
    <col min="1488" max="1488" width="2.625" style="8" customWidth="1"/>
    <col min="1489" max="1489" width="9.25" style="8" bestFit="1" customWidth="1"/>
    <col min="1490" max="1490" width="9" style="8"/>
    <col min="1491" max="1491" width="40.5" style="8" customWidth="1"/>
    <col min="1492" max="1493" width="6.125" style="8" customWidth="1"/>
    <col min="1494" max="1499" width="6.75" style="8" customWidth="1"/>
    <col min="1500" max="1549" width="9.25" style="8" customWidth="1"/>
    <col min="1550" max="1550" width="2.625" style="8" customWidth="1"/>
    <col min="1551" max="1743" width="9" style="8"/>
    <col min="1744" max="1744" width="2.625" style="8" customWidth="1"/>
    <col min="1745" max="1745" width="9.25" style="8" bestFit="1" customWidth="1"/>
    <col min="1746" max="1746" width="9" style="8"/>
    <col min="1747" max="1747" width="40.5" style="8" customWidth="1"/>
    <col min="1748" max="1749" width="6.125" style="8" customWidth="1"/>
    <col min="1750" max="1755" width="6.75" style="8" customWidth="1"/>
    <col min="1756" max="1805" width="9.25" style="8" customWidth="1"/>
    <col min="1806" max="1806" width="2.625" style="8" customWidth="1"/>
    <col min="1807" max="1999" width="9" style="8"/>
    <col min="2000" max="2000" width="2.625" style="8" customWidth="1"/>
    <col min="2001" max="2001" width="9.25" style="8" bestFit="1" customWidth="1"/>
    <col min="2002" max="2002" width="9" style="8"/>
    <col min="2003" max="2003" width="40.5" style="8" customWidth="1"/>
    <col min="2004" max="2005" width="6.125" style="8" customWidth="1"/>
    <col min="2006" max="2011" width="6.75" style="8" customWidth="1"/>
    <col min="2012" max="2061" width="9.25" style="8" customWidth="1"/>
    <col min="2062" max="2062" width="2.625" style="8" customWidth="1"/>
    <col min="2063" max="2255" width="9" style="8"/>
    <col min="2256" max="2256" width="2.625" style="8" customWidth="1"/>
    <col min="2257" max="2257" width="9.25" style="8" bestFit="1" customWidth="1"/>
    <col min="2258" max="2258" width="9" style="8"/>
    <col min="2259" max="2259" width="40.5" style="8" customWidth="1"/>
    <col min="2260" max="2261" width="6.125" style="8" customWidth="1"/>
    <col min="2262" max="2267" width="6.75" style="8" customWidth="1"/>
    <col min="2268" max="2317" width="9.25" style="8" customWidth="1"/>
    <col min="2318" max="2318" width="2.625" style="8" customWidth="1"/>
    <col min="2319" max="2511" width="9" style="8"/>
    <col min="2512" max="2512" width="2.625" style="8" customWidth="1"/>
    <col min="2513" max="2513" width="9.25" style="8" bestFit="1" customWidth="1"/>
    <col min="2514" max="2514" width="9" style="8"/>
    <col min="2515" max="2515" width="40.5" style="8" customWidth="1"/>
    <col min="2516" max="2517" width="6.125" style="8" customWidth="1"/>
    <col min="2518" max="2523" width="6.75" style="8" customWidth="1"/>
    <col min="2524" max="2573" width="9.25" style="8" customWidth="1"/>
    <col min="2574" max="2574" width="2.625" style="8" customWidth="1"/>
    <col min="2575" max="2767" width="9" style="8"/>
    <col min="2768" max="2768" width="2.625" style="8" customWidth="1"/>
    <col min="2769" max="2769" width="9.25" style="8" bestFit="1" customWidth="1"/>
    <col min="2770" max="2770" width="9" style="8"/>
    <col min="2771" max="2771" width="40.5" style="8" customWidth="1"/>
    <col min="2772" max="2773" width="6.125" style="8" customWidth="1"/>
    <col min="2774" max="2779" width="6.75" style="8" customWidth="1"/>
    <col min="2780" max="2829" width="9.25" style="8" customWidth="1"/>
    <col min="2830" max="2830" width="2.625" style="8" customWidth="1"/>
    <col min="2831" max="3023" width="9" style="8"/>
    <col min="3024" max="3024" width="2.625" style="8" customWidth="1"/>
    <col min="3025" max="3025" width="9.25" style="8" bestFit="1" customWidth="1"/>
    <col min="3026" max="3026" width="9" style="8"/>
    <col min="3027" max="3027" width="40.5" style="8" customWidth="1"/>
    <col min="3028" max="3029" width="6.125" style="8" customWidth="1"/>
    <col min="3030" max="3035" width="6.75" style="8" customWidth="1"/>
    <col min="3036" max="3085" width="9.25" style="8" customWidth="1"/>
    <col min="3086" max="3086" width="2.625" style="8" customWidth="1"/>
    <col min="3087" max="3279" width="9" style="8"/>
    <col min="3280" max="3280" width="2.625" style="8" customWidth="1"/>
    <col min="3281" max="3281" width="9.25" style="8" bestFit="1" customWidth="1"/>
    <col min="3282" max="3282" width="9" style="8"/>
    <col min="3283" max="3283" width="40.5" style="8" customWidth="1"/>
    <col min="3284" max="3285" width="6.125" style="8" customWidth="1"/>
    <col min="3286" max="3291" width="6.75" style="8" customWidth="1"/>
    <col min="3292" max="3341" width="9.25" style="8" customWidth="1"/>
    <col min="3342" max="3342" width="2.625" style="8" customWidth="1"/>
    <col min="3343" max="3535" width="9" style="8"/>
    <col min="3536" max="3536" width="2.625" style="8" customWidth="1"/>
    <col min="3537" max="3537" width="9.25" style="8" bestFit="1" customWidth="1"/>
    <col min="3538" max="3538" width="9" style="8"/>
    <col min="3539" max="3539" width="40.5" style="8" customWidth="1"/>
    <col min="3540" max="3541" width="6.125" style="8" customWidth="1"/>
    <col min="3542" max="3547" width="6.75" style="8" customWidth="1"/>
    <col min="3548" max="3597" width="9.25" style="8" customWidth="1"/>
    <col min="3598" max="3598" width="2.625" style="8" customWidth="1"/>
    <col min="3599" max="3791" width="9" style="8"/>
    <col min="3792" max="3792" width="2.625" style="8" customWidth="1"/>
    <col min="3793" max="3793" width="9.25" style="8" bestFit="1" customWidth="1"/>
    <col min="3794" max="3794" width="9" style="8"/>
    <col min="3795" max="3795" width="40.5" style="8" customWidth="1"/>
    <col min="3796" max="3797" width="6.125" style="8" customWidth="1"/>
    <col min="3798" max="3803" width="6.75" style="8" customWidth="1"/>
    <col min="3804" max="3853" width="9.25" style="8" customWidth="1"/>
    <col min="3854" max="3854" width="2.625" style="8" customWidth="1"/>
    <col min="3855" max="4047" width="9" style="8"/>
    <col min="4048" max="4048" width="2.625" style="8" customWidth="1"/>
    <col min="4049" max="4049" width="9.25" style="8" bestFit="1" customWidth="1"/>
    <col min="4050" max="4050" width="9" style="8"/>
    <col min="4051" max="4051" width="40.5" style="8" customWidth="1"/>
    <col min="4052" max="4053" width="6.125" style="8" customWidth="1"/>
    <col min="4054" max="4059" width="6.75" style="8" customWidth="1"/>
    <col min="4060" max="4109" width="9.25" style="8" customWidth="1"/>
    <col min="4110" max="4110" width="2.625" style="8" customWidth="1"/>
    <col min="4111" max="4303" width="9" style="8"/>
    <col min="4304" max="4304" width="2.625" style="8" customWidth="1"/>
    <col min="4305" max="4305" width="9.25" style="8" bestFit="1" customWidth="1"/>
    <col min="4306" max="4306" width="9" style="8"/>
    <col min="4307" max="4307" width="40.5" style="8" customWidth="1"/>
    <col min="4308" max="4309" width="6.125" style="8" customWidth="1"/>
    <col min="4310" max="4315" width="6.75" style="8" customWidth="1"/>
    <col min="4316" max="4365" width="9.25" style="8" customWidth="1"/>
    <col min="4366" max="4366" width="2.625" style="8" customWidth="1"/>
    <col min="4367" max="4559" width="9" style="8"/>
    <col min="4560" max="4560" width="2.625" style="8" customWidth="1"/>
    <col min="4561" max="4561" width="9.25" style="8" bestFit="1" customWidth="1"/>
    <col min="4562" max="4562" width="9" style="8"/>
    <col min="4563" max="4563" width="40.5" style="8" customWidth="1"/>
    <col min="4564" max="4565" width="6.125" style="8" customWidth="1"/>
    <col min="4566" max="4571" width="6.75" style="8" customWidth="1"/>
    <col min="4572" max="4621" width="9.25" style="8" customWidth="1"/>
    <col min="4622" max="4622" width="2.625" style="8" customWidth="1"/>
    <col min="4623" max="4815" width="9" style="8"/>
    <col min="4816" max="4816" width="2.625" style="8" customWidth="1"/>
    <col min="4817" max="4817" width="9.25" style="8" bestFit="1" customWidth="1"/>
    <col min="4818" max="4818" width="9" style="8"/>
    <col min="4819" max="4819" width="40.5" style="8" customWidth="1"/>
    <col min="4820" max="4821" width="6.125" style="8" customWidth="1"/>
    <col min="4822" max="4827" width="6.75" style="8" customWidth="1"/>
    <col min="4828" max="4877" width="9.25" style="8" customWidth="1"/>
    <col min="4878" max="4878" width="2.625" style="8" customWidth="1"/>
    <col min="4879" max="5071" width="9" style="8"/>
    <col min="5072" max="5072" width="2.625" style="8" customWidth="1"/>
    <col min="5073" max="5073" width="9.25" style="8" bestFit="1" customWidth="1"/>
    <col min="5074" max="5074" width="9" style="8"/>
    <col min="5075" max="5075" width="40.5" style="8" customWidth="1"/>
    <col min="5076" max="5077" width="6.125" style="8" customWidth="1"/>
    <col min="5078" max="5083" width="6.75" style="8" customWidth="1"/>
    <col min="5084" max="5133" width="9.25" style="8" customWidth="1"/>
    <col min="5134" max="5134" width="2.625" style="8" customWidth="1"/>
    <col min="5135" max="5327" width="9" style="8"/>
    <col min="5328" max="5328" width="2.625" style="8" customWidth="1"/>
    <col min="5329" max="5329" width="9.25" style="8" bestFit="1" customWidth="1"/>
    <col min="5330" max="5330" width="9" style="8"/>
    <col min="5331" max="5331" width="40.5" style="8" customWidth="1"/>
    <col min="5332" max="5333" width="6.125" style="8" customWidth="1"/>
    <col min="5334" max="5339" width="6.75" style="8" customWidth="1"/>
    <col min="5340" max="5389" width="9.25" style="8" customWidth="1"/>
    <col min="5390" max="5390" width="2.625" style="8" customWidth="1"/>
    <col min="5391" max="5583" width="9" style="8"/>
    <col min="5584" max="5584" width="2.625" style="8" customWidth="1"/>
    <col min="5585" max="5585" width="9.25" style="8" bestFit="1" customWidth="1"/>
    <col min="5586" max="5586" width="9" style="8"/>
    <col min="5587" max="5587" width="40.5" style="8" customWidth="1"/>
    <col min="5588" max="5589" width="6.125" style="8" customWidth="1"/>
    <col min="5590" max="5595" width="6.75" style="8" customWidth="1"/>
    <col min="5596" max="5645" width="9.25" style="8" customWidth="1"/>
    <col min="5646" max="5646" width="2.625" style="8" customWidth="1"/>
    <col min="5647" max="5839" width="9" style="8"/>
    <col min="5840" max="5840" width="2.625" style="8" customWidth="1"/>
    <col min="5841" max="5841" width="9.25" style="8" bestFit="1" customWidth="1"/>
    <col min="5842" max="5842" width="9" style="8"/>
    <col min="5843" max="5843" width="40.5" style="8" customWidth="1"/>
    <col min="5844" max="5845" width="6.125" style="8" customWidth="1"/>
    <col min="5846" max="5851" width="6.75" style="8" customWidth="1"/>
    <col min="5852" max="5901" width="9.25" style="8" customWidth="1"/>
    <col min="5902" max="5902" width="2.625" style="8" customWidth="1"/>
    <col min="5903" max="6095" width="9" style="8"/>
    <col min="6096" max="6096" width="2.625" style="8" customWidth="1"/>
    <col min="6097" max="6097" width="9.25" style="8" bestFit="1" customWidth="1"/>
    <col min="6098" max="6098" width="9" style="8"/>
    <col min="6099" max="6099" width="40.5" style="8" customWidth="1"/>
    <col min="6100" max="6101" width="6.125" style="8" customWidth="1"/>
    <col min="6102" max="6107" width="6.75" style="8" customWidth="1"/>
    <col min="6108" max="6157" width="9.25" style="8" customWidth="1"/>
    <col min="6158" max="6158" width="2.625" style="8" customWidth="1"/>
    <col min="6159" max="6351" width="9" style="8"/>
    <col min="6352" max="6352" width="2.625" style="8" customWidth="1"/>
    <col min="6353" max="6353" width="9.25" style="8" bestFit="1" customWidth="1"/>
    <col min="6354" max="6354" width="9" style="8"/>
    <col min="6355" max="6355" width="40.5" style="8" customWidth="1"/>
    <col min="6356" max="6357" width="6.125" style="8" customWidth="1"/>
    <col min="6358" max="6363" width="6.75" style="8" customWidth="1"/>
    <col min="6364" max="6413" width="9.25" style="8" customWidth="1"/>
    <col min="6414" max="6414" width="2.625" style="8" customWidth="1"/>
    <col min="6415" max="6607" width="9" style="8"/>
    <col min="6608" max="6608" width="2.625" style="8" customWidth="1"/>
    <col min="6609" max="6609" width="9.25" style="8" bestFit="1" customWidth="1"/>
    <col min="6610" max="6610" width="9" style="8"/>
    <col min="6611" max="6611" width="40.5" style="8" customWidth="1"/>
    <col min="6612" max="6613" width="6.125" style="8" customWidth="1"/>
    <col min="6614" max="6619" width="6.75" style="8" customWidth="1"/>
    <col min="6620" max="6669" width="9.25" style="8" customWidth="1"/>
    <col min="6670" max="6670" width="2.625" style="8" customWidth="1"/>
    <col min="6671" max="6863" width="9" style="8"/>
    <col min="6864" max="6864" width="2.625" style="8" customWidth="1"/>
    <col min="6865" max="6865" width="9.25" style="8" bestFit="1" customWidth="1"/>
    <col min="6866" max="6866" width="9" style="8"/>
    <col min="6867" max="6867" width="40.5" style="8" customWidth="1"/>
    <col min="6868" max="6869" width="6.125" style="8" customWidth="1"/>
    <col min="6870" max="6875" width="6.75" style="8" customWidth="1"/>
    <col min="6876" max="6925" width="9.25" style="8" customWidth="1"/>
    <col min="6926" max="6926" width="2.625" style="8" customWidth="1"/>
    <col min="6927" max="7119" width="9" style="8"/>
    <col min="7120" max="7120" width="2.625" style="8" customWidth="1"/>
    <col min="7121" max="7121" width="9.25" style="8" bestFit="1" customWidth="1"/>
    <col min="7122" max="7122" width="9" style="8"/>
    <col min="7123" max="7123" width="40.5" style="8" customWidth="1"/>
    <col min="7124" max="7125" width="6.125" style="8" customWidth="1"/>
    <col min="7126" max="7131" width="6.75" style="8" customWidth="1"/>
    <col min="7132" max="7181" width="9.25" style="8" customWidth="1"/>
    <col min="7182" max="7182" width="2.625" style="8" customWidth="1"/>
    <col min="7183" max="7375" width="9" style="8"/>
    <col min="7376" max="7376" width="2.625" style="8" customWidth="1"/>
    <col min="7377" max="7377" width="9.25" style="8" bestFit="1" customWidth="1"/>
    <col min="7378" max="7378" width="9" style="8"/>
    <col min="7379" max="7379" width="40.5" style="8" customWidth="1"/>
    <col min="7380" max="7381" width="6.125" style="8" customWidth="1"/>
    <col min="7382" max="7387" width="6.75" style="8" customWidth="1"/>
    <col min="7388" max="7437" width="9.25" style="8" customWidth="1"/>
    <col min="7438" max="7438" width="2.625" style="8" customWidth="1"/>
    <col min="7439" max="7631" width="9" style="8"/>
    <col min="7632" max="7632" width="2.625" style="8" customWidth="1"/>
    <col min="7633" max="7633" width="9.25" style="8" bestFit="1" customWidth="1"/>
    <col min="7634" max="7634" width="9" style="8"/>
    <col min="7635" max="7635" width="40.5" style="8" customWidth="1"/>
    <col min="7636" max="7637" width="6.125" style="8" customWidth="1"/>
    <col min="7638" max="7643" width="6.75" style="8" customWidth="1"/>
    <col min="7644" max="7693" width="9.25" style="8" customWidth="1"/>
    <col min="7694" max="7694" width="2.625" style="8" customWidth="1"/>
    <col min="7695" max="7887" width="9" style="8"/>
    <col min="7888" max="7888" width="2.625" style="8" customWidth="1"/>
    <col min="7889" max="7889" width="9.25" style="8" bestFit="1" customWidth="1"/>
    <col min="7890" max="7890" width="9" style="8"/>
    <col min="7891" max="7891" width="40.5" style="8" customWidth="1"/>
    <col min="7892" max="7893" width="6.125" style="8" customWidth="1"/>
    <col min="7894" max="7899" width="6.75" style="8" customWidth="1"/>
    <col min="7900" max="7949" width="9.25" style="8" customWidth="1"/>
    <col min="7950" max="7950" width="2.625" style="8" customWidth="1"/>
    <col min="7951" max="8143" width="9" style="8"/>
    <col min="8144" max="8144" width="2.625" style="8" customWidth="1"/>
    <col min="8145" max="8145" width="9.25" style="8" bestFit="1" customWidth="1"/>
    <col min="8146" max="8146" width="9" style="8"/>
    <col min="8147" max="8147" width="40.5" style="8" customWidth="1"/>
    <col min="8148" max="8149" width="6.125" style="8" customWidth="1"/>
    <col min="8150" max="8155" width="6.75" style="8" customWidth="1"/>
    <col min="8156" max="8205" width="9.25" style="8" customWidth="1"/>
    <col min="8206" max="8206" width="2.625" style="8" customWidth="1"/>
    <col min="8207" max="8399" width="9" style="8"/>
    <col min="8400" max="8400" width="2.625" style="8" customWidth="1"/>
    <col min="8401" max="8401" width="9.25" style="8" bestFit="1" customWidth="1"/>
    <col min="8402" max="8402" width="9" style="8"/>
    <col min="8403" max="8403" width="40.5" style="8" customWidth="1"/>
    <col min="8404" max="8405" width="6.125" style="8" customWidth="1"/>
    <col min="8406" max="8411" width="6.75" style="8" customWidth="1"/>
    <col min="8412" max="8461" width="9.25" style="8" customWidth="1"/>
    <col min="8462" max="8462" width="2.625" style="8" customWidth="1"/>
    <col min="8463" max="8655" width="9" style="8"/>
    <col min="8656" max="8656" width="2.625" style="8" customWidth="1"/>
    <col min="8657" max="8657" width="9.25" style="8" bestFit="1" customWidth="1"/>
    <col min="8658" max="8658" width="9" style="8"/>
    <col min="8659" max="8659" width="40.5" style="8" customWidth="1"/>
    <col min="8660" max="8661" width="6.125" style="8" customWidth="1"/>
    <col min="8662" max="8667" width="6.75" style="8" customWidth="1"/>
    <col min="8668" max="8717" width="9.25" style="8" customWidth="1"/>
    <col min="8718" max="8718" width="2.625" style="8" customWidth="1"/>
    <col min="8719" max="8911" width="9" style="8"/>
    <col min="8912" max="8912" width="2.625" style="8" customWidth="1"/>
    <col min="8913" max="8913" width="9.25" style="8" bestFit="1" customWidth="1"/>
    <col min="8914" max="8914" width="9" style="8"/>
    <col min="8915" max="8915" width="40.5" style="8" customWidth="1"/>
    <col min="8916" max="8917" width="6.125" style="8" customWidth="1"/>
    <col min="8918" max="8923" width="6.75" style="8" customWidth="1"/>
    <col min="8924" max="8973" width="9.25" style="8" customWidth="1"/>
    <col min="8974" max="8974" width="2.625" style="8" customWidth="1"/>
    <col min="8975" max="9167" width="9" style="8"/>
    <col min="9168" max="9168" width="2.625" style="8" customWidth="1"/>
    <col min="9169" max="9169" width="9.25" style="8" bestFit="1" customWidth="1"/>
    <col min="9170" max="9170" width="9" style="8"/>
    <col min="9171" max="9171" width="40.5" style="8" customWidth="1"/>
    <col min="9172" max="9173" width="6.125" style="8" customWidth="1"/>
    <col min="9174" max="9179" width="6.75" style="8" customWidth="1"/>
    <col min="9180" max="9229" width="9.25" style="8" customWidth="1"/>
    <col min="9230" max="9230" width="2.625" style="8" customWidth="1"/>
    <col min="9231" max="9423" width="9" style="8"/>
    <col min="9424" max="9424" width="2.625" style="8" customWidth="1"/>
    <col min="9425" max="9425" width="9.25" style="8" bestFit="1" customWidth="1"/>
    <col min="9426" max="9426" width="9" style="8"/>
    <col min="9427" max="9427" width="40.5" style="8" customWidth="1"/>
    <col min="9428" max="9429" width="6.125" style="8" customWidth="1"/>
    <col min="9430" max="9435" width="6.75" style="8" customWidth="1"/>
    <col min="9436" max="9485" width="9.25" style="8" customWidth="1"/>
    <col min="9486" max="9486" width="2.625" style="8" customWidth="1"/>
    <col min="9487" max="9679" width="9" style="8"/>
    <col min="9680" max="9680" width="2.625" style="8" customWidth="1"/>
    <col min="9681" max="9681" width="9.25" style="8" bestFit="1" customWidth="1"/>
    <col min="9682" max="9682" width="9" style="8"/>
    <col min="9683" max="9683" width="40.5" style="8" customWidth="1"/>
    <col min="9684" max="9685" width="6.125" style="8" customWidth="1"/>
    <col min="9686" max="9691" width="6.75" style="8" customWidth="1"/>
    <col min="9692" max="9741" width="9.25" style="8" customWidth="1"/>
    <col min="9742" max="9742" width="2.625" style="8" customWidth="1"/>
    <col min="9743" max="9935" width="9" style="8"/>
    <col min="9936" max="9936" width="2.625" style="8" customWidth="1"/>
    <col min="9937" max="9937" width="9.25" style="8" bestFit="1" customWidth="1"/>
    <col min="9938" max="9938" width="9" style="8"/>
    <col min="9939" max="9939" width="40.5" style="8" customWidth="1"/>
    <col min="9940" max="9941" width="6.125" style="8" customWidth="1"/>
    <col min="9942" max="9947" width="6.75" style="8" customWidth="1"/>
    <col min="9948" max="9997" width="9.25" style="8" customWidth="1"/>
    <col min="9998" max="9998" width="2.625" style="8" customWidth="1"/>
    <col min="9999" max="10191" width="9" style="8"/>
    <col min="10192" max="10192" width="2.625" style="8" customWidth="1"/>
    <col min="10193" max="10193" width="9.25" style="8" bestFit="1" customWidth="1"/>
    <col min="10194" max="10194" width="9" style="8"/>
    <col min="10195" max="10195" width="40.5" style="8" customWidth="1"/>
    <col min="10196" max="10197" width="6.125" style="8" customWidth="1"/>
    <col min="10198" max="10203" width="6.75" style="8" customWidth="1"/>
    <col min="10204" max="10253" width="9.25" style="8" customWidth="1"/>
    <col min="10254" max="10254" width="2.625" style="8" customWidth="1"/>
    <col min="10255" max="10447" width="9" style="8"/>
    <col min="10448" max="10448" width="2.625" style="8" customWidth="1"/>
    <col min="10449" max="10449" width="9.25" style="8" bestFit="1" customWidth="1"/>
    <col min="10450" max="10450" width="9" style="8"/>
    <col min="10451" max="10451" width="40.5" style="8" customWidth="1"/>
    <col min="10452" max="10453" width="6.125" style="8" customWidth="1"/>
    <col min="10454" max="10459" width="6.75" style="8" customWidth="1"/>
    <col min="10460" max="10509" width="9.25" style="8" customWidth="1"/>
    <col min="10510" max="10510" width="2.625" style="8" customWidth="1"/>
    <col min="10511" max="10703" width="9" style="8"/>
    <col min="10704" max="10704" width="2.625" style="8" customWidth="1"/>
    <col min="10705" max="10705" width="9.25" style="8" bestFit="1" customWidth="1"/>
    <col min="10706" max="10706" width="9" style="8"/>
    <col min="10707" max="10707" width="40.5" style="8" customWidth="1"/>
    <col min="10708" max="10709" width="6.125" style="8" customWidth="1"/>
    <col min="10710" max="10715" width="6.75" style="8" customWidth="1"/>
    <col min="10716" max="10765" width="9.25" style="8" customWidth="1"/>
    <col min="10766" max="10766" width="2.625" style="8" customWidth="1"/>
    <col min="10767" max="10959" width="9" style="8"/>
    <col min="10960" max="10960" width="2.625" style="8" customWidth="1"/>
    <col min="10961" max="10961" width="9.25" style="8" bestFit="1" customWidth="1"/>
    <col min="10962" max="10962" width="9" style="8"/>
    <col min="10963" max="10963" width="40.5" style="8" customWidth="1"/>
    <col min="10964" max="10965" width="6.125" style="8" customWidth="1"/>
    <col min="10966" max="10971" width="6.75" style="8" customWidth="1"/>
    <col min="10972" max="11021" width="9.25" style="8" customWidth="1"/>
    <col min="11022" max="11022" width="2.625" style="8" customWidth="1"/>
    <col min="11023" max="11215" width="9" style="8"/>
    <col min="11216" max="11216" width="2.625" style="8" customWidth="1"/>
    <col min="11217" max="11217" width="9.25" style="8" bestFit="1" customWidth="1"/>
    <col min="11218" max="11218" width="9" style="8"/>
    <col min="11219" max="11219" width="40.5" style="8" customWidth="1"/>
    <col min="11220" max="11221" width="6.125" style="8" customWidth="1"/>
    <col min="11222" max="11227" width="6.75" style="8" customWidth="1"/>
    <col min="11228" max="11277" width="9.25" style="8" customWidth="1"/>
    <col min="11278" max="11278" width="2.625" style="8" customWidth="1"/>
    <col min="11279" max="11471" width="9" style="8"/>
    <col min="11472" max="11472" width="2.625" style="8" customWidth="1"/>
    <col min="11473" max="11473" width="9.25" style="8" bestFit="1" customWidth="1"/>
    <col min="11474" max="11474" width="9" style="8"/>
    <col min="11475" max="11475" width="40.5" style="8" customWidth="1"/>
    <col min="11476" max="11477" width="6.125" style="8" customWidth="1"/>
    <col min="11478" max="11483" width="6.75" style="8" customWidth="1"/>
    <col min="11484" max="11533" width="9.25" style="8" customWidth="1"/>
    <col min="11534" max="11534" width="2.625" style="8" customWidth="1"/>
    <col min="11535" max="11727" width="9" style="8"/>
    <col min="11728" max="11728" width="2.625" style="8" customWidth="1"/>
    <col min="11729" max="11729" width="9.25" style="8" bestFit="1" customWidth="1"/>
    <col min="11730" max="11730" width="9" style="8"/>
    <col min="11731" max="11731" width="40.5" style="8" customWidth="1"/>
    <col min="11732" max="11733" width="6.125" style="8" customWidth="1"/>
    <col min="11734" max="11739" width="6.75" style="8" customWidth="1"/>
    <col min="11740" max="11789" width="9.25" style="8" customWidth="1"/>
    <col min="11790" max="11790" width="2.625" style="8" customWidth="1"/>
    <col min="11791" max="11983" width="9" style="8"/>
    <col min="11984" max="11984" width="2.625" style="8" customWidth="1"/>
    <col min="11985" max="11985" width="9.25" style="8" bestFit="1" customWidth="1"/>
    <col min="11986" max="11986" width="9" style="8"/>
    <col min="11987" max="11987" width="40.5" style="8" customWidth="1"/>
    <col min="11988" max="11989" width="6.125" style="8" customWidth="1"/>
    <col min="11990" max="11995" width="6.75" style="8" customWidth="1"/>
    <col min="11996" max="12045" width="9.25" style="8" customWidth="1"/>
    <col min="12046" max="12046" width="2.625" style="8" customWidth="1"/>
    <col min="12047" max="12239" width="9" style="8"/>
    <col min="12240" max="12240" width="2.625" style="8" customWidth="1"/>
    <col min="12241" max="12241" width="9.25" style="8" bestFit="1" customWidth="1"/>
    <col min="12242" max="12242" width="9" style="8"/>
    <col min="12243" max="12243" width="40.5" style="8" customWidth="1"/>
    <col min="12244" max="12245" width="6.125" style="8" customWidth="1"/>
    <col min="12246" max="12251" width="6.75" style="8" customWidth="1"/>
    <col min="12252" max="12301" width="9.25" style="8" customWidth="1"/>
    <col min="12302" max="12302" width="2.625" style="8" customWidth="1"/>
    <col min="12303" max="12495" width="9" style="8"/>
    <col min="12496" max="12496" width="2.625" style="8" customWidth="1"/>
    <col min="12497" max="12497" width="9.25" style="8" bestFit="1" customWidth="1"/>
    <col min="12498" max="12498" width="9" style="8"/>
    <col min="12499" max="12499" width="40.5" style="8" customWidth="1"/>
    <col min="12500" max="12501" width="6.125" style="8" customWidth="1"/>
    <col min="12502" max="12507" width="6.75" style="8" customWidth="1"/>
    <col min="12508" max="12557" width="9.25" style="8" customWidth="1"/>
    <col min="12558" max="12558" width="2.625" style="8" customWidth="1"/>
    <col min="12559" max="12751" width="9" style="8"/>
    <col min="12752" max="12752" width="2.625" style="8" customWidth="1"/>
    <col min="12753" max="12753" width="9.25" style="8" bestFit="1" customWidth="1"/>
    <col min="12754" max="12754" width="9" style="8"/>
    <col min="12755" max="12755" width="40.5" style="8" customWidth="1"/>
    <col min="12756" max="12757" width="6.125" style="8" customWidth="1"/>
    <col min="12758" max="12763" width="6.75" style="8" customWidth="1"/>
    <col min="12764" max="12813" width="9.25" style="8" customWidth="1"/>
    <col min="12814" max="12814" width="2.625" style="8" customWidth="1"/>
    <col min="12815" max="13007" width="9" style="8"/>
    <col min="13008" max="13008" width="2.625" style="8" customWidth="1"/>
    <col min="13009" max="13009" width="9.25" style="8" bestFit="1" customWidth="1"/>
    <col min="13010" max="13010" width="9" style="8"/>
    <col min="13011" max="13011" width="40.5" style="8" customWidth="1"/>
    <col min="13012" max="13013" width="6.125" style="8" customWidth="1"/>
    <col min="13014" max="13019" width="6.75" style="8" customWidth="1"/>
    <col min="13020" max="13069" width="9.25" style="8" customWidth="1"/>
    <col min="13070" max="13070" width="2.625" style="8" customWidth="1"/>
    <col min="13071" max="13263" width="9" style="8"/>
    <col min="13264" max="13264" width="2.625" style="8" customWidth="1"/>
    <col min="13265" max="13265" width="9.25" style="8" bestFit="1" customWidth="1"/>
    <col min="13266" max="13266" width="9" style="8"/>
    <col min="13267" max="13267" width="40.5" style="8" customWidth="1"/>
    <col min="13268" max="13269" width="6.125" style="8" customWidth="1"/>
    <col min="13270" max="13275" width="6.75" style="8" customWidth="1"/>
    <col min="13276" max="13325" width="9.25" style="8" customWidth="1"/>
    <col min="13326" max="13326" width="2.625" style="8" customWidth="1"/>
    <col min="13327" max="13519" width="9" style="8"/>
    <col min="13520" max="13520" width="2.625" style="8" customWidth="1"/>
    <col min="13521" max="13521" width="9.25" style="8" bestFit="1" customWidth="1"/>
    <col min="13522" max="13522" width="9" style="8"/>
    <col min="13523" max="13523" width="40.5" style="8" customWidth="1"/>
    <col min="13524" max="13525" width="6.125" style="8" customWidth="1"/>
    <col min="13526" max="13531" width="6.75" style="8" customWidth="1"/>
    <col min="13532" max="13581" width="9.25" style="8" customWidth="1"/>
    <col min="13582" max="13582" width="2.625" style="8" customWidth="1"/>
    <col min="13583" max="13775" width="9" style="8"/>
    <col min="13776" max="13776" width="2.625" style="8" customWidth="1"/>
    <col min="13777" max="13777" width="9.25" style="8" bestFit="1" customWidth="1"/>
    <col min="13778" max="13778" width="9" style="8"/>
    <col min="13779" max="13779" width="40.5" style="8" customWidth="1"/>
    <col min="13780" max="13781" width="6.125" style="8" customWidth="1"/>
    <col min="13782" max="13787" width="6.75" style="8" customWidth="1"/>
    <col min="13788" max="13837" width="9.25" style="8" customWidth="1"/>
    <col min="13838" max="13838" width="2.625" style="8" customWidth="1"/>
    <col min="13839" max="14031" width="9" style="8"/>
    <col min="14032" max="14032" width="2.625" style="8" customWidth="1"/>
    <col min="14033" max="14033" width="9.25" style="8" bestFit="1" customWidth="1"/>
    <col min="14034" max="14034" width="9" style="8"/>
    <col min="14035" max="14035" width="40.5" style="8" customWidth="1"/>
    <col min="14036" max="14037" width="6.125" style="8" customWidth="1"/>
    <col min="14038" max="14043" width="6.75" style="8" customWidth="1"/>
    <col min="14044" max="14093" width="9.25" style="8" customWidth="1"/>
    <col min="14094" max="14094" width="2.625" style="8" customWidth="1"/>
    <col min="14095" max="14287" width="9" style="8"/>
    <col min="14288" max="14288" width="2.625" style="8" customWidth="1"/>
    <col min="14289" max="14289" width="9.25" style="8" bestFit="1" customWidth="1"/>
    <col min="14290" max="14290" width="9" style="8"/>
    <col min="14291" max="14291" width="40.5" style="8" customWidth="1"/>
    <col min="14292" max="14293" width="6.125" style="8" customWidth="1"/>
    <col min="14294" max="14299" width="6.75" style="8" customWidth="1"/>
    <col min="14300" max="14349" width="9.25" style="8" customWidth="1"/>
    <col min="14350" max="14350" width="2.625" style="8" customWidth="1"/>
    <col min="14351" max="14543" width="9" style="8"/>
    <col min="14544" max="14544" width="2.625" style="8" customWidth="1"/>
    <col min="14545" max="14545" width="9.25" style="8" bestFit="1" customWidth="1"/>
    <col min="14546" max="14546" width="9" style="8"/>
    <col min="14547" max="14547" width="40.5" style="8" customWidth="1"/>
    <col min="14548" max="14549" width="6.125" style="8" customWidth="1"/>
    <col min="14550" max="14555" width="6.75" style="8" customWidth="1"/>
    <col min="14556" max="14605" width="9.25" style="8" customWidth="1"/>
    <col min="14606" max="14606" width="2.625" style="8" customWidth="1"/>
    <col min="14607" max="14799" width="9" style="8"/>
    <col min="14800" max="14800" width="2.625" style="8" customWidth="1"/>
    <col min="14801" max="14801" width="9.25" style="8" bestFit="1" customWidth="1"/>
    <col min="14802" max="14802" width="9" style="8"/>
    <col min="14803" max="14803" width="40.5" style="8" customWidth="1"/>
    <col min="14804" max="14805" width="6.125" style="8" customWidth="1"/>
    <col min="14806" max="14811" width="6.75" style="8" customWidth="1"/>
    <col min="14812" max="14861" width="9.25" style="8" customWidth="1"/>
    <col min="14862" max="14862" width="2.625" style="8" customWidth="1"/>
    <col min="14863" max="15055" width="9" style="8"/>
    <col min="15056" max="15056" width="2.625" style="8" customWidth="1"/>
    <col min="15057" max="15057" width="9.25" style="8" bestFit="1" customWidth="1"/>
    <col min="15058" max="15058" width="9" style="8"/>
    <col min="15059" max="15059" width="40.5" style="8" customWidth="1"/>
    <col min="15060" max="15061" width="6.125" style="8" customWidth="1"/>
    <col min="15062" max="15067" width="6.75" style="8" customWidth="1"/>
    <col min="15068" max="15117" width="9.25" style="8" customWidth="1"/>
    <col min="15118" max="15118" width="2.625" style="8" customWidth="1"/>
    <col min="15119" max="15311" width="9" style="8"/>
    <col min="15312" max="15312" width="2.625" style="8" customWidth="1"/>
    <col min="15313" max="15313" width="9.25" style="8" bestFit="1" customWidth="1"/>
    <col min="15314" max="15314" width="9" style="8"/>
    <col min="15315" max="15315" width="40.5" style="8" customWidth="1"/>
    <col min="15316" max="15317" width="6.125" style="8" customWidth="1"/>
    <col min="15318" max="15323" width="6.75" style="8" customWidth="1"/>
    <col min="15324" max="15373" width="9.25" style="8" customWidth="1"/>
    <col min="15374" max="15374" width="2.625" style="8" customWidth="1"/>
    <col min="15375" max="15567" width="9" style="8"/>
    <col min="15568" max="15568" width="2.625" style="8" customWidth="1"/>
    <col min="15569" max="15569" width="9.25" style="8" bestFit="1" customWidth="1"/>
    <col min="15570" max="15570" width="9" style="8"/>
    <col min="15571" max="15571" width="40.5" style="8" customWidth="1"/>
    <col min="15572" max="15573" width="6.125" style="8" customWidth="1"/>
    <col min="15574" max="15579" width="6.75" style="8" customWidth="1"/>
    <col min="15580" max="15629" width="9.25" style="8" customWidth="1"/>
    <col min="15630" max="15630" width="2.625" style="8" customWidth="1"/>
    <col min="15631" max="15823" width="9" style="8"/>
    <col min="15824" max="15824" width="2.625" style="8" customWidth="1"/>
    <col min="15825" max="15825" width="9.25" style="8" bestFit="1" customWidth="1"/>
    <col min="15826" max="15826" width="9" style="8"/>
    <col min="15827" max="15827" width="40.5" style="8" customWidth="1"/>
    <col min="15828" max="15829" width="6.125" style="8" customWidth="1"/>
    <col min="15830" max="15835" width="6.75" style="8" customWidth="1"/>
    <col min="15836" max="15885" width="9.25" style="8" customWidth="1"/>
    <col min="15886" max="15886" width="2.625" style="8" customWidth="1"/>
    <col min="15887" max="16079" width="9" style="8"/>
    <col min="16080" max="16080" width="2.625" style="8" customWidth="1"/>
    <col min="16081" max="16081" width="9.25" style="8" bestFit="1" customWidth="1"/>
    <col min="16082" max="16082" width="9" style="8"/>
    <col min="16083" max="16083" width="40.5" style="8" customWidth="1"/>
    <col min="16084" max="16085" width="6.125" style="8" customWidth="1"/>
    <col min="16086" max="16091" width="6.75" style="8" customWidth="1"/>
    <col min="16092" max="16141" width="9.25" style="8" customWidth="1"/>
    <col min="16142" max="16142" width="2.625" style="8" customWidth="1"/>
    <col min="16143" max="16384" width="9" style="8"/>
  </cols>
  <sheetData>
    <row r="1" spans="1:14" s="5" customFormat="1" ht="13.5">
      <c r="L1" s="41"/>
      <c r="M1" s="41"/>
    </row>
    <row r="2" spans="1:14" s="7" customFormat="1" ht="18" customHeight="1">
      <c r="A2" s="71" t="s">
        <v>837</v>
      </c>
      <c r="B2" s="6"/>
      <c r="C2" s="6"/>
      <c r="D2" s="3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4" t="s">
        <v>685</v>
      </c>
      <c r="B4" s="424"/>
      <c r="C4" s="424"/>
      <c r="D4" s="424" t="s">
        <v>733</v>
      </c>
      <c r="E4" s="424" t="s">
        <v>690</v>
      </c>
      <c r="F4" s="424" t="s">
        <v>734</v>
      </c>
      <c r="G4" s="424"/>
      <c r="H4" s="424"/>
      <c r="I4" s="424"/>
      <c r="J4" s="424"/>
      <c r="K4" s="424"/>
      <c r="L4" s="476" t="str">
        <f ca="1">'요약 통계'!L4:L5</f>
        <v>WINDOWS(샘플)</v>
      </c>
      <c r="M4" s="476" t="str">
        <f ca="1">'요약 통계'!M4:M5</f>
        <v>WINDOWS(샘플)_이행</v>
      </c>
      <c r="N4" s="474">
        <f ca="1">'요약 통계'!N4:N5</f>
        <v>0</v>
      </c>
    </row>
    <row r="5" spans="1:14" ht="17.25" thickBot="1">
      <c r="A5" s="73" t="s">
        <v>735</v>
      </c>
      <c r="B5" s="74" t="s">
        <v>753</v>
      </c>
      <c r="C5" s="74" t="s">
        <v>737</v>
      </c>
      <c r="D5" s="460"/>
      <c r="E5" s="460"/>
      <c r="F5" s="74" t="s">
        <v>738</v>
      </c>
      <c r="G5" s="74" t="s">
        <v>724</v>
      </c>
      <c r="H5" s="74" t="s">
        <v>739</v>
      </c>
      <c r="I5" s="74" t="s">
        <v>754</v>
      </c>
      <c r="J5" s="74" t="s">
        <v>755</v>
      </c>
      <c r="K5" s="74" t="s">
        <v>756</v>
      </c>
      <c r="L5" s="477"/>
      <c r="M5" s="477"/>
      <c r="N5" s="475"/>
    </row>
    <row r="6" spans="1:14" ht="16.5" customHeight="1">
      <c r="A6" s="164" t="s">
        <v>742</v>
      </c>
      <c r="B6" s="93" t="s">
        <v>110</v>
      </c>
      <c r="C6" s="87" t="s">
        <v>892</v>
      </c>
      <c r="D6" s="76" t="s">
        <v>743</v>
      </c>
      <c r="E6" s="76">
        <v>3</v>
      </c>
      <c r="F6" s="50">
        <f ca="1">COUNTA($L6:INDIRECT(ADDRESS(ROW(),MATCH("",$4:$4,-1),1,1)))</f>
        <v>2</v>
      </c>
      <c r="G6" s="50">
        <f ca="1">F6-K6</f>
        <v>2</v>
      </c>
      <c r="H6" s="50">
        <f ca="1">COUNTIF($L6:INDIRECT(ADDRESS(ROW(),MATCH("",$4:$4,-1),1,1)),"양호")</f>
        <v>0</v>
      </c>
      <c r="I6" s="50">
        <f ca="1">COUNTIF($L6:INDIRECT(ADDRESS(ROW(),MATCH("",$4:$4,-1),1,1)),"신규")</f>
        <v>0</v>
      </c>
      <c r="J6" s="50">
        <f ca="1">COUNTIF($L6:INDIRECT(ADDRESS(ROW(),MATCH("",$4:$4,-1),1,1)),"조치")</f>
        <v>0</v>
      </c>
      <c r="K6" s="50">
        <f ca="1">COUNTIF($L6:INDIRECT(ADDRESS(ROW(),MATCH("",$4:$4,-1),1,1)),"미조치")</f>
        <v>0</v>
      </c>
      <c r="L6" s="51" t="str">
        <f ca="1">IFERROR(fn_Compare(ADDRESS(ROW(),COLUMN())),"")</f>
        <v/>
      </c>
      <c r="M6" s="51" t="str">
        <f ca="1">IFERROR(fn_Compare(ADDRESS(ROW(),COLUMN())),"")</f>
        <v/>
      </c>
      <c r="N6" s="97" t="str">
        <f ca="1">IFERROR(fn_Compare(ADDRESS(ROW(),COLUMN())),"")</f>
        <v/>
      </c>
    </row>
    <row r="7" spans="1:14" ht="16.5" customHeight="1">
      <c r="A7" s="165" t="s">
        <v>742</v>
      </c>
      <c r="B7" s="94" t="s">
        <v>116</v>
      </c>
      <c r="C7" s="90" t="s">
        <v>894</v>
      </c>
      <c r="D7" s="77" t="s">
        <v>743</v>
      </c>
      <c r="E7" s="77">
        <v>3</v>
      </c>
      <c r="F7" s="47">
        <f ca="1">COUNTA($L7:INDIRECT(ADDRESS(ROW(),MATCH("",$4:$4,-1),1,1)))</f>
        <v>2</v>
      </c>
      <c r="G7" s="47">
        <f t="shared" ref="G7:G10" ca="1" si="0">F7-K7</f>
        <v>2</v>
      </c>
      <c r="H7" s="47">
        <f ca="1">COUNTIF($L7:INDIRECT(ADDRESS(ROW(),MATCH("",$4:$4,-1),1,1)),"양호")</f>
        <v>0</v>
      </c>
      <c r="I7" s="47">
        <f ca="1">COUNTIF($L7:INDIRECT(ADDRESS(ROW(),MATCH("",$4:$4,-1),1,1)),"신규")</f>
        <v>0</v>
      </c>
      <c r="J7" s="47">
        <f ca="1">COUNTIF($L7:INDIRECT(ADDRESS(ROW(),MATCH("",$4:$4,-1),1,1)),"조치")</f>
        <v>0</v>
      </c>
      <c r="K7" s="47">
        <f ca="1">COUNTIF($L7:INDIRECT(ADDRESS(ROW(),MATCH("",$4:$4,-1),1,1)),"미조치")</f>
        <v>0</v>
      </c>
      <c r="L7" s="49" t="str">
        <f ca="1">IFERROR(fn_Compare(ADDRESS(ROW(),COLUMN())),"")</f>
        <v/>
      </c>
      <c r="M7" s="49" t="str">
        <f ca="1">IFERROR(fn_Compare(ADDRESS(ROW(),COLUMN())),"")</f>
        <v/>
      </c>
      <c r="N7" s="98" t="str">
        <f ca="1">IFERROR(fn_Compare(ADDRESS(ROW(),COLUMN())),"")</f>
        <v/>
      </c>
    </row>
    <row r="8" spans="1:14" ht="16.5" customHeight="1">
      <c r="A8" s="165" t="s">
        <v>742</v>
      </c>
      <c r="B8" s="94" t="s">
        <v>118</v>
      </c>
      <c r="C8" s="90" t="s">
        <v>119</v>
      </c>
      <c r="D8" s="77" t="s">
        <v>743</v>
      </c>
      <c r="E8" s="77">
        <v>3</v>
      </c>
      <c r="F8" s="47">
        <f ca="1">COUNTA($L8:INDIRECT(ADDRESS(ROW(),MATCH("",$4:$4,-1),1,1)))</f>
        <v>2</v>
      </c>
      <c r="G8" s="47">
        <f t="shared" ca="1" si="0"/>
        <v>2</v>
      </c>
      <c r="H8" s="47">
        <f ca="1">COUNTIF($L8:INDIRECT(ADDRESS(ROW(),MATCH("",$4:$4,-1),1,1)),"양호")</f>
        <v>0</v>
      </c>
      <c r="I8" s="47">
        <f ca="1">COUNTIF($L8:INDIRECT(ADDRESS(ROW(),MATCH("",$4:$4,-1),1,1)),"신규")</f>
        <v>0</v>
      </c>
      <c r="J8" s="47">
        <f ca="1">COUNTIF($L8:INDIRECT(ADDRESS(ROW(),MATCH("",$4:$4,-1),1,1)),"조치")</f>
        <v>0</v>
      </c>
      <c r="K8" s="47">
        <f ca="1">COUNTIF($L8:INDIRECT(ADDRESS(ROW(),MATCH("",$4:$4,-1),1,1)),"미조치")</f>
        <v>0</v>
      </c>
      <c r="L8" s="49" t="str">
        <f ca="1">IFERROR(fn_Compare(ADDRESS(ROW(),COLUMN())),"")</f>
        <v/>
      </c>
      <c r="M8" s="49" t="str">
        <f ca="1">IFERROR(fn_Compare(ADDRESS(ROW(),COLUMN())),"")</f>
        <v/>
      </c>
      <c r="N8" s="98" t="str">
        <f ca="1">IFERROR(fn_Compare(ADDRESS(ROW(),COLUMN())),"")</f>
        <v/>
      </c>
    </row>
    <row r="9" spans="1:14" ht="16.5" customHeight="1">
      <c r="A9" s="165" t="s">
        <v>742</v>
      </c>
      <c r="B9" s="94" t="s">
        <v>125</v>
      </c>
      <c r="C9" s="90" t="s">
        <v>126</v>
      </c>
      <c r="D9" s="77" t="s">
        <v>714</v>
      </c>
      <c r="E9" s="77">
        <v>5</v>
      </c>
      <c r="F9" s="47">
        <f ca="1">COUNTA($L9:INDIRECT(ADDRESS(ROW(),MATCH("",$4:$4,-1),1,1)))</f>
        <v>2</v>
      </c>
      <c r="G9" s="47">
        <f t="shared" ca="1" si="0"/>
        <v>2</v>
      </c>
      <c r="H9" s="47">
        <f ca="1">COUNTIF($L9:INDIRECT(ADDRESS(ROW(),MATCH("",$4:$4,-1),1,1)),"양호")</f>
        <v>0</v>
      </c>
      <c r="I9" s="47">
        <f ca="1">COUNTIF($L9:INDIRECT(ADDRESS(ROW(),MATCH("",$4:$4,-1),1,1)),"신규")</f>
        <v>0</v>
      </c>
      <c r="J9" s="47">
        <f ca="1">COUNTIF($L9:INDIRECT(ADDRESS(ROW(),MATCH("",$4:$4,-1),1,1)),"조치")</f>
        <v>0</v>
      </c>
      <c r="K9" s="47">
        <f ca="1">COUNTIF($L9:INDIRECT(ADDRESS(ROW(),MATCH("",$4:$4,-1),1,1)),"미조치")</f>
        <v>0</v>
      </c>
      <c r="L9" s="49" t="str">
        <f ca="1">IFERROR(fn_Compare(ADDRESS(ROW(),COLUMN())),"")</f>
        <v/>
      </c>
      <c r="M9" s="49" t="str">
        <f ca="1">IFERROR(fn_Compare(ADDRESS(ROW(),COLUMN())),"")</f>
        <v/>
      </c>
      <c r="N9" s="98" t="str">
        <f ca="1">IFERROR(fn_Compare(ADDRESS(ROW(),COLUMN())),"")</f>
        <v/>
      </c>
    </row>
    <row r="10" spans="1:14" ht="16.5" customHeight="1">
      <c r="A10" s="165" t="s">
        <v>742</v>
      </c>
      <c r="B10" s="94" t="s">
        <v>133</v>
      </c>
      <c r="C10" s="90" t="s">
        <v>134</v>
      </c>
      <c r="D10" s="77" t="s">
        <v>714</v>
      </c>
      <c r="E10" s="77">
        <v>4</v>
      </c>
      <c r="F10" s="47">
        <f ca="1">COUNTA($L10:INDIRECT(ADDRESS(ROW(),MATCH("",$4:$4,-1),1,1)))</f>
        <v>2</v>
      </c>
      <c r="G10" s="47">
        <f t="shared" ca="1" si="0"/>
        <v>2</v>
      </c>
      <c r="H10" s="47">
        <f ca="1">COUNTIF($L10:INDIRECT(ADDRESS(ROW(),MATCH("",$4:$4,-1),1,1)),"양호")</f>
        <v>0</v>
      </c>
      <c r="I10" s="47">
        <f ca="1">COUNTIF($L10:INDIRECT(ADDRESS(ROW(),MATCH("",$4:$4,-1),1,1)),"신규")</f>
        <v>0</v>
      </c>
      <c r="J10" s="47">
        <f ca="1">COUNTIF($L10:INDIRECT(ADDRESS(ROW(),MATCH("",$4:$4,-1),1,1)),"조치")</f>
        <v>0</v>
      </c>
      <c r="K10" s="47">
        <f ca="1">COUNTIF($L10:INDIRECT(ADDRESS(ROW(),MATCH("",$4:$4,-1),1,1)),"미조치")</f>
        <v>0</v>
      </c>
      <c r="L10" s="49" t="str">
        <f ca="1">IFERROR(fn_Compare(ADDRESS(ROW(),COLUMN())),"")</f>
        <v/>
      </c>
      <c r="M10" s="49" t="str">
        <f ca="1">IFERROR(fn_Compare(ADDRESS(ROW(),COLUMN())),"")</f>
        <v/>
      </c>
      <c r="N10" s="98" t="str">
        <f ca="1">IFERROR(fn_Compare(ADDRESS(ROW(),COLUMN())),"")</f>
        <v/>
      </c>
    </row>
    <row r="11" spans="1:14" ht="16.5" customHeight="1">
      <c r="A11" s="165" t="s">
        <v>742</v>
      </c>
      <c r="B11" s="94" t="s">
        <v>140</v>
      </c>
      <c r="C11" s="90" t="s">
        <v>141</v>
      </c>
      <c r="D11" s="77" t="s">
        <v>714</v>
      </c>
      <c r="E11" s="77">
        <v>5</v>
      </c>
      <c r="F11" s="47">
        <f ca="1">COUNTA($L11:INDIRECT(ADDRESS(ROW(),MATCH("",$4:$4,-1),1,1)))</f>
        <v>2</v>
      </c>
      <c r="G11" s="47">
        <f t="shared" ref="G11:G88" ca="1" si="1">F11-K11</f>
        <v>2</v>
      </c>
      <c r="H11" s="47">
        <f ca="1">COUNTIF($L11:INDIRECT(ADDRESS(ROW(),MATCH("",$4:$4,-1),1,1)),"양호")</f>
        <v>0</v>
      </c>
      <c r="I11" s="47">
        <f ca="1">COUNTIF($L11:INDIRECT(ADDRESS(ROW(),MATCH("",$4:$4,-1),1,1)),"신규")</f>
        <v>0</v>
      </c>
      <c r="J11" s="47">
        <f ca="1">COUNTIF($L11:INDIRECT(ADDRESS(ROW(),MATCH("",$4:$4,-1),1,1)),"조치")</f>
        <v>0</v>
      </c>
      <c r="K11" s="47">
        <f ca="1">COUNTIF($L11:INDIRECT(ADDRESS(ROW(),MATCH("",$4:$4,-1),1,1)),"미조치")</f>
        <v>0</v>
      </c>
      <c r="L11" s="49" t="str">
        <f ca="1">IFERROR(fn_Compare(ADDRESS(ROW(),COLUMN())),"")</f>
        <v/>
      </c>
      <c r="M11" s="49" t="str">
        <f ca="1">IFERROR(fn_Compare(ADDRESS(ROW(),COLUMN())),"")</f>
        <v/>
      </c>
      <c r="N11" s="98" t="str">
        <f ca="1">IFERROR(fn_Compare(ADDRESS(ROW(),COLUMN())),"")</f>
        <v/>
      </c>
    </row>
    <row r="12" spans="1:14" ht="16.5" customHeight="1">
      <c r="A12" s="165" t="s">
        <v>742</v>
      </c>
      <c r="B12" s="94" t="s">
        <v>148</v>
      </c>
      <c r="C12" s="90" t="s">
        <v>149</v>
      </c>
      <c r="D12" s="77" t="s">
        <v>714</v>
      </c>
      <c r="E12" s="77">
        <v>5</v>
      </c>
      <c r="F12" s="47">
        <f ca="1">COUNTA($L12:INDIRECT(ADDRESS(ROW(),MATCH("",$4:$4,-1),1,1)))</f>
        <v>2</v>
      </c>
      <c r="G12" s="47">
        <f t="shared" ref="G12:G48" ca="1" si="2">F12-K12</f>
        <v>2</v>
      </c>
      <c r="H12" s="47">
        <f ca="1">COUNTIF($L12:INDIRECT(ADDRESS(ROW(),MATCH("",$4:$4,-1),1,1)),"양호")</f>
        <v>0</v>
      </c>
      <c r="I12" s="47">
        <f ca="1">COUNTIF($L12:INDIRECT(ADDRESS(ROW(),MATCH("",$4:$4,-1),1,1)),"신규")</f>
        <v>0</v>
      </c>
      <c r="J12" s="47">
        <f ca="1">COUNTIF($L12:INDIRECT(ADDRESS(ROW(),MATCH("",$4:$4,-1),1,1)),"조치")</f>
        <v>0</v>
      </c>
      <c r="K12" s="47">
        <f ca="1">COUNTIF($L12:INDIRECT(ADDRESS(ROW(),MATCH("",$4:$4,-1),1,1)),"미조치")</f>
        <v>0</v>
      </c>
      <c r="L12" s="49" t="str">
        <f ca="1">IFERROR(fn_Compare(ADDRESS(ROW(),COLUMN())),"")</f>
        <v/>
      </c>
      <c r="M12" s="49" t="str">
        <f ca="1">IFERROR(fn_Compare(ADDRESS(ROW(),COLUMN())),"")</f>
        <v/>
      </c>
      <c r="N12" s="98" t="str">
        <f ca="1">IFERROR(fn_Compare(ADDRESS(ROW(),COLUMN())),"")</f>
        <v/>
      </c>
    </row>
    <row r="13" spans="1:14" ht="16.5" customHeight="1">
      <c r="A13" s="165" t="s">
        <v>742</v>
      </c>
      <c r="B13" s="94" t="s">
        <v>154</v>
      </c>
      <c r="C13" s="90" t="s">
        <v>155</v>
      </c>
      <c r="D13" s="77" t="s">
        <v>743</v>
      </c>
      <c r="E13" s="77">
        <v>3</v>
      </c>
      <c r="F13" s="47">
        <f ca="1">COUNTA($L13:INDIRECT(ADDRESS(ROW(),MATCH("",$4:$4,-1),1,1)))</f>
        <v>2</v>
      </c>
      <c r="G13" s="47">
        <f t="shared" ca="1" si="2"/>
        <v>2</v>
      </c>
      <c r="H13" s="47">
        <f ca="1">COUNTIF($L13:INDIRECT(ADDRESS(ROW(),MATCH("",$4:$4,-1),1,1)),"양호")</f>
        <v>0</v>
      </c>
      <c r="I13" s="47">
        <f ca="1">COUNTIF($L13:INDIRECT(ADDRESS(ROW(),MATCH("",$4:$4,-1),1,1)),"신규")</f>
        <v>0</v>
      </c>
      <c r="J13" s="47">
        <f ca="1">COUNTIF($L13:INDIRECT(ADDRESS(ROW(),MATCH("",$4:$4,-1),1,1)),"조치")</f>
        <v>0</v>
      </c>
      <c r="K13" s="47">
        <f ca="1">COUNTIF($L13:INDIRECT(ADDRESS(ROW(),MATCH("",$4:$4,-1),1,1)),"미조치")</f>
        <v>0</v>
      </c>
      <c r="L13" s="49" t="str">
        <f ca="1">IFERROR(fn_Compare(ADDRESS(ROW(),COLUMN())),"")</f>
        <v/>
      </c>
      <c r="M13" s="49" t="str">
        <f ca="1">IFERROR(fn_Compare(ADDRESS(ROW(),COLUMN())),"")</f>
        <v/>
      </c>
      <c r="N13" s="98" t="str">
        <f ca="1">IFERROR(fn_Compare(ADDRESS(ROW(),COLUMN())),"")</f>
        <v/>
      </c>
    </row>
    <row r="14" spans="1:14" ht="16.5" customHeight="1">
      <c r="A14" s="165" t="s">
        <v>742</v>
      </c>
      <c r="B14" s="94" t="s">
        <v>161</v>
      </c>
      <c r="C14" s="90" t="s">
        <v>162</v>
      </c>
      <c r="D14" s="77" t="s">
        <v>743</v>
      </c>
      <c r="E14" s="77">
        <v>3</v>
      </c>
      <c r="F14" s="47">
        <f ca="1">COUNTA($L14:INDIRECT(ADDRESS(ROW(),MATCH("",$4:$4,-1),1,1)))</f>
        <v>2</v>
      </c>
      <c r="G14" s="47">
        <f t="shared" ca="1" si="2"/>
        <v>2</v>
      </c>
      <c r="H14" s="47">
        <f ca="1">COUNTIF($L14:INDIRECT(ADDRESS(ROW(),MATCH("",$4:$4,-1),1,1)),"양호")</f>
        <v>0</v>
      </c>
      <c r="I14" s="47">
        <f ca="1">COUNTIF($L14:INDIRECT(ADDRESS(ROW(),MATCH("",$4:$4,-1),1,1)),"신규")</f>
        <v>0</v>
      </c>
      <c r="J14" s="47">
        <f ca="1">COUNTIF($L14:INDIRECT(ADDRESS(ROW(),MATCH("",$4:$4,-1),1,1)),"조치")</f>
        <v>0</v>
      </c>
      <c r="K14" s="47">
        <f ca="1">COUNTIF($L14:INDIRECT(ADDRESS(ROW(),MATCH("",$4:$4,-1),1,1)),"미조치")</f>
        <v>0</v>
      </c>
      <c r="L14" s="49" t="str">
        <f ca="1">IFERROR(fn_Compare(ADDRESS(ROW(),COLUMN())),"")</f>
        <v/>
      </c>
      <c r="M14" s="49" t="str">
        <f ca="1">IFERROR(fn_Compare(ADDRESS(ROW(),COLUMN())),"")</f>
        <v/>
      </c>
      <c r="N14" s="98" t="str">
        <f ca="1">IFERROR(fn_Compare(ADDRESS(ROW(),COLUMN())),"")</f>
        <v/>
      </c>
    </row>
    <row r="15" spans="1:14" ht="16.5" customHeight="1">
      <c r="A15" s="165" t="s">
        <v>742</v>
      </c>
      <c r="B15" s="94" t="s">
        <v>169</v>
      </c>
      <c r="C15" s="90" t="s">
        <v>170</v>
      </c>
      <c r="D15" s="77" t="s">
        <v>743</v>
      </c>
      <c r="E15" s="77">
        <v>3</v>
      </c>
      <c r="F15" s="47">
        <f ca="1">COUNTA($L15:INDIRECT(ADDRESS(ROW(),MATCH("",$4:$4,-1),1,1)))</f>
        <v>2</v>
      </c>
      <c r="G15" s="47">
        <f t="shared" ca="1" si="2"/>
        <v>2</v>
      </c>
      <c r="H15" s="47">
        <f ca="1">COUNTIF($L15:INDIRECT(ADDRESS(ROW(),MATCH("",$4:$4,-1),1,1)),"양호")</f>
        <v>0</v>
      </c>
      <c r="I15" s="47">
        <f ca="1">COUNTIF($L15:INDIRECT(ADDRESS(ROW(),MATCH("",$4:$4,-1),1,1)),"신규")</f>
        <v>0</v>
      </c>
      <c r="J15" s="47">
        <f ca="1">COUNTIF($L15:INDIRECT(ADDRESS(ROW(),MATCH("",$4:$4,-1),1,1)),"조치")</f>
        <v>0</v>
      </c>
      <c r="K15" s="47">
        <f ca="1">COUNTIF($L15:INDIRECT(ADDRESS(ROW(),MATCH("",$4:$4,-1),1,1)),"미조치")</f>
        <v>0</v>
      </c>
      <c r="L15" s="49" t="str">
        <f ca="1">IFERROR(fn_Compare(ADDRESS(ROW(),COLUMN())),"")</f>
        <v/>
      </c>
      <c r="M15" s="49" t="str">
        <f ca="1">IFERROR(fn_Compare(ADDRESS(ROW(),COLUMN())),"")</f>
        <v/>
      </c>
      <c r="N15" s="98" t="str">
        <f ca="1">IFERROR(fn_Compare(ADDRESS(ROW(),COLUMN())),"")</f>
        <v/>
      </c>
    </row>
    <row r="16" spans="1:14" ht="16.5" customHeight="1">
      <c r="A16" s="165" t="s">
        <v>742</v>
      </c>
      <c r="B16" s="94" t="s">
        <v>176</v>
      </c>
      <c r="C16" s="90" t="s">
        <v>177</v>
      </c>
      <c r="D16" s="77" t="s">
        <v>714</v>
      </c>
      <c r="E16" s="77">
        <v>4</v>
      </c>
      <c r="F16" s="47">
        <f ca="1">COUNTA($L16:INDIRECT(ADDRESS(ROW(),MATCH("",$4:$4,-1),1,1)))</f>
        <v>2</v>
      </c>
      <c r="G16" s="47">
        <f t="shared" ca="1" si="2"/>
        <v>2</v>
      </c>
      <c r="H16" s="47">
        <f ca="1">COUNTIF($L16:INDIRECT(ADDRESS(ROW(),MATCH("",$4:$4,-1),1,1)),"양호")</f>
        <v>0</v>
      </c>
      <c r="I16" s="47">
        <f ca="1">COUNTIF($L16:INDIRECT(ADDRESS(ROW(),MATCH("",$4:$4,-1),1,1)),"신규")</f>
        <v>0</v>
      </c>
      <c r="J16" s="47">
        <f ca="1">COUNTIF($L16:INDIRECT(ADDRESS(ROW(),MATCH("",$4:$4,-1),1,1)),"조치")</f>
        <v>0</v>
      </c>
      <c r="K16" s="47">
        <f ca="1">COUNTIF($L16:INDIRECT(ADDRESS(ROW(),MATCH("",$4:$4,-1),1,1)),"미조치")</f>
        <v>0</v>
      </c>
      <c r="L16" s="49" t="str">
        <f ca="1">IFERROR(fn_Compare(ADDRESS(ROW(),COLUMN())),"")</f>
        <v/>
      </c>
      <c r="M16" s="49" t="str">
        <f ca="1">IFERROR(fn_Compare(ADDRESS(ROW(),COLUMN())),"")</f>
        <v/>
      </c>
      <c r="N16" s="98" t="str">
        <f ca="1">IFERROR(fn_Compare(ADDRESS(ROW(),COLUMN())),"")</f>
        <v/>
      </c>
    </row>
    <row r="17" spans="1:14" ht="16.5" customHeight="1">
      <c r="A17" s="165" t="s">
        <v>742</v>
      </c>
      <c r="B17" s="94" t="s">
        <v>182</v>
      </c>
      <c r="C17" s="90" t="s">
        <v>183</v>
      </c>
      <c r="D17" s="77" t="s">
        <v>744</v>
      </c>
      <c r="E17" s="77">
        <v>2</v>
      </c>
      <c r="F17" s="47">
        <f ca="1">COUNTA($L17:INDIRECT(ADDRESS(ROW(),MATCH("",$4:$4,-1),1,1)))</f>
        <v>2</v>
      </c>
      <c r="G17" s="47">
        <f t="shared" ca="1" si="2"/>
        <v>2</v>
      </c>
      <c r="H17" s="47">
        <f ca="1">COUNTIF($L17:INDIRECT(ADDRESS(ROW(),MATCH("",$4:$4,-1),1,1)),"양호")</f>
        <v>0</v>
      </c>
      <c r="I17" s="47">
        <f ca="1">COUNTIF($L17:INDIRECT(ADDRESS(ROW(),MATCH("",$4:$4,-1),1,1)),"신규")</f>
        <v>0</v>
      </c>
      <c r="J17" s="47">
        <f ca="1">COUNTIF($L17:INDIRECT(ADDRESS(ROW(),MATCH("",$4:$4,-1),1,1)),"조치")</f>
        <v>0</v>
      </c>
      <c r="K17" s="47">
        <f ca="1">COUNTIF($L17:INDIRECT(ADDRESS(ROW(),MATCH("",$4:$4,-1),1,1)),"미조치")</f>
        <v>0</v>
      </c>
      <c r="L17" s="49" t="str">
        <f ca="1">IFERROR(fn_Compare(ADDRESS(ROW(),COLUMN())),"")</f>
        <v/>
      </c>
      <c r="M17" s="49" t="str">
        <f ca="1">IFERROR(fn_Compare(ADDRESS(ROW(),COLUMN())),"")</f>
        <v/>
      </c>
      <c r="N17" s="98" t="str">
        <f ca="1">IFERROR(fn_Compare(ADDRESS(ROW(),COLUMN())),"")</f>
        <v/>
      </c>
    </row>
    <row r="18" spans="1:14" ht="16.5" customHeight="1">
      <c r="A18" s="165" t="s">
        <v>742</v>
      </c>
      <c r="B18" s="94" t="s">
        <v>190</v>
      </c>
      <c r="C18" s="90" t="s">
        <v>191</v>
      </c>
      <c r="D18" s="77" t="s">
        <v>743</v>
      </c>
      <c r="E18" s="77">
        <v>3</v>
      </c>
      <c r="F18" s="47">
        <f ca="1">COUNTA($L18:INDIRECT(ADDRESS(ROW(),MATCH("",$4:$4,-1),1,1)))</f>
        <v>2</v>
      </c>
      <c r="G18" s="47">
        <f t="shared" ca="1" si="2"/>
        <v>2</v>
      </c>
      <c r="H18" s="47">
        <f ca="1">COUNTIF($L18:INDIRECT(ADDRESS(ROW(),MATCH("",$4:$4,-1),1,1)),"양호")</f>
        <v>0</v>
      </c>
      <c r="I18" s="47">
        <f ca="1">COUNTIF($L18:INDIRECT(ADDRESS(ROW(),MATCH("",$4:$4,-1),1,1)),"신규")</f>
        <v>0</v>
      </c>
      <c r="J18" s="47">
        <f ca="1">COUNTIF($L18:INDIRECT(ADDRESS(ROW(),MATCH("",$4:$4,-1),1,1)),"조치")</f>
        <v>0</v>
      </c>
      <c r="K18" s="47">
        <f ca="1">COUNTIF($L18:INDIRECT(ADDRESS(ROW(),MATCH("",$4:$4,-1),1,1)),"미조치")</f>
        <v>0</v>
      </c>
      <c r="L18" s="49" t="str">
        <f ca="1">IFERROR(fn_Compare(ADDRESS(ROW(),COLUMN())),"")</f>
        <v/>
      </c>
      <c r="M18" s="49" t="str">
        <f ca="1">IFERROR(fn_Compare(ADDRESS(ROW(),COLUMN())),"")</f>
        <v/>
      </c>
      <c r="N18" s="98" t="str">
        <f ca="1">IFERROR(fn_Compare(ADDRESS(ROW(),COLUMN())),"")</f>
        <v/>
      </c>
    </row>
    <row r="19" spans="1:14" ht="16.5" customHeight="1">
      <c r="A19" s="165" t="s">
        <v>742</v>
      </c>
      <c r="B19" s="94" t="s">
        <v>197</v>
      </c>
      <c r="C19" s="90" t="s">
        <v>198</v>
      </c>
      <c r="D19" s="77" t="s">
        <v>714</v>
      </c>
      <c r="E19" s="77">
        <v>5</v>
      </c>
      <c r="F19" s="47">
        <f ca="1">COUNTA($L19:INDIRECT(ADDRESS(ROW(),MATCH("",$4:$4,-1),1,1)))</f>
        <v>2</v>
      </c>
      <c r="G19" s="47">
        <f t="shared" ca="1" si="2"/>
        <v>2</v>
      </c>
      <c r="H19" s="47">
        <f ca="1">COUNTIF($L19:INDIRECT(ADDRESS(ROW(),MATCH("",$4:$4,-1),1,1)),"양호")</f>
        <v>0</v>
      </c>
      <c r="I19" s="47">
        <f ca="1">COUNTIF($L19:INDIRECT(ADDRESS(ROW(),MATCH("",$4:$4,-1),1,1)),"신규")</f>
        <v>0</v>
      </c>
      <c r="J19" s="47">
        <f ca="1">COUNTIF($L19:INDIRECT(ADDRESS(ROW(),MATCH("",$4:$4,-1),1,1)),"조치")</f>
        <v>0</v>
      </c>
      <c r="K19" s="47">
        <f ca="1">COUNTIF($L19:INDIRECT(ADDRESS(ROW(),MATCH("",$4:$4,-1),1,1)),"미조치")</f>
        <v>0</v>
      </c>
      <c r="L19" s="49" t="str">
        <f ca="1">IFERROR(fn_Compare(ADDRESS(ROW(),COLUMN())),"")</f>
        <v/>
      </c>
      <c r="M19" s="49" t="str">
        <f ca="1">IFERROR(fn_Compare(ADDRESS(ROW(),COLUMN())),"")</f>
        <v/>
      </c>
      <c r="N19" s="98" t="str">
        <f ca="1">IFERROR(fn_Compare(ADDRESS(ROW(),COLUMN())),"")</f>
        <v/>
      </c>
    </row>
    <row r="20" spans="1:14" ht="16.5" customHeight="1">
      <c r="A20" s="165" t="s">
        <v>742</v>
      </c>
      <c r="B20" s="94" t="s">
        <v>205</v>
      </c>
      <c r="C20" s="90" t="s">
        <v>206</v>
      </c>
      <c r="D20" s="77" t="s">
        <v>743</v>
      </c>
      <c r="E20" s="77">
        <v>3</v>
      </c>
      <c r="F20" s="47">
        <f ca="1">COUNTA($L20:INDIRECT(ADDRESS(ROW(),MATCH("",$4:$4,-1),1,1)))</f>
        <v>2</v>
      </c>
      <c r="G20" s="47">
        <f t="shared" ca="1" si="2"/>
        <v>2</v>
      </c>
      <c r="H20" s="47">
        <f ca="1">COUNTIF($L20:INDIRECT(ADDRESS(ROW(),MATCH("",$4:$4,-1),1,1)),"양호")</f>
        <v>0</v>
      </c>
      <c r="I20" s="47">
        <f ca="1">COUNTIF($L20:INDIRECT(ADDRESS(ROW(),MATCH("",$4:$4,-1),1,1)),"신규")</f>
        <v>0</v>
      </c>
      <c r="J20" s="47">
        <f ca="1">COUNTIF($L20:INDIRECT(ADDRESS(ROW(),MATCH("",$4:$4,-1),1,1)),"조치")</f>
        <v>0</v>
      </c>
      <c r="K20" s="47">
        <f ca="1">COUNTIF($L20:INDIRECT(ADDRESS(ROW(),MATCH("",$4:$4,-1),1,1)),"미조치")</f>
        <v>0</v>
      </c>
      <c r="L20" s="49" t="str">
        <f ca="1">IFERROR(fn_Compare(ADDRESS(ROW(),COLUMN())),"")</f>
        <v/>
      </c>
      <c r="M20" s="49" t="str">
        <f ca="1">IFERROR(fn_Compare(ADDRESS(ROW(),COLUMN())),"")</f>
        <v/>
      </c>
      <c r="N20" s="98" t="str">
        <f ca="1">IFERROR(fn_Compare(ADDRESS(ROW(),COLUMN())),"")</f>
        <v/>
      </c>
    </row>
    <row r="21" spans="1:14" ht="16.5" customHeight="1">
      <c r="A21" s="165" t="s">
        <v>742</v>
      </c>
      <c r="B21" s="94" t="s">
        <v>212</v>
      </c>
      <c r="C21" s="90" t="s">
        <v>213</v>
      </c>
      <c r="D21" s="77" t="s">
        <v>743</v>
      </c>
      <c r="E21" s="77">
        <v>3</v>
      </c>
      <c r="F21" s="47">
        <f ca="1">COUNTA($L21:INDIRECT(ADDRESS(ROW(),MATCH("",$4:$4,-1),1,1)))</f>
        <v>2</v>
      </c>
      <c r="G21" s="47">
        <f t="shared" ca="1" si="2"/>
        <v>2</v>
      </c>
      <c r="H21" s="47">
        <f ca="1">COUNTIF($L21:INDIRECT(ADDRESS(ROW(),MATCH("",$4:$4,-1),1,1)),"양호")</f>
        <v>0</v>
      </c>
      <c r="I21" s="47">
        <f ca="1">COUNTIF($L21:INDIRECT(ADDRESS(ROW(),MATCH("",$4:$4,-1),1,1)),"신규")</f>
        <v>0</v>
      </c>
      <c r="J21" s="47">
        <f ca="1">COUNTIF($L21:INDIRECT(ADDRESS(ROW(),MATCH("",$4:$4,-1),1,1)),"조치")</f>
        <v>0</v>
      </c>
      <c r="K21" s="47">
        <f ca="1">COUNTIF($L21:INDIRECT(ADDRESS(ROW(),MATCH("",$4:$4,-1),1,1)),"미조치")</f>
        <v>0</v>
      </c>
      <c r="L21" s="49" t="str">
        <f ca="1">IFERROR(fn_Compare(ADDRESS(ROW(),COLUMN())),"")</f>
        <v/>
      </c>
      <c r="M21" s="49" t="str">
        <f ca="1">IFERROR(fn_Compare(ADDRESS(ROW(),COLUMN())),"")</f>
        <v/>
      </c>
      <c r="N21" s="98" t="str">
        <f ca="1">IFERROR(fn_Compare(ADDRESS(ROW(),COLUMN())),"")</f>
        <v/>
      </c>
    </row>
    <row r="22" spans="1:14" ht="16.5" customHeight="1">
      <c r="A22" s="165" t="s">
        <v>742</v>
      </c>
      <c r="B22" s="94" t="s">
        <v>218</v>
      </c>
      <c r="C22" s="90" t="s">
        <v>219</v>
      </c>
      <c r="D22" s="77" t="s">
        <v>714</v>
      </c>
      <c r="E22" s="77">
        <v>5</v>
      </c>
      <c r="F22" s="47">
        <f ca="1">COUNTA($L22:INDIRECT(ADDRESS(ROW(),MATCH("",$4:$4,-1),1,1)))</f>
        <v>2</v>
      </c>
      <c r="G22" s="47">
        <f t="shared" ca="1" si="2"/>
        <v>2</v>
      </c>
      <c r="H22" s="47">
        <f ca="1">COUNTIF($L22:INDIRECT(ADDRESS(ROW(),MATCH("",$4:$4,-1),1,1)),"양호")</f>
        <v>0</v>
      </c>
      <c r="I22" s="47">
        <f ca="1">COUNTIF($L22:INDIRECT(ADDRESS(ROW(),MATCH("",$4:$4,-1),1,1)),"신규")</f>
        <v>0</v>
      </c>
      <c r="J22" s="47">
        <f ca="1">COUNTIF($L22:INDIRECT(ADDRESS(ROW(),MATCH("",$4:$4,-1),1,1)),"조치")</f>
        <v>0</v>
      </c>
      <c r="K22" s="47">
        <f ca="1">COUNTIF($L22:INDIRECT(ADDRESS(ROW(),MATCH("",$4:$4,-1),1,1)),"미조치")</f>
        <v>0</v>
      </c>
      <c r="L22" s="49" t="str">
        <f ca="1">IFERROR(fn_Compare(ADDRESS(ROW(),COLUMN())),"")</f>
        <v/>
      </c>
      <c r="M22" s="49" t="str">
        <f ca="1">IFERROR(fn_Compare(ADDRESS(ROW(),COLUMN())),"")</f>
        <v/>
      </c>
      <c r="N22" s="98" t="str">
        <f ca="1">IFERROR(fn_Compare(ADDRESS(ROW(),COLUMN())),"")</f>
        <v/>
      </c>
    </row>
    <row r="23" spans="1:14" ht="16.5" customHeight="1">
      <c r="A23" s="165" t="s">
        <v>742</v>
      </c>
      <c r="B23" s="94" t="s">
        <v>225</v>
      </c>
      <c r="C23" s="90" t="s">
        <v>226</v>
      </c>
      <c r="D23" s="77" t="s">
        <v>714</v>
      </c>
      <c r="E23" s="77">
        <v>5</v>
      </c>
      <c r="F23" s="47">
        <f ca="1">COUNTA($L23:INDIRECT(ADDRESS(ROW(),MATCH("",$4:$4,-1),1,1)))</f>
        <v>2</v>
      </c>
      <c r="G23" s="47">
        <f t="shared" ca="1" si="2"/>
        <v>2</v>
      </c>
      <c r="H23" s="47">
        <f ca="1">COUNTIF($L23:INDIRECT(ADDRESS(ROW(),MATCH("",$4:$4,-1),1,1)),"양호")</f>
        <v>0</v>
      </c>
      <c r="I23" s="47">
        <f ca="1">COUNTIF($L23:INDIRECT(ADDRESS(ROW(),MATCH("",$4:$4,-1),1,1)),"신규")</f>
        <v>0</v>
      </c>
      <c r="J23" s="47">
        <f ca="1">COUNTIF($L23:INDIRECT(ADDRESS(ROW(),MATCH("",$4:$4,-1),1,1)),"조치")</f>
        <v>0</v>
      </c>
      <c r="K23" s="47">
        <f ca="1">COUNTIF($L23:INDIRECT(ADDRESS(ROW(),MATCH("",$4:$4,-1),1,1)),"미조치")</f>
        <v>0</v>
      </c>
      <c r="L23" s="49" t="str">
        <f ca="1">IFERROR(fn_Compare(ADDRESS(ROW(),COLUMN())),"")</f>
        <v/>
      </c>
      <c r="M23" s="49" t="str">
        <f ca="1">IFERROR(fn_Compare(ADDRESS(ROW(),COLUMN())),"")</f>
        <v/>
      </c>
      <c r="N23" s="98" t="str">
        <f ca="1">IFERROR(fn_Compare(ADDRESS(ROW(),COLUMN())),"")</f>
        <v/>
      </c>
    </row>
    <row r="24" spans="1:14" ht="16.5" customHeight="1">
      <c r="A24" s="165" t="s">
        <v>742</v>
      </c>
      <c r="B24" s="94" t="s">
        <v>232</v>
      </c>
      <c r="C24" s="90" t="s">
        <v>233</v>
      </c>
      <c r="D24" s="77" t="s">
        <v>714</v>
      </c>
      <c r="E24" s="77">
        <v>5</v>
      </c>
      <c r="F24" s="47">
        <f ca="1">COUNTA($L24:INDIRECT(ADDRESS(ROW(),MATCH("",$4:$4,-1),1,1)))</f>
        <v>2</v>
      </c>
      <c r="G24" s="47">
        <f t="shared" ca="1" si="2"/>
        <v>2</v>
      </c>
      <c r="H24" s="47">
        <f ca="1">COUNTIF($L24:INDIRECT(ADDRESS(ROW(),MATCH("",$4:$4,-1),1,1)),"양호")</f>
        <v>0</v>
      </c>
      <c r="I24" s="47">
        <f ca="1">COUNTIF($L24:INDIRECT(ADDRESS(ROW(),MATCH("",$4:$4,-1),1,1)),"신규")</f>
        <v>0</v>
      </c>
      <c r="J24" s="47">
        <f ca="1">COUNTIF($L24:INDIRECT(ADDRESS(ROW(),MATCH("",$4:$4,-1),1,1)),"조치")</f>
        <v>0</v>
      </c>
      <c r="K24" s="47">
        <f ca="1">COUNTIF($L24:INDIRECT(ADDRESS(ROW(),MATCH("",$4:$4,-1),1,1)),"미조치")</f>
        <v>0</v>
      </c>
      <c r="L24" s="49" t="str">
        <f ca="1">IFERROR(fn_Compare(ADDRESS(ROW(),COLUMN())),"")</f>
        <v/>
      </c>
      <c r="M24" s="49" t="str">
        <f ca="1">IFERROR(fn_Compare(ADDRESS(ROW(),COLUMN())),"")</f>
        <v/>
      </c>
      <c r="N24" s="98" t="str">
        <f ca="1">IFERROR(fn_Compare(ADDRESS(ROW(),COLUMN())),"")</f>
        <v/>
      </c>
    </row>
    <row r="25" spans="1:14" ht="16.5" customHeight="1">
      <c r="A25" s="165" t="s">
        <v>742</v>
      </c>
      <c r="B25" s="94" t="s">
        <v>239</v>
      </c>
      <c r="C25" s="90" t="s">
        <v>240</v>
      </c>
      <c r="D25" s="77" t="s">
        <v>714</v>
      </c>
      <c r="E25" s="77">
        <v>4</v>
      </c>
      <c r="F25" s="47">
        <f ca="1">COUNTA($L25:INDIRECT(ADDRESS(ROW(),MATCH("",$4:$4,-1),1,1)))</f>
        <v>2</v>
      </c>
      <c r="G25" s="47">
        <f t="shared" ca="1" si="2"/>
        <v>2</v>
      </c>
      <c r="H25" s="47">
        <f ca="1">COUNTIF($L25:INDIRECT(ADDRESS(ROW(),MATCH("",$4:$4,-1),1,1)),"양호")</f>
        <v>0</v>
      </c>
      <c r="I25" s="47">
        <f ca="1">COUNTIF($L25:INDIRECT(ADDRESS(ROW(),MATCH("",$4:$4,-1),1,1)),"신규")</f>
        <v>0</v>
      </c>
      <c r="J25" s="47">
        <f ca="1">COUNTIF($L25:INDIRECT(ADDRESS(ROW(),MATCH("",$4:$4,-1),1,1)),"조치")</f>
        <v>0</v>
      </c>
      <c r="K25" s="47">
        <f ca="1">COUNTIF($L25:INDIRECT(ADDRESS(ROW(),MATCH("",$4:$4,-1),1,1)),"미조치")</f>
        <v>0</v>
      </c>
      <c r="L25" s="49" t="str">
        <f ca="1">IFERROR(fn_Compare(ADDRESS(ROW(),COLUMN())),"")</f>
        <v/>
      </c>
      <c r="M25" s="49" t="str">
        <f ca="1">IFERROR(fn_Compare(ADDRESS(ROW(),COLUMN())),"")</f>
        <v/>
      </c>
      <c r="N25" s="98" t="str">
        <f ca="1">IFERROR(fn_Compare(ADDRESS(ROW(),COLUMN())),"")</f>
        <v/>
      </c>
    </row>
    <row r="26" spans="1:14" ht="16.5" customHeight="1">
      <c r="A26" s="165" t="s">
        <v>742</v>
      </c>
      <c r="B26" s="94" t="s">
        <v>246</v>
      </c>
      <c r="C26" s="90" t="s">
        <v>247</v>
      </c>
      <c r="D26" s="77" t="s">
        <v>714</v>
      </c>
      <c r="E26" s="77">
        <v>4</v>
      </c>
      <c r="F26" s="47">
        <f ca="1">COUNTA($L26:INDIRECT(ADDRESS(ROW(),MATCH("",$4:$4,-1),1,1)))</f>
        <v>2</v>
      </c>
      <c r="G26" s="47">
        <f t="shared" ca="1" si="2"/>
        <v>2</v>
      </c>
      <c r="H26" s="47">
        <f ca="1">COUNTIF($L26:INDIRECT(ADDRESS(ROW(),MATCH("",$4:$4,-1),1,1)),"양호")</f>
        <v>0</v>
      </c>
      <c r="I26" s="47">
        <f ca="1">COUNTIF($L26:INDIRECT(ADDRESS(ROW(),MATCH("",$4:$4,-1),1,1)),"신규")</f>
        <v>0</v>
      </c>
      <c r="J26" s="47">
        <f ca="1">COUNTIF($L26:INDIRECT(ADDRESS(ROW(),MATCH("",$4:$4,-1),1,1)),"조치")</f>
        <v>0</v>
      </c>
      <c r="K26" s="47">
        <f ca="1">COUNTIF($L26:INDIRECT(ADDRESS(ROW(),MATCH("",$4:$4,-1),1,1)),"미조치")</f>
        <v>0</v>
      </c>
      <c r="L26" s="49" t="str">
        <f ca="1">IFERROR(fn_Compare(ADDRESS(ROW(),COLUMN())),"")</f>
        <v/>
      </c>
      <c r="M26" s="49" t="str">
        <f ca="1">IFERROR(fn_Compare(ADDRESS(ROW(),COLUMN())),"")</f>
        <v/>
      </c>
      <c r="N26" s="98" t="str">
        <f ca="1">IFERROR(fn_Compare(ADDRESS(ROW(),COLUMN())),"")</f>
        <v/>
      </c>
    </row>
    <row r="27" spans="1:14" ht="16.5" customHeight="1">
      <c r="A27" s="165" t="s">
        <v>742</v>
      </c>
      <c r="B27" s="94" t="s">
        <v>253</v>
      </c>
      <c r="C27" s="90" t="s">
        <v>254</v>
      </c>
      <c r="D27" s="77" t="s">
        <v>714</v>
      </c>
      <c r="E27" s="77">
        <v>5</v>
      </c>
      <c r="F27" s="47">
        <f ca="1">COUNTA($L27:INDIRECT(ADDRESS(ROW(),MATCH("",$4:$4,-1),1,1)))</f>
        <v>2</v>
      </c>
      <c r="G27" s="47">
        <f t="shared" ca="1" si="2"/>
        <v>2</v>
      </c>
      <c r="H27" s="47">
        <f ca="1">COUNTIF($L27:INDIRECT(ADDRESS(ROW(),MATCH("",$4:$4,-1),1,1)),"양호")</f>
        <v>0</v>
      </c>
      <c r="I27" s="47">
        <f ca="1">COUNTIF($L27:INDIRECT(ADDRESS(ROW(),MATCH("",$4:$4,-1),1,1)),"신규")</f>
        <v>0</v>
      </c>
      <c r="J27" s="47">
        <f ca="1">COUNTIF($L27:INDIRECT(ADDRESS(ROW(),MATCH("",$4:$4,-1),1,1)),"조치")</f>
        <v>0</v>
      </c>
      <c r="K27" s="47">
        <f ca="1">COUNTIF($L27:INDIRECT(ADDRESS(ROW(),MATCH("",$4:$4,-1),1,1)),"미조치")</f>
        <v>0</v>
      </c>
      <c r="L27" s="49" t="str">
        <f ca="1">IFERROR(fn_Compare(ADDRESS(ROW(),COLUMN())),"")</f>
        <v/>
      </c>
      <c r="M27" s="49" t="str">
        <f ca="1">IFERROR(fn_Compare(ADDRESS(ROW(),COLUMN())),"")</f>
        <v/>
      </c>
      <c r="N27" s="98" t="str">
        <f ca="1">IFERROR(fn_Compare(ADDRESS(ROW(),COLUMN())),"")</f>
        <v/>
      </c>
    </row>
    <row r="28" spans="1:14" ht="16.5" customHeight="1">
      <c r="A28" s="165" t="s">
        <v>742</v>
      </c>
      <c r="B28" s="94" t="s">
        <v>260</v>
      </c>
      <c r="C28" s="90" t="s">
        <v>261</v>
      </c>
      <c r="D28" s="77" t="s">
        <v>714</v>
      </c>
      <c r="E28" s="77">
        <v>4</v>
      </c>
      <c r="F28" s="47">
        <f ca="1">COUNTA($L28:INDIRECT(ADDRESS(ROW(),MATCH("",$4:$4,-1),1,1)))</f>
        <v>2</v>
      </c>
      <c r="G28" s="47">
        <f t="shared" ca="1" si="2"/>
        <v>2</v>
      </c>
      <c r="H28" s="47">
        <f ca="1">COUNTIF($L28:INDIRECT(ADDRESS(ROW(),MATCH("",$4:$4,-1),1,1)),"양호")</f>
        <v>0</v>
      </c>
      <c r="I28" s="47">
        <f ca="1">COUNTIF($L28:INDIRECT(ADDRESS(ROW(),MATCH("",$4:$4,-1),1,1)),"신규")</f>
        <v>0</v>
      </c>
      <c r="J28" s="47">
        <f ca="1">COUNTIF($L28:INDIRECT(ADDRESS(ROW(),MATCH("",$4:$4,-1),1,1)),"조치")</f>
        <v>0</v>
      </c>
      <c r="K28" s="47">
        <f ca="1">COUNTIF($L28:INDIRECT(ADDRESS(ROW(),MATCH("",$4:$4,-1),1,1)),"미조치")</f>
        <v>0</v>
      </c>
      <c r="L28" s="49" t="str">
        <f ca="1">IFERROR(fn_Compare(ADDRESS(ROW(),COLUMN())),"")</f>
        <v/>
      </c>
      <c r="M28" s="49" t="str">
        <f ca="1">IFERROR(fn_Compare(ADDRESS(ROW(),COLUMN())),"")</f>
        <v/>
      </c>
      <c r="N28" s="98" t="str">
        <f ca="1">IFERROR(fn_Compare(ADDRESS(ROW(),COLUMN())),"")</f>
        <v/>
      </c>
    </row>
    <row r="29" spans="1:14" ht="16.5" customHeight="1">
      <c r="A29" s="165" t="s">
        <v>742</v>
      </c>
      <c r="B29" s="94" t="s">
        <v>267</v>
      </c>
      <c r="C29" s="90" t="s">
        <v>268</v>
      </c>
      <c r="D29" s="77" t="s">
        <v>714</v>
      </c>
      <c r="E29" s="77">
        <v>4</v>
      </c>
      <c r="F29" s="47">
        <f ca="1">COUNTA($L29:INDIRECT(ADDRESS(ROW(),MATCH("",$4:$4,-1),1,1)))</f>
        <v>2</v>
      </c>
      <c r="G29" s="47">
        <f t="shared" ca="1" si="2"/>
        <v>2</v>
      </c>
      <c r="H29" s="47">
        <f ca="1">COUNTIF($L29:INDIRECT(ADDRESS(ROW(),MATCH("",$4:$4,-1),1,1)),"양호")</f>
        <v>0</v>
      </c>
      <c r="I29" s="47">
        <f ca="1">COUNTIF($L29:INDIRECT(ADDRESS(ROW(),MATCH("",$4:$4,-1),1,1)),"신규")</f>
        <v>0</v>
      </c>
      <c r="J29" s="47">
        <f ca="1">COUNTIF($L29:INDIRECT(ADDRESS(ROW(),MATCH("",$4:$4,-1),1,1)),"조치")</f>
        <v>0</v>
      </c>
      <c r="K29" s="47">
        <f ca="1">COUNTIF($L29:INDIRECT(ADDRESS(ROW(),MATCH("",$4:$4,-1),1,1)),"미조치")</f>
        <v>0</v>
      </c>
      <c r="L29" s="49" t="str">
        <f ca="1">IFERROR(fn_Compare(ADDRESS(ROW(),COLUMN())),"")</f>
        <v/>
      </c>
      <c r="M29" s="49" t="str">
        <f ca="1">IFERROR(fn_Compare(ADDRESS(ROW(),COLUMN())),"")</f>
        <v/>
      </c>
      <c r="N29" s="98" t="str">
        <f ca="1">IFERROR(fn_Compare(ADDRESS(ROW(),COLUMN())),"")</f>
        <v/>
      </c>
    </row>
    <row r="30" spans="1:14" ht="16.5" customHeight="1">
      <c r="A30" s="165" t="s">
        <v>742</v>
      </c>
      <c r="B30" s="94" t="s">
        <v>274</v>
      </c>
      <c r="C30" s="90" t="s">
        <v>275</v>
      </c>
      <c r="D30" s="77" t="s">
        <v>743</v>
      </c>
      <c r="E30" s="77">
        <v>3</v>
      </c>
      <c r="F30" s="47">
        <f ca="1">COUNTA($L30:INDIRECT(ADDRESS(ROW(),MATCH("",$4:$4,-1),1,1)))</f>
        <v>2</v>
      </c>
      <c r="G30" s="47">
        <f t="shared" ca="1" si="2"/>
        <v>2</v>
      </c>
      <c r="H30" s="47">
        <f ca="1">COUNTIF($L30:INDIRECT(ADDRESS(ROW(),MATCH("",$4:$4,-1),1,1)),"양호")</f>
        <v>0</v>
      </c>
      <c r="I30" s="47">
        <f ca="1">COUNTIF($L30:INDIRECT(ADDRESS(ROW(),MATCH("",$4:$4,-1),1,1)),"신규")</f>
        <v>0</v>
      </c>
      <c r="J30" s="47">
        <f ca="1">COUNTIF($L30:INDIRECT(ADDRESS(ROW(),MATCH("",$4:$4,-1),1,1)),"조치")</f>
        <v>0</v>
      </c>
      <c r="K30" s="47">
        <f ca="1">COUNTIF($L30:INDIRECT(ADDRESS(ROW(),MATCH("",$4:$4,-1),1,1)),"미조치")</f>
        <v>0</v>
      </c>
      <c r="L30" s="49" t="str">
        <f ca="1">IFERROR(fn_Compare(ADDRESS(ROW(),COLUMN())),"")</f>
        <v/>
      </c>
      <c r="M30" s="49" t="str">
        <f ca="1">IFERROR(fn_Compare(ADDRESS(ROW(),COLUMN())),"")</f>
        <v/>
      </c>
      <c r="N30" s="98" t="str">
        <f ca="1">IFERROR(fn_Compare(ADDRESS(ROW(),COLUMN())),"")</f>
        <v/>
      </c>
    </row>
    <row r="31" spans="1:14" ht="16.5" customHeight="1">
      <c r="A31" s="165" t="s">
        <v>742</v>
      </c>
      <c r="B31" s="94" t="s">
        <v>280</v>
      </c>
      <c r="C31" s="90" t="s">
        <v>281</v>
      </c>
      <c r="D31" s="77" t="s">
        <v>714</v>
      </c>
      <c r="E31" s="77">
        <v>5</v>
      </c>
      <c r="F31" s="47">
        <f ca="1">COUNTA($L31:INDIRECT(ADDRESS(ROW(),MATCH("",$4:$4,-1),1,1)))</f>
        <v>2</v>
      </c>
      <c r="G31" s="47">
        <f t="shared" ca="1" si="2"/>
        <v>2</v>
      </c>
      <c r="H31" s="47">
        <f ca="1">COUNTIF($L31:INDIRECT(ADDRESS(ROW(),MATCH("",$4:$4,-1),1,1)),"양호")</f>
        <v>0</v>
      </c>
      <c r="I31" s="47">
        <f ca="1">COUNTIF($L31:INDIRECT(ADDRESS(ROW(),MATCH("",$4:$4,-1),1,1)),"신규")</f>
        <v>0</v>
      </c>
      <c r="J31" s="47">
        <f ca="1">COUNTIF($L31:INDIRECT(ADDRESS(ROW(),MATCH("",$4:$4,-1),1,1)),"조치")</f>
        <v>0</v>
      </c>
      <c r="K31" s="47">
        <f ca="1">COUNTIF($L31:INDIRECT(ADDRESS(ROW(),MATCH("",$4:$4,-1),1,1)),"미조치")</f>
        <v>0</v>
      </c>
      <c r="L31" s="49" t="str">
        <f ca="1">IFERROR(fn_Compare(ADDRESS(ROW(),COLUMN())),"")</f>
        <v/>
      </c>
      <c r="M31" s="49" t="str">
        <f ca="1">IFERROR(fn_Compare(ADDRESS(ROW(),COLUMN())),"")</f>
        <v/>
      </c>
      <c r="N31" s="98" t="str">
        <f ca="1">IFERROR(fn_Compare(ADDRESS(ROW(),COLUMN())),"")</f>
        <v/>
      </c>
    </row>
    <row r="32" spans="1:14" ht="16.5" customHeight="1">
      <c r="A32" s="165" t="s">
        <v>742</v>
      </c>
      <c r="B32" s="94" t="s">
        <v>287</v>
      </c>
      <c r="C32" s="90" t="s">
        <v>288</v>
      </c>
      <c r="D32" s="77" t="s">
        <v>714</v>
      </c>
      <c r="E32" s="77">
        <v>5</v>
      </c>
      <c r="F32" s="47">
        <f ca="1">COUNTA($L32:INDIRECT(ADDRESS(ROW(),MATCH("",$4:$4,-1),1,1)))</f>
        <v>2</v>
      </c>
      <c r="G32" s="47">
        <f t="shared" ca="1" si="2"/>
        <v>2</v>
      </c>
      <c r="H32" s="47">
        <f ca="1">COUNTIF($L32:INDIRECT(ADDRESS(ROW(),MATCH("",$4:$4,-1),1,1)),"양호")</f>
        <v>0</v>
      </c>
      <c r="I32" s="47">
        <f ca="1">COUNTIF($L32:INDIRECT(ADDRESS(ROW(),MATCH("",$4:$4,-1),1,1)),"신규")</f>
        <v>0</v>
      </c>
      <c r="J32" s="47">
        <f ca="1">COUNTIF($L32:INDIRECT(ADDRESS(ROW(),MATCH("",$4:$4,-1),1,1)),"조치")</f>
        <v>0</v>
      </c>
      <c r="K32" s="47">
        <f ca="1">COUNTIF($L32:INDIRECT(ADDRESS(ROW(),MATCH("",$4:$4,-1),1,1)),"미조치")</f>
        <v>0</v>
      </c>
      <c r="L32" s="49" t="str">
        <f ca="1">IFERROR(fn_Compare(ADDRESS(ROW(),COLUMN())),"")</f>
        <v/>
      </c>
      <c r="M32" s="49" t="str">
        <f ca="1">IFERROR(fn_Compare(ADDRESS(ROW(),COLUMN())),"")</f>
        <v/>
      </c>
      <c r="N32" s="98" t="str">
        <f ca="1">IFERROR(fn_Compare(ADDRESS(ROW(),COLUMN())),"")</f>
        <v/>
      </c>
    </row>
    <row r="33" spans="1:14" ht="16.5" customHeight="1">
      <c r="A33" s="165" t="s">
        <v>742</v>
      </c>
      <c r="B33" s="94" t="s">
        <v>294</v>
      </c>
      <c r="C33" s="90" t="s">
        <v>295</v>
      </c>
      <c r="D33" s="77" t="s">
        <v>714</v>
      </c>
      <c r="E33" s="77">
        <v>4</v>
      </c>
      <c r="F33" s="47">
        <f ca="1">COUNTA($L33:INDIRECT(ADDRESS(ROW(),MATCH("",$4:$4,-1),1,1)))</f>
        <v>2</v>
      </c>
      <c r="G33" s="47">
        <f t="shared" ca="1" si="2"/>
        <v>2</v>
      </c>
      <c r="H33" s="47">
        <f ca="1">COUNTIF($L33:INDIRECT(ADDRESS(ROW(),MATCH("",$4:$4,-1),1,1)),"양호")</f>
        <v>0</v>
      </c>
      <c r="I33" s="47">
        <f ca="1">COUNTIF($L33:INDIRECT(ADDRESS(ROW(),MATCH("",$4:$4,-1),1,1)),"신규")</f>
        <v>0</v>
      </c>
      <c r="J33" s="47">
        <f ca="1">COUNTIF($L33:INDIRECT(ADDRESS(ROW(),MATCH("",$4:$4,-1),1,1)),"조치")</f>
        <v>0</v>
      </c>
      <c r="K33" s="47">
        <f ca="1">COUNTIF($L33:INDIRECT(ADDRESS(ROW(),MATCH("",$4:$4,-1),1,1)),"미조치")</f>
        <v>0</v>
      </c>
      <c r="L33" s="49" t="str">
        <f ca="1">IFERROR(fn_Compare(ADDRESS(ROW(),COLUMN())),"")</f>
        <v/>
      </c>
      <c r="M33" s="49" t="str">
        <f ca="1">IFERROR(fn_Compare(ADDRESS(ROW(),COLUMN())),"")</f>
        <v/>
      </c>
      <c r="N33" s="98" t="str">
        <f ca="1">IFERROR(fn_Compare(ADDRESS(ROW(),COLUMN())),"")</f>
        <v/>
      </c>
    </row>
    <row r="34" spans="1:14" ht="16.5" customHeight="1">
      <c r="A34" s="165" t="s">
        <v>742</v>
      </c>
      <c r="B34" s="94" t="s">
        <v>301</v>
      </c>
      <c r="C34" s="90" t="s">
        <v>302</v>
      </c>
      <c r="D34" s="77" t="s">
        <v>714</v>
      </c>
      <c r="E34" s="77">
        <v>5</v>
      </c>
      <c r="F34" s="47">
        <f ca="1">COUNTA($L34:INDIRECT(ADDRESS(ROW(),MATCH("",$4:$4,-1),1,1)))</f>
        <v>2</v>
      </c>
      <c r="G34" s="47">
        <f t="shared" ca="1" si="2"/>
        <v>2</v>
      </c>
      <c r="H34" s="47">
        <f ca="1">COUNTIF($L34:INDIRECT(ADDRESS(ROW(),MATCH("",$4:$4,-1),1,1)),"양호")</f>
        <v>0</v>
      </c>
      <c r="I34" s="47">
        <f ca="1">COUNTIF($L34:INDIRECT(ADDRESS(ROW(),MATCH("",$4:$4,-1),1,1)),"신규")</f>
        <v>0</v>
      </c>
      <c r="J34" s="47">
        <f ca="1">COUNTIF($L34:INDIRECT(ADDRESS(ROW(),MATCH("",$4:$4,-1),1,1)),"조치")</f>
        <v>0</v>
      </c>
      <c r="K34" s="47">
        <f ca="1">COUNTIF($L34:INDIRECT(ADDRESS(ROW(),MATCH("",$4:$4,-1),1,1)),"미조치")</f>
        <v>0</v>
      </c>
      <c r="L34" s="49" t="str">
        <f ca="1">IFERROR(fn_Compare(ADDRESS(ROW(),COLUMN())),"")</f>
        <v/>
      </c>
      <c r="M34" s="49" t="str">
        <f ca="1">IFERROR(fn_Compare(ADDRESS(ROW(),COLUMN())),"")</f>
        <v/>
      </c>
      <c r="N34" s="98" t="str">
        <f ca="1">IFERROR(fn_Compare(ADDRESS(ROW(),COLUMN())),"")</f>
        <v/>
      </c>
    </row>
    <row r="35" spans="1:14" ht="16.5" customHeight="1">
      <c r="A35" s="165" t="s">
        <v>742</v>
      </c>
      <c r="B35" s="94" t="s">
        <v>308</v>
      </c>
      <c r="C35" s="90" t="s">
        <v>309</v>
      </c>
      <c r="D35" s="77" t="s">
        <v>714</v>
      </c>
      <c r="E35" s="77">
        <v>5</v>
      </c>
      <c r="F35" s="47">
        <f ca="1">COUNTA($L35:INDIRECT(ADDRESS(ROW(),MATCH("",$4:$4,-1),1,1)))</f>
        <v>2</v>
      </c>
      <c r="G35" s="47">
        <f t="shared" ca="1" si="2"/>
        <v>2</v>
      </c>
      <c r="H35" s="47">
        <f ca="1">COUNTIF($L35:INDIRECT(ADDRESS(ROW(),MATCH("",$4:$4,-1),1,1)),"양호")</f>
        <v>0</v>
      </c>
      <c r="I35" s="47">
        <f ca="1">COUNTIF($L35:INDIRECT(ADDRESS(ROW(),MATCH("",$4:$4,-1),1,1)),"신규")</f>
        <v>0</v>
      </c>
      <c r="J35" s="47">
        <f ca="1">COUNTIF($L35:INDIRECT(ADDRESS(ROW(),MATCH("",$4:$4,-1),1,1)),"조치")</f>
        <v>0</v>
      </c>
      <c r="K35" s="47">
        <f ca="1">COUNTIF($L35:INDIRECT(ADDRESS(ROW(),MATCH("",$4:$4,-1),1,1)),"미조치")</f>
        <v>0</v>
      </c>
      <c r="L35" s="49" t="str">
        <f ca="1">IFERROR(fn_Compare(ADDRESS(ROW(),COLUMN())),"")</f>
        <v/>
      </c>
      <c r="M35" s="49" t="str">
        <f ca="1">IFERROR(fn_Compare(ADDRESS(ROW(),COLUMN())),"")</f>
        <v/>
      </c>
      <c r="N35" s="98" t="str">
        <f ca="1">IFERROR(fn_Compare(ADDRESS(ROW(),COLUMN())),"")</f>
        <v/>
      </c>
    </row>
    <row r="36" spans="1:14" ht="16.5" customHeight="1">
      <c r="A36" s="165" t="s">
        <v>742</v>
      </c>
      <c r="B36" s="94" t="s">
        <v>313</v>
      </c>
      <c r="C36" s="90" t="s">
        <v>314</v>
      </c>
      <c r="D36" s="77" t="s">
        <v>743</v>
      </c>
      <c r="E36" s="77">
        <v>3</v>
      </c>
      <c r="F36" s="47">
        <f ca="1">COUNTA($L36:INDIRECT(ADDRESS(ROW(),MATCH("",$4:$4,-1),1,1)))</f>
        <v>2</v>
      </c>
      <c r="G36" s="47">
        <f t="shared" ca="1" si="2"/>
        <v>2</v>
      </c>
      <c r="H36" s="47">
        <f ca="1">COUNTIF($L36:INDIRECT(ADDRESS(ROW(),MATCH("",$4:$4,-1),1,1)),"양호")</f>
        <v>0</v>
      </c>
      <c r="I36" s="47">
        <f ca="1">COUNTIF($L36:INDIRECT(ADDRESS(ROW(),MATCH("",$4:$4,-1),1,1)),"신규")</f>
        <v>0</v>
      </c>
      <c r="J36" s="47">
        <f ca="1">COUNTIF($L36:INDIRECT(ADDRESS(ROW(),MATCH("",$4:$4,-1),1,1)),"조치")</f>
        <v>0</v>
      </c>
      <c r="K36" s="47">
        <f ca="1">COUNTIF($L36:INDIRECT(ADDRESS(ROW(),MATCH("",$4:$4,-1),1,1)),"미조치")</f>
        <v>0</v>
      </c>
      <c r="L36" s="49" t="str">
        <f ca="1">IFERROR(fn_Compare(ADDRESS(ROW(),COLUMN())),"")</f>
        <v/>
      </c>
      <c r="M36" s="49" t="str">
        <f ca="1">IFERROR(fn_Compare(ADDRESS(ROW(),COLUMN())),"")</f>
        <v/>
      </c>
      <c r="N36" s="98" t="str">
        <f ca="1">IFERROR(fn_Compare(ADDRESS(ROW(),COLUMN())),"")</f>
        <v/>
      </c>
    </row>
    <row r="37" spans="1:14" ht="16.5" customHeight="1">
      <c r="A37" s="165" t="s">
        <v>742</v>
      </c>
      <c r="B37" s="94" t="s">
        <v>319</v>
      </c>
      <c r="C37" s="90" t="s">
        <v>320</v>
      </c>
      <c r="D37" s="77" t="s">
        <v>714</v>
      </c>
      <c r="E37" s="77">
        <v>4</v>
      </c>
      <c r="F37" s="47">
        <f ca="1">COUNTA($L37:INDIRECT(ADDRESS(ROW(),MATCH("",$4:$4,-1),1,1)))</f>
        <v>2</v>
      </c>
      <c r="G37" s="47">
        <f t="shared" ca="1" si="2"/>
        <v>2</v>
      </c>
      <c r="H37" s="47">
        <f ca="1">COUNTIF($L37:INDIRECT(ADDRESS(ROW(),MATCH("",$4:$4,-1),1,1)),"양호")</f>
        <v>0</v>
      </c>
      <c r="I37" s="47">
        <f ca="1">COUNTIF($L37:INDIRECT(ADDRESS(ROW(),MATCH("",$4:$4,-1),1,1)),"신규")</f>
        <v>0</v>
      </c>
      <c r="J37" s="47">
        <f ca="1">COUNTIF($L37:INDIRECT(ADDRESS(ROW(),MATCH("",$4:$4,-1),1,1)),"조치")</f>
        <v>0</v>
      </c>
      <c r="K37" s="47">
        <f ca="1">COUNTIF($L37:INDIRECT(ADDRESS(ROW(),MATCH("",$4:$4,-1),1,1)),"미조치")</f>
        <v>0</v>
      </c>
      <c r="L37" s="49" t="str">
        <f ca="1">IFERROR(fn_Compare(ADDRESS(ROW(),COLUMN())),"")</f>
        <v/>
      </c>
      <c r="M37" s="49" t="str">
        <f ca="1">IFERROR(fn_Compare(ADDRESS(ROW(),COLUMN())),"")</f>
        <v/>
      </c>
      <c r="N37" s="98" t="str">
        <f ca="1">IFERROR(fn_Compare(ADDRESS(ROW(),COLUMN())),"")</f>
        <v/>
      </c>
    </row>
    <row r="38" spans="1:14" ht="16.5" customHeight="1">
      <c r="A38" s="165" t="s">
        <v>745</v>
      </c>
      <c r="B38" s="94" t="s">
        <v>327</v>
      </c>
      <c r="C38" s="90" t="s">
        <v>328</v>
      </c>
      <c r="D38" s="77" t="s">
        <v>714</v>
      </c>
      <c r="E38" s="77">
        <v>5</v>
      </c>
      <c r="F38" s="47">
        <f ca="1">COUNTA($L38:INDIRECT(ADDRESS(ROW(),MATCH("",$4:$4,-1),1,1)))</f>
        <v>2</v>
      </c>
      <c r="G38" s="47">
        <f t="shared" ca="1" si="2"/>
        <v>2</v>
      </c>
      <c r="H38" s="47">
        <f ca="1">COUNTIF($L38:INDIRECT(ADDRESS(ROW(),MATCH("",$4:$4,-1),1,1)),"양호")</f>
        <v>0</v>
      </c>
      <c r="I38" s="47">
        <f ca="1">COUNTIF($L38:INDIRECT(ADDRESS(ROW(),MATCH("",$4:$4,-1),1,1)),"신규")</f>
        <v>0</v>
      </c>
      <c r="J38" s="47">
        <f ca="1">COUNTIF($L38:INDIRECT(ADDRESS(ROW(),MATCH("",$4:$4,-1),1,1)),"조치")</f>
        <v>0</v>
      </c>
      <c r="K38" s="47">
        <f ca="1">COUNTIF($L38:INDIRECT(ADDRESS(ROW(),MATCH("",$4:$4,-1),1,1)),"미조치")</f>
        <v>0</v>
      </c>
      <c r="L38" s="49" t="str">
        <f ca="1">IFERROR(fn_Compare(ADDRESS(ROW(),COLUMN())),"")</f>
        <v/>
      </c>
      <c r="M38" s="49" t="str">
        <f ca="1">IFERROR(fn_Compare(ADDRESS(ROW(),COLUMN())),"")</f>
        <v/>
      </c>
      <c r="N38" s="98" t="str">
        <f ca="1">IFERROR(fn_Compare(ADDRESS(ROW(),COLUMN())),"")</f>
        <v/>
      </c>
    </row>
    <row r="39" spans="1:14" ht="16.5" customHeight="1">
      <c r="A39" s="165" t="s">
        <v>742</v>
      </c>
      <c r="B39" s="94" t="s">
        <v>334</v>
      </c>
      <c r="C39" s="90" t="s">
        <v>335</v>
      </c>
      <c r="D39" s="77" t="s">
        <v>714</v>
      </c>
      <c r="E39" s="77">
        <v>5</v>
      </c>
      <c r="F39" s="47">
        <f ca="1">COUNTA($L39:INDIRECT(ADDRESS(ROW(),MATCH("",$4:$4,-1),1,1)))</f>
        <v>2</v>
      </c>
      <c r="G39" s="47">
        <f t="shared" ca="1" si="2"/>
        <v>2</v>
      </c>
      <c r="H39" s="47">
        <f ca="1">COUNTIF($L39:INDIRECT(ADDRESS(ROW(),MATCH("",$4:$4,-1),1,1)),"양호")</f>
        <v>0</v>
      </c>
      <c r="I39" s="47">
        <f ca="1">COUNTIF($L39:INDIRECT(ADDRESS(ROW(),MATCH("",$4:$4,-1),1,1)),"신규")</f>
        <v>0</v>
      </c>
      <c r="J39" s="47">
        <f ca="1">COUNTIF($L39:INDIRECT(ADDRESS(ROW(),MATCH("",$4:$4,-1),1,1)),"조치")</f>
        <v>0</v>
      </c>
      <c r="K39" s="47">
        <f ca="1">COUNTIF($L39:INDIRECT(ADDRESS(ROW(),MATCH("",$4:$4,-1),1,1)),"미조치")</f>
        <v>0</v>
      </c>
      <c r="L39" s="49" t="str">
        <f ca="1">IFERROR(fn_Compare(ADDRESS(ROW(),COLUMN())),"")</f>
        <v/>
      </c>
      <c r="M39" s="49" t="str">
        <f ca="1">IFERROR(fn_Compare(ADDRESS(ROW(),COLUMN())),"")</f>
        <v/>
      </c>
      <c r="N39" s="98" t="str">
        <f ca="1">IFERROR(fn_Compare(ADDRESS(ROW(),COLUMN())),"")</f>
        <v/>
      </c>
    </row>
    <row r="40" spans="1:14" ht="16.5" customHeight="1">
      <c r="A40" s="165" t="s">
        <v>745</v>
      </c>
      <c r="B40" s="94" t="s">
        <v>341</v>
      </c>
      <c r="C40" s="90" t="s">
        <v>342</v>
      </c>
      <c r="D40" s="77" t="s">
        <v>714</v>
      </c>
      <c r="E40" s="77">
        <v>4</v>
      </c>
      <c r="F40" s="47">
        <f ca="1">COUNTA($L40:INDIRECT(ADDRESS(ROW(),MATCH("",$4:$4,-1),1,1)))</f>
        <v>2</v>
      </c>
      <c r="G40" s="47">
        <f t="shared" ca="1" si="2"/>
        <v>2</v>
      </c>
      <c r="H40" s="47">
        <f ca="1">COUNTIF($L40:INDIRECT(ADDRESS(ROW(),MATCH("",$4:$4,-1),1,1)),"양호")</f>
        <v>0</v>
      </c>
      <c r="I40" s="47">
        <f ca="1">COUNTIF($L40:INDIRECT(ADDRESS(ROW(),MATCH("",$4:$4,-1),1,1)),"신규")</f>
        <v>0</v>
      </c>
      <c r="J40" s="47">
        <f ca="1">COUNTIF($L40:INDIRECT(ADDRESS(ROW(),MATCH("",$4:$4,-1),1,1)),"조치")</f>
        <v>0</v>
      </c>
      <c r="K40" s="47">
        <f ca="1">COUNTIF($L40:INDIRECT(ADDRESS(ROW(),MATCH("",$4:$4,-1),1,1)),"미조치")</f>
        <v>0</v>
      </c>
      <c r="L40" s="49" t="str">
        <f ca="1">IFERROR(fn_Compare(ADDRESS(ROW(),COLUMN())),"")</f>
        <v/>
      </c>
      <c r="M40" s="49" t="str">
        <f ca="1">IFERROR(fn_Compare(ADDRESS(ROW(),COLUMN())),"")</f>
        <v/>
      </c>
      <c r="N40" s="98" t="str">
        <f ca="1">IFERROR(fn_Compare(ADDRESS(ROW(),COLUMN())),"")</f>
        <v/>
      </c>
    </row>
    <row r="41" spans="1:14" ht="16.5" customHeight="1">
      <c r="A41" s="165" t="s">
        <v>742</v>
      </c>
      <c r="B41" s="94" t="s">
        <v>348</v>
      </c>
      <c r="C41" s="90" t="s">
        <v>349</v>
      </c>
      <c r="D41" s="77" t="s">
        <v>714</v>
      </c>
      <c r="E41" s="77">
        <v>4</v>
      </c>
      <c r="F41" s="47">
        <f ca="1">COUNTA($L41:INDIRECT(ADDRESS(ROW(),MATCH("",$4:$4,-1),1,1)))</f>
        <v>2</v>
      </c>
      <c r="G41" s="47">
        <f t="shared" ca="1" si="2"/>
        <v>2</v>
      </c>
      <c r="H41" s="47">
        <f ca="1">COUNTIF($L41:INDIRECT(ADDRESS(ROW(),MATCH("",$4:$4,-1),1,1)),"양호")</f>
        <v>0</v>
      </c>
      <c r="I41" s="47">
        <f ca="1">COUNTIF($L41:INDIRECT(ADDRESS(ROW(),MATCH("",$4:$4,-1),1,1)),"신규")</f>
        <v>0</v>
      </c>
      <c r="J41" s="47">
        <f ca="1">COUNTIF($L41:INDIRECT(ADDRESS(ROW(),MATCH("",$4:$4,-1),1,1)),"조치")</f>
        <v>0</v>
      </c>
      <c r="K41" s="47">
        <f ca="1">COUNTIF($L41:INDIRECT(ADDRESS(ROW(),MATCH("",$4:$4,-1),1,1)),"미조치")</f>
        <v>0</v>
      </c>
      <c r="L41" s="49" t="str">
        <f ca="1">IFERROR(fn_Compare(ADDRESS(ROW(),COLUMN())),"")</f>
        <v/>
      </c>
      <c r="M41" s="49" t="str">
        <f ca="1">IFERROR(fn_Compare(ADDRESS(ROW(),COLUMN())),"")</f>
        <v/>
      </c>
      <c r="N41" s="98" t="str">
        <f ca="1">IFERROR(fn_Compare(ADDRESS(ROW(),COLUMN())),"")</f>
        <v/>
      </c>
    </row>
    <row r="42" spans="1:14" ht="16.5" customHeight="1">
      <c r="A42" s="165" t="s">
        <v>745</v>
      </c>
      <c r="B42" s="94" t="s">
        <v>355</v>
      </c>
      <c r="C42" s="90" t="s">
        <v>356</v>
      </c>
      <c r="D42" s="77" t="s">
        <v>714</v>
      </c>
      <c r="E42" s="77">
        <v>4</v>
      </c>
      <c r="F42" s="47">
        <f ca="1">COUNTA($L42:INDIRECT(ADDRESS(ROW(),MATCH("",$4:$4,-1),1,1)))</f>
        <v>2</v>
      </c>
      <c r="G42" s="47">
        <f t="shared" ca="1" si="2"/>
        <v>2</v>
      </c>
      <c r="H42" s="47">
        <f ca="1">COUNTIF($L42:INDIRECT(ADDRESS(ROW(),MATCH("",$4:$4,-1),1,1)),"양호")</f>
        <v>0</v>
      </c>
      <c r="I42" s="47">
        <f ca="1">COUNTIF($L42:INDIRECT(ADDRESS(ROW(),MATCH("",$4:$4,-1),1,1)),"신규")</f>
        <v>0</v>
      </c>
      <c r="J42" s="47">
        <f ca="1">COUNTIF($L42:INDIRECT(ADDRESS(ROW(),MATCH("",$4:$4,-1),1,1)),"조치")</f>
        <v>0</v>
      </c>
      <c r="K42" s="47">
        <f ca="1">COUNTIF($L42:INDIRECT(ADDRESS(ROW(),MATCH("",$4:$4,-1),1,1)),"미조치")</f>
        <v>0</v>
      </c>
      <c r="L42" s="49" t="str">
        <f ca="1">IFERROR(fn_Compare(ADDRESS(ROW(),COLUMN())),"")</f>
        <v/>
      </c>
      <c r="M42" s="49" t="str">
        <f ca="1">IFERROR(fn_Compare(ADDRESS(ROW(),COLUMN())),"")</f>
        <v/>
      </c>
      <c r="N42" s="98" t="str">
        <f ca="1">IFERROR(fn_Compare(ADDRESS(ROW(),COLUMN())),"")</f>
        <v/>
      </c>
    </row>
    <row r="43" spans="1:14" ht="16.5" customHeight="1">
      <c r="A43" s="165" t="s">
        <v>745</v>
      </c>
      <c r="B43" s="94" t="s">
        <v>361</v>
      </c>
      <c r="C43" s="90" t="s">
        <v>362</v>
      </c>
      <c r="D43" s="77" t="s">
        <v>714</v>
      </c>
      <c r="E43" s="77">
        <v>5</v>
      </c>
      <c r="F43" s="47">
        <f ca="1">COUNTA($L43:INDIRECT(ADDRESS(ROW(),MATCH("",$4:$4,-1),1,1)))</f>
        <v>2</v>
      </c>
      <c r="G43" s="47">
        <f t="shared" ca="1" si="2"/>
        <v>2</v>
      </c>
      <c r="H43" s="47">
        <f ca="1">COUNTIF($L43:INDIRECT(ADDRESS(ROW(),MATCH("",$4:$4,-1),1,1)),"양호")</f>
        <v>0</v>
      </c>
      <c r="I43" s="47">
        <f ca="1">COUNTIF($L43:INDIRECT(ADDRESS(ROW(),MATCH("",$4:$4,-1),1,1)),"신규")</f>
        <v>0</v>
      </c>
      <c r="J43" s="47">
        <f ca="1">COUNTIF($L43:INDIRECT(ADDRESS(ROW(),MATCH("",$4:$4,-1),1,1)),"조치")</f>
        <v>0</v>
      </c>
      <c r="K43" s="47">
        <f ca="1">COUNTIF($L43:INDIRECT(ADDRESS(ROW(),MATCH("",$4:$4,-1),1,1)),"미조치")</f>
        <v>0</v>
      </c>
      <c r="L43" s="49" t="str">
        <f ca="1">IFERROR(fn_Compare(ADDRESS(ROW(),COLUMN())),"")</f>
        <v/>
      </c>
      <c r="M43" s="49" t="str">
        <f ca="1">IFERROR(fn_Compare(ADDRESS(ROW(),COLUMN())),"")</f>
        <v/>
      </c>
      <c r="N43" s="98" t="str">
        <f ca="1">IFERROR(fn_Compare(ADDRESS(ROW(),COLUMN())),"")</f>
        <v/>
      </c>
    </row>
    <row r="44" spans="1:14" ht="16.5" customHeight="1">
      <c r="A44" s="165" t="s">
        <v>745</v>
      </c>
      <c r="B44" s="94" t="s">
        <v>367</v>
      </c>
      <c r="C44" s="90" t="s">
        <v>368</v>
      </c>
      <c r="D44" s="77" t="s">
        <v>714</v>
      </c>
      <c r="E44" s="77">
        <v>4</v>
      </c>
      <c r="F44" s="47">
        <f ca="1">COUNTA($L44:INDIRECT(ADDRESS(ROW(),MATCH("",$4:$4,-1),1,1)))</f>
        <v>2</v>
      </c>
      <c r="G44" s="47">
        <f t="shared" ca="1" si="2"/>
        <v>2</v>
      </c>
      <c r="H44" s="47">
        <f ca="1">COUNTIF($L44:INDIRECT(ADDRESS(ROW(),MATCH("",$4:$4,-1),1,1)),"양호")</f>
        <v>0</v>
      </c>
      <c r="I44" s="47">
        <f ca="1">COUNTIF($L44:INDIRECT(ADDRESS(ROW(),MATCH("",$4:$4,-1),1,1)),"신규")</f>
        <v>0</v>
      </c>
      <c r="J44" s="47">
        <f ca="1">COUNTIF($L44:INDIRECT(ADDRESS(ROW(),MATCH("",$4:$4,-1),1,1)),"조치")</f>
        <v>0</v>
      </c>
      <c r="K44" s="47">
        <f ca="1">COUNTIF($L44:INDIRECT(ADDRESS(ROW(),MATCH("",$4:$4,-1),1,1)),"미조치")</f>
        <v>0</v>
      </c>
      <c r="L44" s="49" t="str">
        <f ca="1">IFERROR(fn_Compare(ADDRESS(ROW(),COLUMN())),"")</f>
        <v/>
      </c>
      <c r="M44" s="49" t="str">
        <f ca="1">IFERROR(fn_Compare(ADDRESS(ROW(),COLUMN())),"")</f>
        <v/>
      </c>
      <c r="N44" s="98" t="str">
        <f ca="1">IFERROR(fn_Compare(ADDRESS(ROW(),COLUMN())),"")</f>
        <v/>
      </c>
    </row>
    <row r="45" spans="1:14" ht="16.5" customHeight="1">
      <c r="A45" s="165" t="s">
        <v>742</v>
      </c>
      <c r="B45" s="94" t="s">
        <v>374</v>
      </c>
      <c r="C45" s="90" t="s">
        <v>375</v>
      </c>
      <c r="D45" s="77" t="s">
        <v>714</v>
      </c>
      <c r="E45" s="77">
        <v>5</v>
      </c>
      <c r="F45" s="47">
        <f ca="1">COUNTA($L45:INDIRECT(ADDRESS(ROW(),MATCH("",$4:$4,-1),1,1)))</f>
        <v>2</v>
      </c>
      <c r="G45" s="47">
        <f t="shared" ca="1" si="2"/>
        <v>2</v>
      </c>
      <c r="H45" s="47">
        <f ca="1">COUNTIF($L45:INDIRECT(ADDRESS(ROW(),MATCH("",$4:$4,-1),1,1)),"양호")</f>
        <v>0</v>
      </c>
      <c r="I45" s="47">
        <f ca="1">COUNTIF($L45:INDIRECT(ADDRESS(ROW(),MATCH("",$4:$4,-1),1,1)),"신규")</f>
        <v>0</v>
      </c>
      <c r="J45" s="47">
        <f ca="1">COUNTIF($L45:INDIRECT(ADDRESS(ROW(),MATCH("",$4:$4,-1),1,1)),"조치")</f>
        <v>0</v>
      </c>
      <c r="K45" s="47">
        <f ca="1">COUNTIF($L45:INDIRECT(ADDRESS(ROW(),MATCH("",$4:$4,-1),1,1)),"미조치")</f>
        <v>0</v>
      </c>
      <c r="L45" s="49" t="str">
        <f ca="1">IFERROR(fn_Compare(ADDRESS(ROW(),COLUMN())),"")</f>
        <v/>
      </c>
      <c r="M45" s="49" t="str">
        <f ca="1">IFERROR(fn_Compare(ADDRESS(ROW(),COLUMN())),"")</f>
        <v/>
      </c>
      <c r="N45" s="98" t="str">
        <f ca="1">IFERROR(fn_Compare(ADDRESS(ROW(),COLUMN())),"")</f>
        <v/>
      </c>
    </row>
    <row r="46" spans="1:14" ht="16.5" customHeight="1">
      <c r="A46" s="165" t="s">
        <v>742</v>
      </c>
      <c r="B46" s="94" t="s">
        <v>381</v>
      </c>
      <c r="C46" s="90" t="s">
        <v>382</v>
      </c>
      <c r="D46" s="77" t="s">
        <v>743</v>
      </c>
      <c r="E46" s="77">
        <v>3</v>
      </c>
      <c r="F46" s="47">
        <f ca="1">COUNTA($L46:INDIRECT(ADDRESS(ROW(),MATCH("",$4:$4,-1),1,1)))</f>
        <v>2</v>
      </c>
      <c r="G46" s="47">
        <f t="shared" ca="1" si="2"/>
        <v>2</v>
      </c>
      <c r="H46" s="47">
        <f ca="1">COUNTIF($L46:INDIRECT(ADDRESS(ROW(),MATCH("",$4:$4,-1),1,1)),"양호")</f>
        <v>0</v>
      </c>
      <c r="I46" s="47">
        <f ca="1">COUNTIF($L46:INDIRECT(ADDRESS(ROW(),MATCH("",$4:$4,-1),1,1)),"신규")</f>
        <v>0</v>
      </c>
      <c r="J46" s="47">
        <f ca="1">COUNTIF($L46:INDIRECT(ADDRESS(ROW(),MATCH("",$4:$4,-1),1,1)),"조치")</f>
        <v>0</v>
      </c>
      <c r="K46" s="47">
        <f ca="1">COUNTIF($L46:INDIRECT(ADDRESS(ROW(),MATCH("",$4:$4,-1),1,1)),"미조치")</f>
        <v>0</v>
      </c>
      <c r="L46" s="49" t="str">
        <f ca="1">IFERROR(fn_Compare(ADDRESS(ROW(),COLUMN())),"")</f>
        <v/>
      </c>
      <c r="M46" s="49" t="str">
        <f ca="1">IFERROR(fn_Compare(ADDRESS(ROW(),COLUMN())),"")</f>
        <v/>
      </c>
      <c r="N46" s="98" t="str">
        <f ca="1">IFERROR(fn_Compare(ADDRESS(ROW(),COLUMN())),"")</f>
        <v/>
      </c>
    </row>
    <row r="47" spans="1:14" ht="16.5" customHeight="1">
      <c r="A47" s="165" t="s">
        <v>742</v>
      </c>
      <c r="B47" s="94" t="s">
        <v>388</v>
      </c>
      <c r="C47" s="90" t="s">
        <v>389</v>
      </c>
      <c r="D47" s="77" t="s">
        <v>714</v>
      </c>
      <c r="E47" s="77">
        <v>4</v>
      </c>
      <c r="F47" s="47">
        <f ca="1">COUNTA($L47:INDIRECT(ADDRESS(ROW(),MATCH("",$4:$4,-1),1,1)))</f>
        <v>2</v>
      </c>
      <c r="G47" s="47">
        <f t="shared" ca="1" si="2"/>
        <v>2</v>
      </c>
      <c r="H47" s="47">
        <f ca="1">COUNTIF($L47:INDIRECT(ADDRESS(ROW(),MATCH("",$4:$4,-1),1,1)),"양호")</f>
        <v>0</v>
      </c>
      <c r="I47" s="47">
        <f ca="1">COUNTIF($L47:INDIRECT(ADDRESS(ROW(),MATCH("",$4:$4,-1),1,1)),"신규")</f>
        <v>0</v>
      </c>
      <c r="J47" s="47">
        <f ca="1">COUNTIF($L47:INDIRECT(ADDRESS(ROW(),MATCH("",$4:$4,-1),1,1)),"조치")</f>
        <v>0</v>
      </c>
      <c r="K47" s="47">
        <f ca="1">COUNTIF($L47:INDIRECT(ADDRESS(ROW(),MATCH("",$4:$4,-1),1,1)),"미조치")</f>
        <v>0</v>
      </c>
      <c r="L47" s="49" t="str">
        <f ca="1">IFERROR(fn_Compare(ADDRESS(ROW(),COLUMN())),"")</f>
        <v/>
      </c>
      <c r="M47" s="49" t="str">
        <f ca="1">IFERROR(fn_Compare(ADDRESS(ROW(),COLUMN())),"")</f>
        <v/>
      </c>
      <c r="N47" s="98" t="str">
        <f ca="1">IFERROR(fn_Compare(ADDRESS(ROW(),COLUMN())),"")</f>
        <v/>
      </c>
    </row>
    <row r="48" spans="1:14" ht="16.5" customHeight="1">
      <c r="A48" s="165" t="s">
        <v>742</v>
      </c>
      <c r="B48" s="94" t="s">
        <v>395</v>
      </c>
      <c r="C48" s="90" t="s">
        <v>396</v>
      </c>
      <c r="D48" s="77" t="s">
        <v>714</v>
      </c>
      <c r="E48" s="77">
        <v>5</v>
      </c>
      <c r="F48" s="47">
        <f ca="1">COUNTA($L48:INDIRECT(ADDRESS(ROW(),MATCH("",$4:$4,-1),1,1)))</f>
        <v>2</v>
      </c>
      <c r="G48" s="47">
        <f t="shared" ca="1" si="2"/>
        <v>2</v>
      </c>
      <c r="H48" s="47">
        <f ca="1">COUNTIF($L48:INDIRECT(ADDRESS(ROW(),MATCH("",$4:$4,-1),1,1)),"양호")</f>
        <v>0</v>
      </c>
      <c r="I48" s="47">
        <f ca="1">COUNTIF($L48:INDIRECT(ADDRESS(ROW(),MATCH("",$4:$4,-1),1,1)),"신규")</f>
        <v>0</v>
      </c>
      <c r="J48" s="47">
        <f ca="1">COUNTIF($L48:INDIRECT(ADDRESS(ROW(),MATCH("",$4:$4,-1),1,1)),"조치")</f>
        <v>0</v>
      </c>
      <c r="K48" s="47">
        <f ca="1">COUNTIF($L48:INDIRECT(ADDRESS(ROW(),MATCH("",$4:$4,-1),1,1)),"미조치")</f>
        <v>0</v>
      </c>
      <c r="L48" s="49" t="str">
        <f ca="1">IFERROR(fn_Compare(ADDRESS(ROW(),COLUMN())),"")</f>
        <v/>
      </c>
      <c r="M48" s="49" t="str">
        <f ca="1">IFERROR(fn_Compare(ADDRESS(ROW(),COLUMN())),"")</f>
        <v/>
      </c>
      <c r="N48" s="98" t="str">
        <f ca="1">IFERROR(fn_Compare(ADDRESS(ROW(),COLUMN())),"")</f>
        <v/>
      </c>
    </row>
    <row r="49" spans="1:14" ht="16.5" customHeight="1">
      <c r="A49" s="165" t="s">
        <v>742</v>
      </c>
      <c r="B49" s="94" t="s">
        <v>402</v>
      </c>
      <c r="C49" s="90" t="s">
        <v>403</v>
      </c>
      <c r="D49" s="77" t="s">
        <v>714</v>
      </c>
      <c r="E49" s="77">
        <v>5</v>
      </c>
      <c r="F49" s="47">
        <f ca="1">COUNTA($L49:INDIRECT(ADDRESS(ROW(),MATCH("",$4:$4,-1),1,1)))</f>
        <v>2</v>
      </c>
      <c r="G49" s="47">
        <f t="shared" ca="1" si="1"/>
        <v>2</v>
      </c>
      <c r="H49" s="47">
        <f ca="1">COUNTIF($L49:INDIRECT(ADDRESS(ROW(),MATCH("",$4:$4,-1),1,1)),"양호")</f>
        <v>0</v>
      </c>
      <c r="I49" s="47">
        <f ca="1">COUNTIF($L49:INDIRECT(ADDRESS(ROW(),MATCH("",$4:$4,-1),1,1)),"신규")</f>
        <v>0</v>
      </c>
      <c r="J49" s="47">
        <f ca="1">COUNTIF($L49:INDIRECT(ADDRESS(ROW(),MATCH("",$4:$4,-1),1,1)),"조치")</f>
        <v>0</v>
      </c>
      <c r="K49" s="47">
        <f ca="1">COUNTIF($L49:INDIRECT(ADDRESS(ROW(),MATCH("",$4:$4,-1),1,1)),"미조치")</f>
        <v>0</v>
      </c>
      <c r="L49" s="49" t="str">
        <f ca="1">IFERROR(fn_Compare(ADDRESS(ROW(),COLUMN())),"")</f>
        <v/>
      </c>
      <c r="M49" s="49" t="str">
        <f ca="1">IFERROR(fn_Compare(ADDRESS(ROW(),COLUMN())),"")</f>
        <v/>
      </c>
      <c r="N49" s="98" t="str">
        <f ca="1">IFERROR(fn_Compare(ADDRESS(ROW(),COLUMN())),"")</f>
        <v/>
      </c>
    </row>
    <row r="50" spans="1:14" ht="16.5" customHeight="1">
      <c r="A50" s="165" t="s">
        <v>742</v>
      </c>
      <c r="B50" s="94" t="s">
        <v>409</v>
      </c>
      <c r="C50" s="90" t="s">
        <v>410</v>
      </c>
      <c r="D50" s="77" t="s">
        <v>714</v>
      </c>
      <c r="E50" s="77">
        <v>4</v>
      </c>
      <c r="F50" s="47">
        <f ca="1">COUNTA($L50:INDIRECT(ADDRESS(ROW(),MATCH("",$4:$4,-1),1,1)))</f>
        <v>2</v>
      </c>
      <c r="G50" s="47">
        <f t="shared" ca="1" si="1"/>
        <v>2</v>
      </c>
      <c r="H50" s="47">
        <f ca="1">COUNTIF($L50:INDIRECT(ADDRESS(ROW(),MATCH("",$4:$4,-1),1,1)),"양호")</f>
        <v>0</v>
      </c>
      <c r="I50" s="47">
        <f ca="1">COUNTIF($L50:INDIRECT(ADDRESS(ROW(),MATCH("",$4:$4,-1),1,1)),"신규")</f>
        <v>0</v>
      </c>
      <c r="J50" s="47">
        <f ca="1">COUNTIF($L50:INDIRECT(ADDRESS(ROW(),MATCH("",$4:$4,-1),1,1)),"조치")</f>
        <v>0</v>
      </c>
      <c r="K50" s="47">
        <f ca="1">COUNTIF($L50:INDIRECT(ADDRESS(ROW(),MATCH("",$4:$4,-1),1,1)),"미조치")</f>
        <v>0</v>
      </c>
      <c r="L50" s="49" t="str">
        <f ca="1">IFERROR(fn_Compare(ADDRESS(ROW(),COLUMN())),"")</f>
        <v/>
      </c>
      <c r="M50" s="49" t="str">
        <f ca="1">IFERROR(fn_Compare(ADDRESS(ROW(),COLUMN())),"")</f>
        <v/>
      </c>
      <c r="N50" s="98" t="str">
        <f ca="1">IFERROR(fn_Compare(ADDRESS(ROW(),COLUMN())),"")</f>
        <v/>
      </c>
    </row>
    <row r="51" spans="1:14" ht="16.5" customHeight="1">
      <c r="A51" s="165" t="s">
        <v>742</v>
      </c>
      <c r="B51" s="94" t="s">
        <v>416</v>
      </c>
      <c r="C51" s="90" t="s">
        <v>417</v>
      </c>
      <c r="D51" s="77" t="s">
        <v>714</v>
      </c>
      <c r="E51" s="77">
        <v>4</v>
      </c>
      <c r="F51" s="47">
        <f ca="1">COUNTA($L51:INDIRECT(ADDRESS(ROW(),MATCH("",$4:$4,-1),1,1)))</f>
        <v>2</v>
      </c>
      <c r="G51" s="47">
        <f t="shared" ca="1" si="1"/>
        <v>2</v>
      </c>
      <c r="H51" s="47">
        <f ca="1">COUNTIF($L51:INDIRECT(ADDRESS(ROW(),MATCH("",$4:$4,-1),1,1)),"양호")</f>
        <v>0</v>
      </c>
      <c r="I51" s="47">
        <f ca="1">COUNTIF($L51:INDIRECT(ADDRESS(ROW(),MATCH("",$4:$4,-1),1,1)),"신규")</f>
        <v>0</v>
      </c>
      <c r="J51" s="47">
        <f ca="1">COUNTIF($L51:INDIRECT(ADDRESS(ROW(),MATCH("",$4:$4,-1),1,1)),"조치")</f>
        <v>0</v>
      </c>
      <c r="K51" s="47">
        <f ca="1">COUNTIF($L51:INDIRECT(ADDRESS(ROW(),MATCH("",$4:$4,-1),1,1)),"미조치")</f>
        <v>0</v>
      </c>
      <c r="L51" s="49" t="str">
        <f ca="1">IFERROR(fn_Compare(ADDRESS(ROW(),COLUMN())),"")</f>
        <v/>
      </c>
      <c r="M51" s="49" t="str">
        <f ca="1">IFERROR(fn_Compare(ADDRESS(ROW(),COLUMN())),"")</f>
        <v/>
      </c>
      <c r="N51" s="98" t="str">
        <f ca="1">IFERROR(fn_Compare(ADDRESS(ROW(),COLUMN())),"")</f>
        <v/>
      </c>
    </row>
    <row r="52" spans="1:14" ht="16.5" customHeight="1">
      <c r="A52" s="165" t="s">
        <v>742</v>
      </c>
      <c r="B52" s="94" t="s">
        <v>423</v>
      </c>
      <c r="C52" s="90" t="s">
        <v>424</v>
      </c>
      <c r="D52" s="77" t="s">
        <v>743</v>
      </c>
      <c r="E52" s="77">
        <v>3</v>
      </c>
      <c r="F52" s="47">
        <f ca="1">COUNTA($L52:INDIRECT(ADDRESS(ROW(),MATCH("",$4:$4,-1),1,1)))</f>
        <v>2</v>
      </c>
      <c r="G52" s="47">
        <f t="shared" ca="1" si="1"/>
        <v>2</v>
      </c>
      <c r="H52" s="47">
        <f ca="1">COUNTIF($L52:INDIRECT(ADDRESS(ROW(),MATCH("",$4:$4,-1),1,1)),"양호")</f>
        <v>0</v>
      </c>
      <c r="I52" s="47">
        <f ca="1">COUNTIF($L52:INDIRECT(ADDRESS(ROW(),MATCH("",$4:$4,-1),1,1)),"신규")</f>
        <v>0</v>
      </c>
      <c r="J52" s="47">
        <f ca="1">COUNTIF($L52:INDIRECT(ADDRESS(ROW(),MATCH("",$4:$4,-1),1,1)),"조치")</f>
        <v>0</v>
      </c>
      <c r="K52" s="47">
        <f ca="1">COUNTIF($L52:INDIRECT(ADDRESS(ROW(),MATCH("",$4:$4,-1),1,1)),"미조치")</f>
        <v>0</v>
      </c>
      <c r="L52" s="49" t="str">
        <f ca="1">IFERROR(fn_Compare(ADDRESS(ROW(),COLUMN())),"")</f>
        <v/>
      </c>
      <c r="M52" s="49" t="str">
        <f ca="1">IFERROR(fn_Compare(ADDRESS(ROW(),COLUMN())),"")</f>
        <v/>
      </c>
      <c r="N52" s="98" t="str">
        <f ca="1">IFERROR(fn_Compare(ADDRESS(ROW(),COLUMN())),"")</f>
        <v/>
      </c>
    </row>
    <row r="53" spans="1:14" ht="16.5" customHeight="1">
      <c r="A53" s="165" t="s">
        <v>742</v>
      </c>
      <c r="B53" s="94" t="s">
        <v>431</v>
      </c>
      <c r="C53" s="90" t="s">
        <v>432</v>
      </c>
      <c r="D53" s="77" t="s">
        <v>743</v>
      </c>
      <c r="E53" s="77">
        <v>3</v>
      </c>
      <c r="F53" s="47">
        <f ca="1">COUNTA($L53:INDIRECT(ADDRESS(ROW(),MATCH("",$4:$4,-1),1,1)))</f>
        <v>2</v>
      </c>
      <c r="G53" s="47">
        <f t="shared" ca="1" si="1"/>
        <v>2</v>
      </c>
      <c r="H53" s="47">
        <f ca="1">COUNTIF($L53:INDIRECT(ADDRESS(ROW(),MATCH("",$4:$4,-1),1,1)),"양호")</f>
        <v>0</v>
      </c>
      <c r="I53" s="47">
        <f ca="1">COUNTIF($L53:INDIRECT(ADDRESS(ROW(),MATCH("",$4:$4,-1),1,1)),"신규")</f>
        <v>0</v>
      </c>
      <c r="J53" s="47">
        <f ca="1">COUNTIF($L53:INDIRECT(ADDRESS(ROW(),MATCH("",$4:$4,-1),1,1)),"조치")</f>
        <v>0</v>
      </c>
      <c r="K53" s="47">
        <f ca="1">COUNTIF($L53:INDIRECT(ADDRESS(ROW(),MATCH("",$4:$4,-1),1,1)),"미조치")</f>
        <v>0</v>
      </c>
      <c r="L53" s="49" t="str">
        <f ca="1">IFERROR(fn_Compare(ADDRESS(ROW(),COLUMN())),"")</f>
        <v/>
      </c>
      <c r="M53" s="49" t="str">
        <f ca="1">IFERROR(fn_Compare(ADDRESS(ROW(),COLUMN())),"")</f>
        <v/>
      </c>
      <c r="N53" s="98" t="str">
        <f ca="1">IFERROR(fn_Compare(ADDRESS(ROW(),COLUMN())),"")</f>
        <v/>
      </c>
    </row>
    <row r="54" spans="1:14" ht="16.5" customHeight="1">
      <c r="A54" s="165" t="s">
        <v>742</v>
      </c>
      <c r="B54" s="94" t="s">
        <v>438</v>
      </c>
      <c r="C54" s="90" t="s">
        <v>439</v>
      </c>
      <c r="D54" s="77" t="s">
        <v>743</v>
      </c>
      <c r="E54" s="77">
        <v>3</v>
      </c>
      <c r="F54" s="47">
        <f ca="1">COUNTA($L54:INDIRECT(ADDRESS(ROW(),MATCH("",$4:$4,-1),1,1)))</f>
        <v>2</v>
      </c>
      <c r="G54" s="47">
        <f t="shared" ca="1" si="1"/>
        <v>2</v>
      </c>
      <c r="H54" s="47">
        <f ca="1">COUNTIF($L54:INDIRECT(ADDRESS(ROW(),MATCH("",$4:$4,-1),1,1)),"양호")</f>
        <v>0</v>
      </c>
      <c r="I54" s="47">
        <f ca="1">COUNTIF($L54:INDIRECT(ADDRESS(ROW(),MATCH("",$4:$4,-1),1,1)),"신규")</f>
        <v>0</v>
      </c>
      <c r="J54" s="47">
        <f ca="1">COUNTIF($L54:INDIRECT(ADDRESS(ROW(),MATCH("",$4:$4,-1),1,1)),"조치")</f>
        <v>0</v>
      </c>
      <c r="K54" s="47">
        <f ca="1">COUNTIF($L54:INDIRECT(ADDRESS(ROW(),MATCH("",$4:$4,-1),1,1)),"미조치")</f>
        <v>0</v>
      </c>
      <c r="L54" s="49" t="str">
        <f ca="1">IFERROR(fn_Compare(ADDRESS(ROW(),COLUMN())),"")</f>
        <v/>
      </c>
      <c r="M54" s="49" t="str">
        <f ca="1">IFERROR(fn_Compare(ADDRESS(ROW(),COLUMN())),"")</f>
        <v/>
      </c>
      <c r="N54" s="98" t="str">
        <f ca="1">IFERROR(fn_Compare(ADDRESS(ROW(),COLUMN())),"")</f>
        <v/>
      </c>
    </row>
    <row r="55" spans="1:14" ht="16.5" customHeight="1">
      <c r="A55" s="165" t="s">
        <v>742</v>
      </c>
      <c r="B55" s="94" t="s">
        <v>445</v>
      </c>
      <c r="C55" s="90" t="s">
        <v>446</v>
      </c>
      <c r="D55" s="77" t="s">
        <v>743</v>
      </c>
      <c r="E55" s="77">
        <v>3</v>
      </c>
      <c r="F55" s="47">
        <f ca="1">COUNTA($L55:INDIRECT(ADDRESS(ROW(),MATCH("",$4:$4,-1),1,1)))</f>
        <v>2</v>
      </c>
      <c r="G55" s="47">
        <f t="shared" ca="1" si="1"/>
        <v>2</v>
      </c>
      <c r="H55" s="47">
        <f ca="1">COUNTIF($L55:INDIRECT(ADDRESS(ROW(),MATCH("",$4:$4,-1),1,1)),"양호")</f>
        <v>0</v>
      </c>
      <c r="I55" s="47">
        <f ca="1">COUNTIF($L55:INDIRECT(ADDRESS(ROW(),MATCH("",$4:$4,-1),1,1)),"신규")</f>
        <v>0</v>
      </c>
      <c r="J55" s="47">
        <f ca="1">COUNTIF($L55:INDIRECT(ADDRESS(ROW(),MATCH("",$4:$4,-1),1,1)),"조치")</f>
        <v>0</v>
      </c>
      <c r="K55" s="47">
        <f ca="1">COUNTIF($L55:INDIRECT(ADDRESS(ROW(),MATCH("",$4:$4,-1),1,1)),"미조치")</f>
        <v>0</v>
      </c>
      <c r="L55" s="49" t="str">
        <f ca="1">IFERROR(fn_Compare(ADDRESS(ROW(),COLUMN())),"")</f>
        <v/>
      </c>
      <c r="M55" s="49" t="str">
        <f ca="1">IFERROR(fn_Compare(ADDRESS(ROW(),COLUMN())),"")</f>
        <v/>
      </c>
      <c r="N55" s="98" t="str">
        <f ca="1">IFERROR(fn_Compare(ADDRESS(ROW(),COLUMN())),"")</f>
        <v/>
      </c>
    </row>
    <row r="56" spans="1:14" ht="16.5" customHeight="1">
      <c r="A56" s="165" t="s">
        <v>742</v>
      </c>
      <c r="B56" s="94" t="s">
        <v>452</v>
      </c>
      <c r="C56" s="90" t="s">
        <v>453</v>
      </c>
      <c r="D56" s="77" t="s">
        <v>743</v>
      </c>
      <c r="E56" s="77">
        <v>3</v>
      </c>
      <c r="F56" s="47">
        <f ca="1">COUNTA($L56:INDIRECT(ADDRESS(ROW(),MATCH("",$4:$4,-1),1,1)))</f>
        <v>2</v>
      </c>
      <c r="G56" s="47">
        <f t="shared" ca="1" si="1"/>
        <v>2</v>
      </c>
      <c r="H56" s="47">
        <f ca="1">COUNTIF($L56:INDIRECT(ADDRESS(ROW(),MATCH("",$4:$4,-1),1,1)),"양호")</f>
        <v>0</v>
      </c>
      <c r="I56" s="47">
        <f ca="1">COUNTIF($L56:INDIRECT(ADDRESS(ROW(),MATCH("",$4:$4,-1),1,1)),"신규")</f>
        <v>0</v>
      </c>
      <c r="J56" s="47">
        <f ca="1">COUNTIF($L56:INDIRECT(ADDRESS(ROW(),MATCH("",$4:$4,-1),1,1)),"조치")</f>
        <v>0</v>
      </c>
      <c r="K56" s="47">
        <f ca="1">COUNTIF($L56:INDIRECT(ADDRESS(ROW(),MATCH("",$4:$4,-1),1,1)),"미조치")</f>
        <v>0</v>
      </c>
      <c r="L56" s="49" t="str">
        <f ca="1">IFERROR(fn_Compare(ADDRESS(ROW(),COLUMN())),"")</f>
        <v/>
      </c>
      <c r="M56" s="49" t="str">
        <f ca="1">IFERROR(fn_Compare(ADDRESS(ROW(),COLUMN())),"")</f>
        <v/>
      </c>
      <c r="N56" s="98" t="str">
        <f ca="1">IFERROR(fn_Compare(ADDRESS(ROW(),COLUMN())),"")</f>
        <v/>
      </c>
    </row>
    <row r="57" spans="1:14" ht="16.5" customHeight="1">
      <c r="A57" s="165" t="s">
        <v>742</v>
      </c>
      <c r="B57" s="94" t="s">
        <v>459</v>
      </c>
      <c r="C57" s="90" t="s">
        <v>460</v>
      </c>
      <c r="D57" s="77" t="s">
        <v>743</v>
      </c>
      <c r="E57" s="77">
        <v>3</v>
      </c>
      <c r="F57" s="47">
        <f ca="1">COUNTA($L57:INDIRECT(ADDRESS(ROW(),MATCH("",$4:$4,-1),1,1)))</f>
        <v>2</v>
      </c>
      <c r="G57" s="47">
        <f t="shared" ca="1" si="1"/>
        <v>2</v>
      </c>
      <c r="H57" s="47">
        <f ca="1">COUNTIF($L57:INDIRECT(ADDRESS(ROW(),MATCH("",$4:$4,-1),1,1)),"양호")</f>
        <v>0</v>
      </c>
      <c r="I57" s="47">
        <f ca="1">COUNTIF($L57:INDIRECT(ADDRESS(ROW(),MATCH("",$4:$4,-1),1,1)),"신규")</f>
        <v>0</v>
      </c>
      <c r="J57" s="47">
        <f ca="1">COUNTIF($L57:INDIRECT(ADDRESS(ROW(),MATCH("",$4:$4,-1),1,1)),"조치")</f>
        <v>0</v>
      </c>
      <c r="K57" s="47">
        <f ca="1">COUNTIF($L57:INDIRECT(ADDRESS(ROW(),MATCH("",$4:$4,-1),1,1)),"미조치")</f>
        <v>0</v>
      </c>
      <c r="L57" s="49" t="str">
        <f ca="1">IFERROR(fn_Compare(ADDRESS(ROW(),COLUMN())),"")</f>
        <v/>
      </c>
      <c r="M57" s="49" t="str">
        <f ca="1">IFERROR(fn_Compare(ADDRESS(ROW(),COLUMN())),"")</f>
        <v/>
      </c>
      <c r="N57" s="98" t="str">
        <f ca="1">IFERROR(fn_Compare(ADDRESS(ROW(),COLUMN())),"")</f>
        <v/>
      </c>
    </row>
    <row r="58" spans="1:14" ht="16.5" customHeight="1">
      <c r="A58" s="165" t="s">
        <v>742</v>
      </c>
      <c r="B58" s="94" t="s">
        <v>466</v>
      </c>
      <c r="C58" s="90" t="s">
        <v>467</v>
      </c>
      <c r="D58" s="77" t="s">
        <v>714</v>
      </c>
      <c r="E58" s="77">
        <v>4</v>
      </c>
      <c r="F58" s="47">
        <f ca="1">COUNTA($L58:INDIRECT(ADDRESS(ROW(),MATCH("",$4:$4,-1),1,1)))</f>
        <v>2</v>
      </c>
      <c r="G58" s="47">
        <f t="shared" ca="1" si="1"/>
        <v>2</v>
      </c>
      <c r="H58" s="47">
        <f ca="1">COUNTIF($L58:INDIRECT(ADDRESS(ROW(),MATCH("",$4:$4,-1),1,1)),"양호")</f>
        <v>0</v>
      </c>
      <c r="I58" s="47">
        <f ca="1">COUNTIF($L58:INDIRECT(ADDRESS(ROW(),MATCH("",$4:$4,-1),1,1)),"신규")</f>
        <v>0</v>
      </c>
      <c r="J58" s="47">
        <f ca="1">COUNTIF($L58:INDIRECT(ADDRESS(ROW(),MATCH("",$4:$4,-1),1,1)),"조치")</f>
        <v>0</v>
      </c>
      <c r="K58" s="47">
        <f ca="1">COUNTIF($L58:INDIRECT(ADDRESS(ROW(),MATCH("",$4:$4,-1),1,1)),"미조치")</f>
        <v>0</v>
      </c>
      <c r="L58" s="49" t="str">
        <f ca="1">IFERROR(fn_Compare(ADDRESS(ROW(),COLUMN())),"")</f>
        <v/>
      </c>
      <c r="M58" s="49" t="str">
        <f ca="1">IFERROR(fn_Compare(ADDRESS(ROW(),COLUMN())),"")</f>
        <v/>
      </c>
      <c r="N58" s="98" t="str">
        <f ca="1">IFERROR(fn_Compare(ADDRESS(ROW(),COLUMN())),"")</f>
        <v/>
      </c>
    </row>
    <row r="59" spans="1:14" ht="16.5" customHeight="1">
      <c r="A59" s="165" t="s">
        <v>742</v>
      </c>
      <c r="B59" s="94" t="s">
        <v>473</v>
      </c>
      <c r="C59" s="90" t="s">
        <v>474</v>
      </c>
      <c r="D59" s="77" t="s">
        <v>714</v>
      </c>
      <c r="E59" s="77">
        <v>5</v>
      </c>
      <c r="F59" s="47">
        <f ca="1">COUNTA($L59:INDIRECT(ADDRESS(ROW(),MATCH("",$4:$4,-1),1,1)))</f>
        <v>2</v>
      </c>
      <c r="G59" s="47">
        <f t="shared" ca="1" si="1"/>
        <v>2</v>
      </c>
      <c r="H59" s="47">
        <f ca="1">COUNTIF($L59:INDIRECT(ADDRESS(ROW(),MATCH("",$4:$4,-1),1,1)),"양호")</f>
        <v>0</v>
      </c>
      <c r="I59" s="47">
        <f ca="1">COUNTIF($L59:INDIRECT(ADDRESS(ROW(),MATCH("",$4:$4,-1),1,1)),"신규")</f>
        <v>0</v>
      </c>
      <c r="J59" s="47">
        <f ca="1">COUNTIF($L59:INDIRECT(ADDRESS(ROW(),MATCH("",$4:$4,-1),1,1)),"조치")</f>
        <v>0</v>
      </c>
      <c r="K59" s="47">
        <f ca="1">COUNTIF($L59:INDIRECT(ADDRESS(ROW(),MATCH("",$4:$4,-1),1,1)),"미조치")</f>
        <v>0</v>
      </c>
      <c r="L59" s="49" t="str">
        <f ca="1">IFERROR(fn_Compare(ADDRESS(ROW(),COLUMN())),"")</f>
        <v/>
      </c>
      <c r="M59" s="49" t="str">
        <f ca="1">IFERROR(fn_Compare(ADDRESS(ROW(),COLUMN())),"")</f>
        <v/>
      </c>
      <c r="N59" s="98" t="str">
        <f ca="1">IFERROR(fn_Compare(ADDRESS(ROW(),COLUMN())),"")</f>
        <v/>
      </c>
    </row>
    <row r="60" spans="1:14" ht="16.5" customHeight="1">
      <c r="A60" s="165" t="s">
        <v>746</v>
      </c>
      <c r="B60" s="94" t="s">
        <v>481</v>
      </c>
      <c r="C60" s="90" t="s">
        <v>482</v>
      </c>
      <c r="D60" s="77" t="s">
        <v>714</v>
      </c>
      <c r="E60" s="77">
        <v>5</v>
      </c>
      <c r="F60" s="47">
        <f ca="1">COUNTA($L60:INDIRECT(ADDRESS(ROW(),MATCH("",$4:$4,-1),1,1)))</f>
        <v>2</v>
      </c>
      <c r="G60" s="47">
        <f t="shared" ca="1" si="1"/>
        <v>2</v>
      </c>
      <c r="H60" s="47">
        <f ca="1">COUNTIF($L60:INDIRECT(ADDRESS(ROW(),MATCH("",$4:$4,-1),1,1)),"양호")</f>
        <v>0</v>
      </c>
      <c r="I60" s="47">
        <f ca="1">COUNTIF($L60:INDIRECT(ADDRESS(ROW(),MATCH("",$4:$4,-1),1,1)),"신규")</f>
        <v>0</v>
      </c>
      <c r="J60" s="47">
        <f ca="1">COUNTIF($L60:INDIRECT(ADDRESS(ROW(),MATCH("",$4:$4,-1),1,1)),"조치")</f>
        <v>0</v>
      </c>
      <c r="K60" s="47">
        <f ca="1">COUNTIF($L60:INDIRECT(ADDRESS(ROW(),MATCH("",$4:$4,-1),1,1)),"미조치")</f>
        <v>0</v>
      </c>
      <c r="L60" s="49" t="str">
        <f ca="1">IFERROR(fn_Compare(ADDRESS(ROW(),COLUMN())),"")</f>
        <v/>
      </c>
      <c r="M60" s="49" t="str">
        <f ca="1">IFERROR(fn_Compare(ADDRESS(ROW(),COLUMN())),"")</f>
        <v/>
      </c>
      <c r="N60" s="98" t="str">
        <f ca="1">IFERROR(fn_Compare(ADDRESS(ROW(),COLUMN())),"")</f>
        <v/>
      </c>
    </row>
    <row r="61" spans="1:14" ht="16.5" customHeight="1">
      <c r="A61" s="165" t="s">
        <v>746</v>
      </c>
      <c r="B61" s="94" t="s">
        <v>487</v>
      </c>
      <c r="C61" s="90" t="s">
        <v>488</v>
      </c>
      <c r="D61" s="77" t="s">
        <v>714</v>
      </c>
      <c r="E61" s="77">
        <v>5</v>
      </c>
      <c r="F61" s="47">
        <f ca="1">COUNTA($L61:INDIRECT(ADDRESS(ROW(),MATCH("",$4:$4,-1),1,1)))</f>
        <v>2</v>
      </c>
      <c r="G61" s="47">
        <f t="shared" ca="1" si="1"/>
        <v>2</v>
      </c>
      <c r="H61" s="47">
        <f ca="1">COUNTIF($L61:INDIRECT(ADDRESS(ROW(),MATCH("",$4:$4,-1),1,1)),"양호")</f>
        <v>0</v>
      </c>
      <c r="I61" s="47">
        <f ca="1">COUNTIF($L61:INDIRECT(ADDRESS(ROW(),MATCH("",$4:$4,-1),1,1)),"신규")</f>
        <v>0</v>
      </c>
      <c r="J61" s="47">
        <f ca="1">COUNTIF($L61:INDIRECT(ADDRESS(ROW(),MATCH("",$4:$4,-1),1,1)),"조치")</f>
        <v>0</v>
      </c>
      <c r="K61" s="47">
        <f ca="1">COUNTIF($L61:INDIRECT(ADDRESS(ROW(),MATCH("",$4:$4,-1),1,1)),"미조치")</f>
        <v>0</v>
      </c>
      <c r="L61" s="49" t="str">
        <f ca="1">IFERROR(fn_Compare(ADDRESS(ROW(),COLUMN())),"")</f>
        <v/>
      </c>
      <c r="M61" s="49" t="str">
        <f ca="1">IFERROR(fn_Compare(ADDRESS(ROW(),COLUMN())),"")</f>
        <v/>
      </c>
      <c r="N61" s="98" t="str">
        <f ca="1">IFERROR(fn_Compare(ADDRESS(ROW(),COLUMN())),"")</f>
        <v/>
      </c>
    </row>
    <row r="62" spans="1:14" ht="16.5" customHeight="1">
      <c r="A62" s="165" t="s">
        <v>742</v>
      </c>
      <c r="B62" s="94" t="s">
        <v>494</v>
      </c>
      <c r="C62" s="90" t="s">
        <v>495</v>
      </c>
      <c r="D62" s="77" t="s">
        <v>743</v>
      </c>
      <c r="E62" s="77">
        <v>3</v>
      </c>
      <c r="F62" s="47">
        <f ca="1">COUNTA($L62:INDIRECT(ADDRESS(ROW(),MATCH("",$4:$4,-1),1,1)))</f>
        <v>2</v>
      </c>
      <c r="G62" s="47">
        <f t="shared" ca="1" si="1"/>
        <v>2</v>
      </c>
      <c r="H62" s="47">
        <f ca="1">COUNTIF($L62:INDIRECT(ADDRESS(ROW(),MATCH("",$4:$4,-1),1,1)),"양호")</f>
        <v>0</v>
      </c>
      <c r="I62" s="47">
        <f ca="1">COUNTIF($L62:INDIRECT(ADDRESS(ROW(),MATCH("",$4:$4,-1),1,1)),"신규")</f>
        <v>0</v>
      </c>
      <c r="J62" s="47">
        <f ca="1">COUNTIF($L62:INDIRECT(ADDRESS(ROW(),MATCH("",$4:$4,-1),1,1)),"조치")</f>
        <v>0</v>
      </c>
      <c r="K62" s="47">
        <f ca="1">COUNTIF($L62:INDIRECT(ADDRESS(ROW(),MATCH("",$4:$4,-1),1,1)),"미조치")</f>
        <v>0</v>
      </c>
      <c r="L62" s="49" t="str">
        <f ca="1">IFERROR(fn_Compare(ADDRESS(ROW(),COLUMN())),"")</f>
        <v/>
      </c>
      <c r="M62" s="49" t="str">
        <f ca="1">IFERROR(fn_Compare(ADDRESS(ROW(),COLUMN())),"")</f>
        <v/>
      </c>
      <c r="N62" s="98" t="str">
        <f ca="1">IFERROR(fn_Compare(ADDRESS(ROW(),COLUMN())),"")</f>
        <v/>
      </c>
    </row>
    <row r="63" spans="1:14" ht="16.5" customHeight="1">
      <c r="A63" s="165" t="s">
        <v>742</v>
      </c>
      <c r="B63" s="94" t="s">
        <v>501</v>
      </c>
      <c r="C63" s="90" t="s">
        <v>502</v>
      </c>
      <c r="D63" s="77" t="s">
        <v>714</v>
      </c>
      <c r="E63" s="77">
        <v>4</v>
      </c>
      <c r="F63" s="47">
        <f ca="1">COUNTA($L63:INDIRECT(ADDRESS(ROW(),MATCH("",$4:$4,-1),1,1)))</f>
        <v>2</v>
      </c>
      <c r="G63" s="47">
        <f t="shared" ca="1" si="1"/>
        <v>2</v>
      </c>
      <c r="H63" s="47">
        <f ca="1">COUNTIF($L63:INDIRECT(ADDRESS(ROW(),MATCH("",$4:$4,-1),1,1)),"양호")</f>
        <v>0</v>
      </c>
      <c r="I63" s="47">
        <f ca="1">COUNTIF($L63:INDIRECT(ADDRESS(ROW(),MATCH("",$4:$4,-1),1,1)),"신규")</f>
        <v>0</v>
      </c>
      <c r="J63" s="47">
        <f ca="1">COUNTIF($L63:INDIRECT(ADDRESS(ROW(),MATCH("",$4:$4,-1),1,1)),"조치")</f>
        <v>0</v>
      </c>
      <c r="K63" s="47">
        <f ca="1">COUNTIF($L63:INDIRECT(ADDRESS(ROW(),MATCH("",$4:$4,-1),1,1)),"미조치")</f>
        <v>0</v>
      </c>
      <c r="L63" s="49" t="str">
        <f ca="1">IFERROR(fn_Compare(ADDRESS(ROW(),COLUMN())),"")</f>
        <v/>
      </c>
      <c r="M63" s="49" t="str">
        <f ca="1">IFERROR(fn_Compare(ADDRESS(ROW(),COLUMN())),"")</f>
        <v/>
      </c>
      <c r="N63" s="98" t="str">
        <f ca="1">IFERROR(fn_Compare(ADDRESS(ROW(),COLUMN())),"")</f>
        <v/>
      </c>
    </row>
    <row r="64" spans="1:14" ht="16.5" customHeight="1">
      <c r="A64" s="165" t="s">
        <v>745</v>
      </c>
      <c r="B64" s="94" t="s">
        <v>507</v>
      </c>
      <c r="C64" s="90" t="s">
        <v>508</v>
      </c>
      <c r="D64" s="77" t="s">
        <v>714</v>
      </c>
      <c r="E64" s="77">
        <v>4</v>
      </c>
      <c r="F64" s="47">
        <f ca="1">COUNTA($L64:INDIRECT(ADDRESS(ROW(),MATCH("",$4:$4,-1),1,1)))</f>
        <v>2</v>
      </c>
      <c r="G64" s="47">
        <f t="shared" ca="1" si="1"/>
        <v>2</v>
      </c>
      <c r="H64" s="47">
        <f ca="1">COUNTIF($L64:INDIRECT(ADDRESS(ROW(),MATCH("",$4:$4,-1),1,1)),"양호")</f>
        <v>0</v>
      </c>
      <c r="I64" s="47">
        <f ca="1">COUNTIF($L64:INDIRECT(ADDRESS(ROW(),MATCH("",$4:$4,-1),1,1)),"신규")</f>
        <v>0</v>
      </c>
      <c r="J64" s="47">
        <f ca="1">COUNTIF($L64:INDIRECT(ADDRESS(ROW(),MATCH("",$4:$4,-1),1,1)),"조치")</f>
        <v>0</v>
      </c>
      <c r="K64" s="47">
        <f ca="1">COUNTIF($L64:INDIRECT(ADDRESS(ROW(),MATCH("",$4:$4,-1),1,1)),"미조치")</f>
        <v>0</v>
      </c>
      <c r="L64" s="49" t="str">
        <f ca="1">IFERROR(fn_Compare(ADDRESS(ROW(),COLUMN())),"")</f>
        <v/>
      </c>
      <c r="M64" s="49" t="str">
        <f ca="1">IFERROR(fn_Compare(ADDRESS(ROW(),COLUMN())),"")</f>
        <v/>
      </c>
      <c r="N64" s="98" t="str">
        <f ca="1">IFERROR(fn_Compare(ADDRESS(ROW(),COLUMN())),"")</f>
        <v/>
      </c>
    </row>
    <row r="65" spans="1:14" ht="16.5" customHeight="1">
      <c r="A65" s="165" t="s">
        <v>745</v>
      </c>
      <c r="B65" s="94" t="s">
        <v>514</v>
      </c>
      <c r="C65" s="90" t="s">
        <v>515</v>
      </c>
      <c r="D65" s="77" t="s">
        <v>714</v>
      </c>
      <c r="E65" s="77">
        <v>4</v>
      </c>
      <c r="F65" s="47">
        <f ca="1">COUNTA($L65:INDIRECT(ADDRESS(ROW(),MATCH("",$4:$4,-1),1,1)))</f>
        <v>2</v>
      </c>
      <c r="G65" s="47">
        <f t="shared" ca="1" si="1"/>
        <v>2</v>
      </c>
      <c r="H65" s="47">
        <f ca="1">COUNTIF($L65:INDIRECT(ADDRESS(ROW(),MATCH("",$4:$4,-1),1,1)),"양호")</f>
        <v>0</v>
      </c>
      <c r="I65" s="47">
        <f ca="1">COUNTIF($L65:INDIRECT(ADDRESS(ROW(),MATCH("",$4:$4,-1),1,1)),"신규")</f>
        <v>0</v>
      </c>
      <c r="J65" s="47">
        <f ca="1">COUNTIF($L65:INDIRECT(ADDRESS(ROW(),MATCH("",$4:$4,-1),1,1)),"조치")</f>
        <v>0</v>
      </c>
      <c r="K65" s="47">
        <f ca="1">COUNTIF($L65:INDIRECT(ADDRESS(ROW(),MATCH("",$4:$4,-1),1,1)),"미조치")</f>
        <v>0</v>
      </c>
      <c r="L65" s="49" t="str">
        <f ca="1">IFERROR(fn_Compare(ADDRESS(ROW(),COLUMN())),"")</f>
        <v/>
      </c>
      <c r="M65" s="49" t="str">
        <f ca="1">IFERROR(fn_Compare(ADDRESS(ROW(),COLUMN())),"")</f>
        <v/>
      </c>
      <c r="N65" s="98" t="str">
        <f ca="1">IFERROR(fn_Compare(ADDRESS(ROW(),COLUMN())),"")</f>
        <v/>
      </c>
    </row>
    <row r="66" spans="1:14" ht="16.5" customHeight="1">
      <c r="A66" s="165" t="s">
        <v>742</v>
      </c>
      <c r="B66" s="94" t="s">
        <v>521</v>
      </c>
      <c r="C66" s="90" t="s">
        <v>522</v>
      </c>
      <c r="D66" s="77" t="s">
        <v>743</v>
      </c>
      <c r="E66" s="77">
        <v>3</v>
      </c>
      <c r="F66" s="47">
        <f ca="1">COUNTA($L66:INDIRECT(ADDRESS(ROW(),MATCH("",$4:$4,-1),1,1)))</f>
        <v>2</v>
      </c>
      <c r="G66" s="47">
        <f t="shared" ca="1" si="1"/>
        <v>2</v>
      </c>
      <c r="H66" s="47">
        <f ca="1">COUNTIF($L66:INDIRECT(ADDRESS(ROW(),MATCH("",$4:$4,-1),1,1)),"양호")</f>
        <v>0</v>
      </c>
      <c r="I66" s="47">
        <f ca="1">COUNTIF($L66:INDIRECT(ADDRESS(ROW(),MATCH("",$4:$4,-1),1,1)),"신규")</f>
        <v>0</v>
      </c>
      <c r="J66" s="47">
        <f ca="1">COUNTIF($L66:INDIRECT(ADDRESS(ROW(),MATCH("",$4:$4,-1),1,1)),"조치")</f>
        <v>0</v>
      </c>
      <c r="K66" s="47">
        <f ca="1">COUNTIF($L66:INDIRECT(ADDRESS(ROW(),MATCH("",$4:$4,-1),1,1)),"미조치")</f>
        <v>0</v>
      </c>
      <c r="L66" s="49" t="str">
        <f ca="1">IFERROR(fn_Compare(ADDRESS(ROW(),COLUMN())),"")</f>
        <v/>
      </c>
      <c r="M66" s="49" t="str">
        <f ca="1">IFERROR(fn_Compare(ADDRESS(ROW(),COLUMN())),"")</f>
        <v/>
      </c>
      <c r="N66" s="98" t="str">
        <f ca="1">IFERROR(fn_Compare(ADDRESS(ROW(),COLUMN())),"")</f>
        <v/>
      </c>
    </row>
    <row r="67" spans="1:14" ht="16.5" customHeight="1">
      <c r="A67" s="165" t="s">
        <v>742</v>
      </c>
      <c r="B67" s="94" t="s">
        <v>528</v>
      </c>
      <c r="C67" s="90" t="s">
        <v>529</v>
      </c>
      <c r="D67" s="77" t="s">
        <v>714</v>
      </c>
      <c r="E67" s="77">
        <v>5</v>
      </c>
      <c r="F67" s="47">
        <f ca="1">COUNTA($L67:INDIRECT(ADDRESS(ROW(),MATCH("",$4:$4,-1),1,1)))</f>
        <v>2</v>
      </c>
      <c r="G67" s="47">
        <f t="shared" ca="1" si="1"/>
        <v>2</v>
      </c>
      <c r="H67" s="47">
        <f ca="1">COUNTIF($L67:INDIRECT(ADDRESS(ROW(),MATCH("",$4:$4,-1),1,1)),"양호")</f>
        <v>0</v>
      </c>
      <c r="I67" s="47">
        <f ca="1">COUNTIF($L67:INDIRECT(ADDRESS(ROW(),MATCH("",$4:$4,-1),1,1)),"신규")</f>
        <v>0</v>
      </c>
      <c r="J67" s="47">
        <f ca="1">COUNTIF($L67:INDIRECT(ADDRESS(ROW(),MATCH("",$4:$4,-1),1,1)),"조치")</f>
        <v>0</v>
      </c>
      <c r="K67" s="47">
        <f ca="1">COUNTIF($L67:INDIRECT(ADDRESS(ROW(),MATCH("",$4:$4,-1),1,1)),"미조치")</f>
        <v>0</v>
      </c>
      <c r="L67" s="49" t="str">
        <f ca="1">IFERROR(fn_Compare(ADDRESS(ROW(),COLUMN())),"")</f>
        <v/>
      </c>
      <c r="M67" s="49" t="str">
        <f ca="1">IFERROR(fn_Compare(ADDRESS(ROW(),COLUMN())),"")</f>
        <v/>
      </c>
      <c r="N67" s="98" t="str">
        <f ca="1">IFERROR(fn_Compare(ADDRESS(ROW(),COLUMN())),"")</f>
        <v/>
      </c>
    </row>
    <row r="68" spans="1:14" ht="16.5" customHeight="1">
      <c r="A68" s="165" t="s">
        <v>742</v>
      </c>
      <c r="B68" s="94" t="s">
        <v>535</v>
      </c>
      <c r="C68" s="90" t="s">
        <v>536</v>
      </c>
      <c r="D68" s="77" t="s">
        <v>744</v>
      </c>
      <c r="E68" s="77">
        <v>2</v>
      </c>
      <c r="F68" s="47">
        <f ca="1">COUNTA($L68:INDIRECT(ADDRESS(ROW(),MATCH("",$4:$4,-1),1,1)))</f>
        <v>2</v>
      </c>
      <c r="G68" s="47">
        <f t="shared" ca="1" si="1"/>
        <v>2</v>
      </c>
      <c r="H68" s="47">
        <f ca="1">COUNTIF($L68:INDIRECT(ADDRESS(ROW(),MATCH("",$4:$4,-1),1,1)),"양호")</f>
        <v>0</v>
      </c>
      <c r="I68" s="47">
        <f ca="1">COUNTIF($L68:INDIRECT(ADDRESS(ROW(),MATCH("",$4:$4,-1),1,1)),"신규")</f>
        <v>0</v>
      </c>
      <c r="J68" s="47">
        <f ca="1">COUNTIF($L68:INDIRECT(ADDRESS(ROW(),MATCH("",$4:$4,-1),1,1)),"조치")</f>
        <v>0</v>
      </c>
      <c r="K68" s="47">
        <f ca="1">COUNTIF($L68:INDIRECT(ADDRESS(ROW(),MATCH("",$4:$4,-1),1,1)),"미조치")</f>
        <v>0</v>
      </c>
      <c r="L68" s="49" t="str">
        <f ca="1">IFERROR(fn_Compare(ADDRESS(ROW(),COLUMN())),"")</f>
        <v/>
      </c>
      <c r="M68" s="49" t="str">
        <f ca="1">IFERROR(fn_Compare(ADDRESS(ROW(),COLUMN())),"")</f>
        <v/>
      </c>
      <c r="N68" s="98" t="str">
        <f ca="1">IFERROR(fn_Compare(ADDRESS(ROW(),COLUMN())),"")</f>
        <v/>
      </c>
    </row>
    <row r="69" spans="1:14" ht="16.5" customHeight="1">
      <c r="A69" s="165" t="s">
        <v>742</v>
      </c>
      <c r="B69" s="94" t="s">
        <v>542</v>
      </c>
      <c r="C69" s="90" t="s">
        <v>543</v>
      </c>
      <c r="D69" s="77" t="s">
        <v>714</v>
      </c>
      <c r="E69" s="77">
        <v>5</v>
      </c>
      <c r="F69" s="47">
        <f ca="1">COUNTA($L69:INDIRECT(ADDRESS(ROW(),MATCH("",$4:$4,-1),1,1)))</f>
        <v>2</v>
      </c>
      <c r="G69" s="47">
        <f t="shared" ca="1" si="1"/>
        <v>2</v>
      </c>
      <c r="H69" s="47">
        <f ca="1">COUNTIF($L69:INDIRECT(ADDRESS(ROW(),MATCH("",$4:$4,-1),1,1)),"양호")</f>
        <v>0</v>
      </c>
      <c r="I69" s="47">
        <f ca="1">COUNTIF($L69:INDIRECT(ADDRESS(ROW(),MATCH("",$4:$4,-1),1,1)),"신규")</f>
        <v>0</v>
      </c>
      <c r="J69" s="47">
        <f ca="1">COUNTIF($L69:INDIRECT(ADDRESS(ROW(),MATCH("",$4:$4,-1),1,1)),"조치")</f>
        <v>0</v>
      </c>
      <c r="K69" s="47">
        <f ca="1">COUNTIF($L69:INDIRECT(ADDRESS(ROW(),MATCH("",$4:$4,-1),1,1)),"미조치")</f>
        <v>0</v>
      </c>
      <c r="L69" s="49" t="str">
        <f ca="1">IFERROR(fn_Compare(ADDRESS(ROW(),COLUMN())),"")</f>
        <v/>
      </c>
      <c r="M69" s="49" t="str">
        <f ca="1">IFERROR(fn_Compare(ADDRESS(ROW(),COLUMN())),"")</f>
        <v/>
      </c>
      <c r="N69" s="98" t="str">
        <f ca="1">IFERROR(fn_Compare(ADDRESS(ROW(),COLUMN())),"")</f>
        <v/>
      </c>
    </row>
    <row r="70" spans="1:14" ht="16.5" customHeight="1">
      <c r="A70" s="165" t="s">
        <v>742</v>
      </c>
      <c r="B70" s="94" t="s">
        <v>549</v>
      </c>
      <c r="C70" s="90" t="s">
        <v>550</v>
      </c>
      <c r="D70" s="77" t="s">
        <v>743</v>
      </c>
      <c r="E70" s="77">
        <v>3</v>
      </c>
      <c r="F70" s="47">
        <f ca="1">COUNTA($L70:INDIRECT(ADDRESS(ROW(),MATCH("",$4:$4,-1),1,1)))</f>
        <v>2</v>
      </c>
      <c r="G70" s="47">
        <f t="shared" ca="1" si="1"/>
        <v>2</v>
      </c>
      <c r="H70" s="47">
        <f ca="1">COUNTIF($L70:INDIRECT(ADDRESS(ROW(),MATCH("",$4:$4,-1),1,1)),"양호")</f>
        <v>0</v>
      </c>
      <c r="I70" s="47">
        <f ca="1">COUNTIF($L70:INDIRECT(ADDRESS(ROW(),MATCH("",$4:$4,-1),1,1)),"신규")</f>
        <v>0</v>
      </c>
      <c r="J70" s="47">
        <f ca="1">COUNTIF($L70:INDIRECT(ADDRESS(ROW(),MATCH("",$4:$4,-1),1,1)),"조치")</f>
        <v>0</v>
      </c>
      <c r="K70" s="47">
        <f ca="1">COUNTIF($L70:INDIRECT(ADDRESS(ROW(),MATCH("",$4:$4,-1),1,1)),"미조치")</f>
        <v>0</v>
      </c>
      <c r="L70" s="49" t="str">
        <f ca="1">IFERROR(fn_Compare(ADDRESS(ROW(),COLUMN())),"")</f>
        <v/>
      </c>
      <c r="M70" s="49" t="str">
        <f ca="1">IFERROR(fn_Compare(ADDRESS(ROW(),COLUMN())),"")</f>
        <v/>
      </c>
      <c r="N70" s="98" t="str">
        <f ca="1">IFERROR(fn_Compare(ADDRESS(ROW(),COLUMN())),"")</f>
        <v/>
      </c>
    </row>
    <row r="71" spans="1:14" ht="16.5" customHeight="1">
      <c r="A71" s="165" t="s">
        <v>742</v>
      </c>
      <c r="B71" s="94" t="s">
        <v>555</v>
      </c>
      <c r="C71" s="90" t="s">
        <v>556</v>
      </c>
      <c r="D71" s="77" t="s">
        <v>744</v>
      </c>
      <c r="E71" s="77">
        <v>2</v>
      </c>
      <c r="F71" s="47">
        <f ca="1">COUNTA($L71:INDIRECT(ADDRESS(ROW(),MATCH("",$4:$4,-1),1,1)))</f>
        <v>2</v>
      </c>
      <c r="G71" s="47">
        <f t="shared" ca="1" si="1"/>
        <v>2</v>
      </c>
      <c r="H71" s="47">
        <f ca="1">COUNTIF($L71:INDIRECT(ADDRESS(ROW(),MATCH("",$4:$4,-1),1,1)),"양호")</f>
        <v>0</v>
      </c>
      <c r="I71" s="47">
        <f ca="1">COUNTIF($L71:INDIRECT(ADDRESS(ROW(),MATCH("",$4:$4,-1),1,1)),"신규")</f>
        <v>0</v>
      </c>
      <c r="J71" s="47">
        <f ca="1">COUNTIF($L71:INDIRECT(ADDRESS(ROW(),MATCH("",$4:$4,-1),1,1)),"조치")</f>
        <v>0</v>
      </c>
      <c r="K71" s="47">
        <f ca="1">COUNTIF($L71:INDIRECT(ADDRESS(ROW(),MATCH("",$4:$4,-1),1,1)),"미조치")</f>
        <v>0</v>
      </c>
      <c r="L71" s="49" t="str">
        <f ca="1">IFERROR(fn_Compare(ADDRESS(ROW(),COLUMN())),"")</f>
        <v/>
      </c>
      <c r="M71" s="49" t="str">
        <f ca="1">IFERROR(fn_Compare(ADDRESS(ROW(),COLUMN())),"")</f>
        <v/>
      </c>
      <c r="N71" s="98" t="str">
        <f ca="1">IFERROR(fn_Compare(ADDRESS(ROW(),COLUMN())),"")</f>
        <v/>
      </c>
    </row>
    <row r="72" spans="1:14" ht="16.5" customHeight="1">
      <c r="A72" s="165" t="s">
        <v>742</v>
      </c>
      <c r="B72" s="94" t="s">
        <v>561</v>
      </c>
      <c r="C72" s="90" t="s">
        <v>562</v>
      </c>
      <c r="D72" s="77" t="s">
        <v>743</v>
      </c>
      <c r="E72" s="77">
        <v>3</v>
      </c>
      <c r="F72" s="47">
        <f ca="1">COUNTA($L72:INDIRECT(ADDRESS(ROW(),MATCH("",$4:$4,-1),1,1)))</f>
        <v>2</v>
      </c>
      <c r="G72" s="47">
        <f t="shared" ca="1" si="1"/>
        <v>2</v>
      </c>
      <c r="H72" s="47">
        <f ca="1">COUNTIF($L72:INDIRECT(ADDRESS(ROW(),MATCH("",$4:$4,-1),1,1)),"양호")</f>
        <v>0</v>
      </c>
      <c r="I72" s="47">
        <f ca="1">COUNTIF($L72:INDIRECT(ADDRESS(ROW(),MATCH("",$4:$4,-1),1,1)),"신규")</f>
        <v>0</v>
      </c>
      <c r="J72" s="47">
        <f ca="1">COUNTIF($L72:INDIRECT(ADDRESS(ROW(),MATCH("",$4:$4,-1),1,1)),"조치")</f>
        <v>0</v>
      </c>
      <c r="K72" s="47">
        <f ca="1">COUNTIF($L72:INDIRECT(ADDRESS(ROW(),MATCH("",$4:$4,-1),1,1)),"미조치")</f>
        <v>0</v>
      </c>
      <c r="L72" s="49" t="str">
        <f ca="1">IFERROR(fn_Compare(ADDRESS(ROW(),COLUMN())),"")</f>
        <v/>
      </c>
      <c r="M72" s="49" t="str">
        <f ca="1">IFERROR(fn_Compare(ADDRESS(ROW(),COLUMN())),"")</f>
        <v/>
      </c>
      <c r="N72" s="98" t="str">
        <f ca="1">IFERROR(fn_Compare(ADDRESS(ROW(),COLUMN())),"")</f>
        <v/>
      </c>
    </row>
    <row r="73" spans="1:14" ht="16.5" customHeight="1">
      <c r="A73" s="165" t="s">
        <v>742</v>
      </c>
      <c r="B73" s="94" t="s">
        <v>566</v>
      </c>
      <c r="C73" s="90" t="s">
        <v>567</v>
      </c>
      <c r="D73" s="77" t="s">
        <v>714</v>
      </c>
      <c r="E73" s="77">
        <v>4</v>
      </c>
      <c r="F73" s="47">
        <f ca="1">COUNTA($L73:INDIRECT(ADDRESS(ROW(),MATCH("",$4:$4,-1),1,1)))</f>
        <v>2</v>
      </c>
      <c r="G73" s="47">
        <f t="shared" ca="1" si="1"/>
        <v>2</v>
      </c>
      <c r="H73" s="47">
        <f ca="1">COUNTIF($L73:INDIRECT(ADDRESS(ROW(),MATCH("",$4:$4,-1),1,1)),"양호")</f>
        <v>0</v>
      </c>
      <c r="I73" s="47">
        <f ca="1">COUNTIF($L73:INDIRECT(ADDRESS(ROW(),MATCH("",$4:$4,-1),1,1)),"신규")</f>
        <v>0</v>
      </c>
      <c r="J73" s="47">
        <f ca="1">COUNTIF($L73:INDIRECT(ADDRESS(ROW(),MATCH("",$4:$4,-1),1,1)),"조치")</f>
        <v>0</v>
      </c>
      <c r="K73" s="47">
        <f ca="1">COUNTIF($L73:INDIRECT(ADDRESS(ROW(),MATCH("",$4:$4,-1),1,1)),"미조치")</f>
        <v>0</v>
      </c>
      <c r="L73" s="49" t="str">
        <f ca="1">IFERROR(fn_Compare(ADDRESS(ROW(),COLUMN())),"")</f>
        <v/>
      </c>
      <c r="M73" s="49" t="str">
        <f ca="1">IFERROR(fn_Compare(ADDRESS(ROW(),COLUMN())),"")</f>
        <v/>
      </c>
      <c r="N73" s="98" t="str">
        <f ca="1">IFERROR(fn_Compare(ADDRESS(ROW(),COLUMN())),"")</f>
        <v/>
      </c>
    </row>
    <row r="74" spans="1:14" ht="16.5" customHeight="1">
      <c r="A74" s="165" t="s">
        <v>742</v>
      </c>
      <c r="B74" s="94" t="s">
        <v>573</v>
      </c>
      <c r="C74" s="90" t="s">
        <v>866</v>
      </c>
      <c r="D74" s="77" t="s">
        <v>743</v>
      </c>
      <c r="E74" s="77">
        <v>3</v>
      </c>
      <c r="F74" s="47">
        <f ca="1">COUNTA($L74:INDIRECT(ADDRESS(ROW(),MATCH("",$4:$4,-1),1,1)))</f>
        <v>2</v>
      </c>
      <c r="G74" s="47">
        <f t="shared" ca="1" si="1"/>
        <v>2</v>
      </c>
      <c r="H74" s="47">
        <f ca="1">COUNTIF($L74:INDIRECT(ADDRESS(ROW(),MATCH("",$4:$4,-1),1,1)),"양호")</f>
        <v>0</v>
      </c>
      <c r="I74" s="47">
        <f ca="1">COUNTIF($L74:INDIRECT(ADDRESS(ROW(),MATCH("",$4:$4,-1),1,1)),"신규")</f>
        <v>0</v>
      </c>
      <c r="J74" s="47">
        <f ca="1">COUNTIF($L74:INDIRECT(ADDRESS(ROW(),MATCH("",$4:$4,-1),1,1)),"조치")</f>
        <v>0</v>
      </c>
      <c r="K74" s="47">
        <f ca="1">COUNTIF($L74:INDIRECT(ADDRESS(ROW(),MATCH("",$4:$4,-1),1,1)),"미조치")</f>
        <v>0</v>
      </c>
      <c r="L74" s="49" t="str">
        <f ca="1">IFERROR(fn_Compare(ADDRESS(ROW(),COLUMN())),"")</f>
        <v/>
      </c>
      <c r="M74" s="49" t="str">
        <f ca="1">IFERROR(fn_Compare(ADDRESS(ROW(),COLUMN())),"")</f>
        <v/>
      </c>
      <c r="N74" s="98" t="str">
        <f ca="1">IFERROR(fn_Compare(ADDRESS(ROW(),COLUMN())),"")</f>
        <v/>
      </c>
    </row>
    <row r="75" spans="1:14" ht="16.5" customHeight="1">
      <c r="A75" s="165" t="s">
        <v>742</v>
      </c>
      <c r="B75" s="94" t="s">
        <v>576</v>
      </c>
      <c r="C75" s="90" t="s">
        <v>577</v>
      </c>
      <c r="D75" s="77" t="s">
        <v>743</v>
      </c>
      <c r="E75" s="77">
        <v>3</v>
      </c>
      <c r="F75" s="47">
        <f ca="1">COUNTA($L75:INDIRECT(ADDRESS(ROW(),MATCH("",$4:$4,-1),1,1)))</f>
        <v>2</v>
      </c>
      <c r="G75" s="47">
        <f t="shared" ca="1" si="1"/>
        <v>2</v>
      </c>
      <c r="H75" s="47">
        <f ca="1">COUNTIF($L75:INDIRECT(ADDRESS(ROW(),MATCH("",$4:$4,-1),1,1)),"양호")</f>
        <v>0</v>
      </c>
      <c r="I75" s="47">
        <f ca="1">COUNTIF($L75:INDIRECT(ADDRESS(ROW(),MATCH("",$4:$4,-1),1,1)),"신규")</f>
        <v>0</v>
      </c>
      <c r="J75" s="47">
        <f ca="1">COUNTIF($L75:INDIRECT(ADDRESS(ROW(),MATCH("",$4:$4,-1),1,1)),"조치")</f>
        <v>0</v>
      </c>
      <c r="K75" s="47">
        <f ca="1">COUNTIF($L75:INDIRECT(ADDRESS(ROW(),MATCH("",$4:$4,-1),1,1)),"미조치")</f>
        <v>0</v>
      </c>
      <c r="L75" s="49" t="str">
        <f ca="1">IFERROR(fn_Compare(ADDRESS(ROW(),COLUMN())),"")</f>
        <v/>
      </c>
      <c r="M75" s="49" t="str">
        <f ca="1">IFERROR(fn_Compare(ADDRESS(ROW(),COLUMN())),"")</f>
        <v/>
      </c>
      <c r="N75" s="98" t="str">
        <f ca="1">IFERROR(fn_Compare(ADDRESS(ROW(),COLUMN())),"")</f>
        <v/>
      </c>
    </row>
    <row r="76" spans="1:14" ht="16.5" customHeight="1">
      <c r="A76" s="165" t="s">
        <v>742</v>
      </c>
      <c r="B76" s="94" t="s">
        <v>581</v>
      </c>
      <c r="C76" s="90" t="s">
        <v>582</v>
      </c>
      <c r="D76" s="77" t="s">
        <v>714</v>
      </c>
      <c r="E76" s="77">
        <v>4</v>
      </c>
      <c r="F76" s="47">
        <f ca="1">COUNTA($L76:INDIRECT(ADDRESS(ROW(),MATCH("",$4:$4,-1),1,1)))</f>
        <v>2</v>
      </c>
      <c r="G76" s="47">
        <f t="shared" ca="1" si="1"/>
        <v>2</v>
      </c>
      <c r="H76" s="47">
        <f ca="1">COUNTIF($L76:INDIRECT(ADDRESS(ROW(),MATCH("",$4:$4,-1),1,1)),"양호")</f>
        <v>0</v>
      </c>
      <c r="I76" s="47">
        <f ca="1">COUNTIF($L76:INDIRECT(ADDRESS(ROW(),MATCH("",$4:$4,-1),1,1)),"신규")</f>
        <v>0</v>
      </c>
      <c r="J76" s="47">
        <f ca="1">COUNTIF($L76:INDIRECT(ADDRESS(ROW(),MATCH("",$4:$4,-1),1,1)),"조치")</f>
        <v>0</v>
      </c>
      <c r="K76" s="47">
        <f ca="1">COUNTIF($L76:INDIRECT(ADDRESS(ROW(),MATCH("",$4:$4,-1),1,1)),"미조치")</f>
        <v>0</v>
      </c>
      <c r="L76" s="49" t="str">
        <f ca="1">IFERROR(fn_Compare(ADDRESS(ROW(),COLUMN())),"")</f>
        <v/>
      </c>
      <c r="M76" s="49" t="str">
        <f ca="1">IFERROR(fn_Compare(ADDRESS(ROW(),COLUMN())),"")</f>
        <v/>
      </c>
      <c r="N76" s="98" t="str">
        <f ca="1">IFERROR(fn_Compare(ADDRESS(ROW(),COLUMN())),"")</f>
        <v/>
      </c>
    </row>
    <row r="77" spans="1:14" ht="16.5" customHeight="1">
      <c r="A77" s="165" t="s">
        <v>745</v>
      </c>
      <c r="B77" s="94" t="s">
        <v>588</v>
      </c>
      <c r="C77" s="90" t="s">
        <v>589</v>
      </c>
      <c r="D77" s="77" t="s">
        <v>743</v>
      </c>
      <c r="E77" s="77">
        <v>3</v>
      </c>
      <c r="F77" s="47">
        <f ca="1">COUNTA($L77:INDIRECT(ADDRESS(ROW(),MATCH("",$4:$4,-1),1,1)))</f>
        <v>2</v>
      </c>
      <c r="G77" s="47">
        <f t="shared" ca="1" si="1"/>
        <v>2</v>
      </c>
      <c r="H77" s="47">
        <f ca="1">COUNTIF($L77:INDIRECT(ADDRESS(ROW(),MATCH("",$4:$4,-1),1,1)),"양호")</f>
        <v>0</v>
      </c>
      <c r="I77" s="47">
        <f ca="1">COUNTIF($L77:INDIRECT(ADDRESS(ROW(),MATCH("",$4:$4,-1),1,1)),"신규")</f>
        <v>0</v>
      </c>
      <c r="J77" s="47">
        <f ca="1">COUNTIF($L77:INDIRECT(ADDRESS(ROW(),MATCH("",$4:$4,-1),1,1)),"조치")</f>
        <v>0</v>
      </c>
      <c r="K77" s="47">
        <f ca="1">COUNTIF($L77:INDIRECT(ADDRESS(ROW(),MATCH("",$4:$4,-1),1,1)),"미조치")</f>
        <v>0</v>
      </c>
      <c r="L77" s="49" t="str">
        <f ca="1">IFERROR(fn_Compare(ADDRESS(ROW(),COLUMN())),"")</f>
        <v/>
      </c>
      <c r="M77" s="49" t="str">
        <f ca="1">IFERROR(fn_Compare(ADDRESS(ROW(),COLUMN())),"")</f>
        <v/>
      </c>
      <c r="N77" s="98" t="str">
        <f ca="1">IFERROR(fn_Compare(ADDRESS(ROW(),COLUMN())),"")</f>
        <v/>
      </c>
    </row>
    <row r="78" spans="1:14" ht="16.5" customHeight="1">
      <c r="A78" s="165" t="s">
        <v>742</v>
      </c>
      <c r="B78" s="94" t="s">
        <v>595</v>
      </c>
      <c r="C78" s="90" t="s">
        <v>596</v>
      </c>
      <c r="D78" s="77" t="s">
        <v>743</v>
      </c>
      <c r="E78" s="77">
        <v>3</v>
      </c>
      <c r="F78" s="47">
        <f ca="1">COUNTA($L78:INDIRECT(ADDRESS(ROW(),MATCH("",$4:$4,-1),1,1)))</f>
        <v>2</v>
      </c>
      <c r="G78" s="47">
        <f t="shared" ca="1" si="1"/>
        <v>2</v>
      </c>
      <c r="H78" s="47">
        <f ca="1">COUNTIF($L78:INDIRECT(ADDRESS(ROW(),MATCH("",$4:$4,-1),1,1)),"양호")</f>
        <v>0</v>
      </c>
      <c r="I78" s="47">
        <f ca="1">COUNTIF($L78:INDIRECT(ADDRESS(ROW(),MATCH("",$4:$4,-1),1,1)),"신규")</f>
        <v>0</v>
      </c>
      <c r="J78" s="47">
        <f ca="1">COUNTIF($L78:INDIRECT(ADDRESS(ROW(),MATCH("",$4:$4,-1),1,1)),"조치")</f>
        <v>0</v>
      </c>
      <c r="K78" s="47">
        <f ca="1">COUNTIF($L78:INDIRECT(ADDRESS(ROW(),MATCH("",$4:$4,-1),1,1)),"미조치")</f>
        <v>0</v>
      </c>
      <c r="L78" s="49" t="str">
        <f ca="1">IFERROR(fn_Compare(ADDRESS(ROW(),COLUMN())),"")</f>
        <v/>
      </c>
      <c r="M78" s="49" t="str">
        <f ca="1">IFERROR(fn_Compare(ADDRESS(ROW(),COLUMN())),"")</f>
        <v/>
      </c>
      <c r="N78" s="98" t="str">
        <f ca="1">IFERROR(fn_Compare(ADDRESS(ROW(),COLUMN())),"")</f>
        <v/>
      </c>
    </row>
    <row r="79" spans="1:14" ht="16.5" customHeight="1">
      <c r="A79" s="165" t="s">
        <v>742</v>
      </c>
      <c r="B79" s="94" t="s">
        <v>602</v>
      </c>
      <c r="C79" s="90" t="s">
        <v>603</v>
      </c>
      <c r="D79" s="77" t="s">
        <v>743</v>
      </c>
      <c r="E79" s="77">
        <v>3</v>
      </c>
      <c r="F79" s="47">
        <f ca="1">COUNTA($L79:INDIRECT(ADDRESS(ROW(),MATCH("",$4:$4,-1),1,1)))</f>
        <v>2</v>
      </c>
      <c r="G79" s="47">
        <f t="shared" ca="1" si="1"/>
        <v>2</v>
      </c>
      <c r="H79" s="47">
        <f ca="1">COUNTIF($L79:INDIRECT(ADDRESS(ROW(),MATCH("",$4:$4,-1),1,1)),"양호")</f>
        <v>0</v>
      </c>
      <c r="I79" s="47">
        <f ca="1">COUNTIF($L79:INDIRECT(ADDRESS(ROW(),MATCH("",$4:$4,-1),1,1)),"신규")</f>
        <v>0</v>
      </c>
      <c r="J79" s="47">
        <f ca="1">COUNTIF($L79:INDIRECT(ADDRESS(ROW(),MATCH("",$4:$4,-1),1,1)),"조치")</f>
        <v>0</v>
      </c>
      <c r="K79" s="47">
        <f ca="1">COUNTIF($L79:INDIRECT(ADDRESS(ROW(),MATCH("",$4:$4,-1),1,1)),"미조치")</f>
        <v>0</v>
      </c>
      <c r="L79" s="49" t="str">
        <f ca="1">IFERROR(fn_Compare(ADDRESS(ROW(),COLUMN())),"")</f>
        <v/>
      </c>
      <c r="M79" s="49" t="str">
        <f ca="1">IFERROR(fn_Compare(ADDRESS(ROW(),COLUMN())),"")</f>
        <v/>
      </c>
      <c r="N79" s="98" t="str">
        <f ca="1">IFERROR(fn_Compare(ADDRESS(ROW(),COLUMN())),"")</f>
        <v/>
      </c>
    </row>
    <row r="80" spans="1:14" ht="16.5" customHeight="1">
      <c r="A80" s="165" t="s">
        <v>742</v>
      </c>
      <c r="B80" s="94" t="s">
        <v>609</v>
      </c>
      <c r="C80" s="90" t="s">
        <v>610</v>
      </c>
      <c r="D80" s="77" t="s">
        <v>743</v>
      </c>
      <c r="E80" s="77">
        <v>3</v>
      </c>
      <c r="F80" s="47">
        <f ca="1">COUNTA($L80:INDIRECT(ADDRESS(ROW(),MATCH("",$4:$4,-1),1,1)))</f>
        <v>2</v>
      </c>
      <c r="G80" s="47">
        <f t="shared" ca="1" si="1"/>
        <v>2</v>
      </c>
      <c r="H80" s="47">
        <f ca="1">COUNTIF($L80:INDIRECT(ADDRESS(ROW(),MATCH("",$4:$4,-1),1,1)),"양호")</f>
        <v>0</v>
      </c>
      <c r="I80" s="47">
        <f ca="1">COUNTIF($L80:INDIRECT(ADDRESS(ROW(),MATCH("",$4:$4,-1),1,1)),"신규")</f>
        <v>0</v>
      </c>
      <c r="J80" s="47">
        <f ca="1">COUNTIF($L80:INDIRECT(ADDRESS(ROW(),MATCH("",$4:$4,-1),1,1)),"조치")</f>
        <v>0</v>
      </c>
      <c r="K80" s="47">
        <f ca="1">COUNTIF($L80:INDIRECT(ADDRESS(ROW(),MATCH("",$4:$4,-1),1,1)),"미조치")</f>
        <v>0</v>
      </c>
      <c r="L80" s="49" t="str">
        <f ca="1">IFERROR(fn_Compare(ADDRESS(ROW(),COLUMN())),"")</f>
        <v/>
      </c>
      <c r="M80" s="49" t="str">
        <f ca="1">IFERROR(fn_Compare(ADDRESS(ROW(),COLUMN())),"")</f>
        <v/>
      </c>
      <c r="N80" s="98" t="str">
        <f ca="1">IFERROR(fn_Compare(ADDRESS(ROW(),COLUMN())),"")</f>
        <v/>
      </c>
    </row>
    <row r="81" spans="1:14" ht="16.5" customHeight="1">
      <c r="A81" s="165" t="s">
        <v>742</v>
      </c>
      <c r="B81" s="94" t="s">
        <v>615</v>
      </c>
      <c r="C81" s="90" t="s">
        <v>616</v>
      </c>
      <c r="D81" s="77" t="s">
        <v>744</v>
      </c>
      <c r="E81" s="77">
        <v>1</v>
      </c>
      <c r="F81" s="47">
        <f ca="1">COUNTA($L81:INDIRECT(ADDRESS(ROW(),MATCH("",$4:$4,-1),1,1)))</f>
        <v>2</v>
      </c>
      <c r="G81" s="47">
        <f t="shared" ca="1" si="1"/>
        <v>2</v>
      </c>
      <c r="H81" s="47">
        <f ca="1">COUNTIF($L81:INDIRECT(ADDRESS(ROW(),MATCH("",$4:$4,-1),1,1)),"양호")</f>
        <v>0</v>
      </c>
      <c r="I81" s="47">
        <f ca="1">COUNTIF($L81:INDIRECT(ADDRESS(ROW(),MATCH("",$4:$4,-1),1,1)),"신규")</f>
        <v>0</v>
      </c>
      <c r="J81" s="47">
        <f ca="1">COUNTIF($L81:INDIRECT(ADDRESS(ROW(),MATCH("",$4:$4,-1),1,1)),"조치")</f>
        <v>0</v>
      </c>
      <c r="K81" s="47">
        <f ca="1">COUNTIF($L81:INDIRECT(ADDRESS(ROW(),MATCH("",$4:$4,-1),1,1)),"미조치")</f>
        <v>0</v>
      </c>
      <c r="L81" s="49" t="str">
        <f ca="1">IFERROR(fn_Compare(ADDRESS(ROW(),COLUMN())),"")</f>
        <v/>
      </c>
      <c r="M81" s="49" t="str">
        <f ca="1">IFERROR(fn_Compare(ADDRESS(ROW(),COLUMN())),"")</f>
        <v/>
      </c>
      <c r="N81" s="98" t="str">
        <f ca="1">IFERROR(fn_Compare(ADDRESS(ROW(),COLUMN())),"")</f>
        <v/>
      </c>
    </row>
    <row r="82" spans="1:14" ht="16.5" customHeight="1">
      <c r="A82" s="165" t="s">
        <v>742</v>
      </c>
      <c r="B82" s="94" t="s">
        <v>622</v>
      </c>
      <c r="C82" s="90" t="s">
        <v>623</v>
      </c>
      <c r="D82" s="77" t="s">
        <v>744</v>
      </c>
      <c r="E82" s="77">
        <v>1</v>
      </c>
      <c r="F82" s="47">
        <f ca="1">COUNTA($L82:INDIRECT(ADDRESS(ROW(),MATCH("",$4:$4,-1),1,1)))</f>
        <v>2</v>
      </c>
      <c r="G82" s="47">
        <f t="shared" ca="1" si="1"/>
        <v>2</v>
      </c>
      <c r="H82" s="47">
        <f ca="1">COUNTIF($L82:INDIRECT(ADDRESS(ROW(),MATCH("",$4:$4,-1),1,1)),"양호")</f>
        <v>0</v>
      </c>
      <c r="I82" s="47">
        <f ca="1">COUNTIF($L82:INDIRECT(ADDRESS(ROW(),MATCH("",$4:$4,-1),1,1)),"신규")</f>
        <v>0</v>
      </c>
      <c r="J82" s="47">
        <f ca="1">COUNTIF($L82:INDIRECT(ADDRESS(ROW(),MATCH("",$4:$4,-1),1,1)),"조치")</f>
        <v>0</v>
      </c>
      <c r="K82" s="47">
        <f ca="1">COUNTIF($L82:INDIRECT(ADDRESS(ROW(),MATCH("",$4:$4,-1),1,1)),"미조치")</f>
        <v>0</v>
      </c>
      <c r="L82" s="49" t="str">
        <f ca="1">IFERROR(fn_Compare(ADDRESS(ROW(),COLUMN())),"")</f>
        <v/>
      </c>
      <c r="M82" s="49" t="str">
        <f ca="1">IFERROR(fn_Compare(ADDRESS(ROW(),COLUMN())),"")</f>
        <v/>
      </c>
      <c r="N82" s="98" t="str">
        <f ca="1">IFERROR(fn_Compare(ADDRESS(ROW(),COLUMN())),"")</f>
        <v/>
      </c>
    </row>
    <row r="83" spans="1:14" ht="16.5" customHeight="1">
      <c r="A83" s="165" t="s">
        <v>742</v>
      </c>
      <c r="B83" s="94" t="s">
        <v>628</v>
      </c>
      <c r="C83" s="90" t="s">
        <v>629</v>
      </c>
      <c r="D83" s="77" t="s">
        <v>744</v>
      </c>
      <c r="E83" s="77">
        <v>1</v>
      </c>
      <c r="F83" s="47">
        <f ca="1">COUNTA($L83:INDIRECT(ADDRESS(ROW(),MATCH("",$4:$4,-1),1,1)))</f>
        <v>2</v>
      </c>
      <c r="G83" s="47">
        <f t="shared" ca="1" si="1"/>
        <v>2</v>
      </c>
      <c r="H83" s="47">
        <f ca="1">COUNTIF($L83:INDIRECT(ADDRESS(ROW(),MATCH("",$4:$4,-1),1,1)),"양호")</f>
        <v>0</v>
      </c>
      <c r="I83" s="47">
        <f ca="1">COUNTIF($L83:INDIRECT(ADDRESS(ROW(),MATCH("",$4:$4,-1),1,1)),"신규")</f>
        <v>0</v>
      </c>
      <c r="J83" s="47">
        <f ca="1">COUNTIF($L83:INDIRECT(ADDRESS(ROW(),MATCH("",$4:$4,-1),1,1)),"조치")</f>
        <v>0</v>
      </c>
      <c r="K83" s="47">
        <f ca="1">COUNTIF($L83:INDIRECT(ADDRESS(ROW(),MATCH("",$4:$4,-1),1,1)),"미조치")</f>
        <v>0</v>
      </c>
      <c r="L83" s="49" t="str">
        <f ca="1">IFERROR(fn_Compare(ADDRESS(ROW(),COLUMN())),"")</f>
        <v/>
      </c>
      <c r="M83" s="49" t="str">
        <f ca="1">IFERROR(fn_Compare(ADDRESS(ROW(),COLUMN())),"")</f>
        <v/>
      </c>
      <c r="N83" s="98" t="str">
        <f ca="1">IFERROR(fn_Compare(ADDRESS(ROW(),COLUMN())),"")</f>
        <v/>
      </c>
    </row>
    <row r="84" spans="1:14" ht="16.5" customHeight="1">
      <c r="A84" s="165" t="s">
        <v>742</v>
      </c>
      <c r="B84" s="94" t="s">
        <v>635</v>
      </c>
      <c r="C84" s="90" t="s">
        <v>636</v>
      </c>
      <c r="D84" s="77" t="s">
        <v>744</v>
      </c>
      <c r="E84" s="77">
        <v>1</v>
      </c>
      <c r="F84" s="47">
        <f ca="1">COUNTA($L84:INDIRECT(ADDRESS(ROW(),MATCH("",$4:$4,-1),1,1)))</f>
        <v>2</v>
      </c>
      <c r="G84" s="47">
        <f t="shared" ca="1" si="1"/>
        <v>2</v>
      </c>
      <c r="H84" s="47">
        <f ca="1">COUNTIF($L84:INDIRECT(ADDRESS(ROW(),MATCH("",$4:$4,-1),1,1)),"양호")</f>
        <v>0</v>
      </c>
      <c r="I84" s="47">
        <f ca="1">COUNTIF($L84:INDIRECT(ADDRESS(ROW(),MATCH("",$4:$4,-1),1,1)),"신규")</f>
        <v>0</v>
      </c>
      <c r="J84" s="47">
        <f ca="1">COUNTIF($L84:INDIRECT(ADDRESS(ROW(),MATCH("",$4:$4,-1),1,1)),"조치")</f>
        <v>0</v>
      </c>
      <c r="K84" s="47">
        <f ca="1">COUNTIF($L84:INDIRECT(ADDRESS(ROW(),MATCH("",$4:$4,-1),1,1)),"미조치")</f>
        <v>0</v>
      </c>
      <c r="L84" s="49" t="str">
        <f ca="1">IFERROR(fn_Compare(ADDRESS(ROW(),COLUMN())),"")</f>
        <v/>
      </c>
      <c r="M84" s="49" t="str">
        <f ca="1">IFERROR(fn_Compare(ADDRESS(ROW(),COLUMN())),"")</f>
        <v/>
      </c>
      <c r="N84" s="98" t="str">
        <f ca="1">IFERROR(fn_Compare(ADDRESS(ROW(),COLUMN())),"")</f>
        <v/>
      </c>
    </row>
    <row r="85" spans="1:14" ht="16.5" customHeight="1">
      <c r="A85" s="165" t="s">
        <v>742</v>
      </c>
      <c r="B85" s="94" t="s">
        <v>855</v>
      </c>
      <c r="C85" s="90" t="s">
        <v>642</v>
      </c>
      <c r="D85" s="77" t="s">
        <v>111</v>
      </c>
      <c r="E85" s="77">
        <v>3</v>
      </c>
      <c r="F85" s="47">
        <f ca="1">COUNTA($L85:INDIRECT(ADDRESS(ROW(),MATCH("",$4:$4,-1),1,1)))</f>
        <v>2</v>
      </c>
      <c r="G85" s="47">
        <f t="shared" ca="1" si="1"/>
        <v>2</v>
      </c>
      <c r="H85" s="47">
        <f ca="1">COUNTIF($L85:INDIRECT(ADDRESS(ROW(),MATCH("",$4:$4,-1),1,1)),"양호")</f>
        <v>0</v>
      </c>
      <c r="I85" s="47">
        <f ca="1">COUNTIF($L85:INDIRECT(ADDRESS(ROW(),MATCH("",$4:$4,-1),1,1)),"신규")</f>
        <v>0</v>
      </c>
      <c r="J85" s="47">
        <f ca="1">COUNTIF($L85:INDIRECT(ADDRESS(ROW(),MATCH("",$4:$4,-1),1,1)),"조치")</f>
        <v>0</v>
      </c>
      <c r="K85" s="47">
        <f ca="1">COUNTIF($L85:INDIRECT(ADDRESS(ROW(),MATCH("",$4:$4,-1),1,1)),"미조치")</f>
        <v>0</v>
      </c>
      <c r="L85" s="49" t="str">
        <f ca="1">IFERROR(fn_Compare(ADDRESS(ROW(),COLUMN())),"")</f>
        <v/>
      </c>
      <c r="M85" s="49" t="str">
        <f ca="1">IFERROR(fn_Compare(ADDRESS(ROW(),COLUMN())),"")</f>
        <v/>
      </c>
      <c r="N85" s="98" t="str">
        <f ca="1">IFERROR(fn_Compare(ADDRESS(ROW(),COLUMN())),"")</f>
        <v/>
      </c>
    </row>
    <row r="86" spans="1:14" ht="16.5" customHeight="1">
      <c r="A86" s="165" t="s">
        <v>742</v>
      </c>
      <c r="B86" s="94" t="s">
        <v>647</v>
      </c>
      <c r="C86" s="90" t="s">
        <v>648</v>
      </c>
      <c r="D86" s="77" t="s">
        <v>743</v>
      </c>
      <c r="E86" s="77">
        <v>3</v>
      </c>
      <c r="F86" s="47">
        <f ca="1">COUNTA($L86:INDIRECT(ADDRESS(ROW(),MATCH("",$4:$4,-1),1,1)))</f>
        <v>2</v>
      </c>
      <c r="G86" s="47">
        <f t="shared" ca="1" si="1"/>
        <v>2</v>
      </c>
      <c r="H86" s="47">
        <f ca="1">COUNTIF($L86:INDIRECT(ADDRESS(ROW(),MATCH("",$4:$4,-1),1,1)),"양호")</f>
        <v>0</v>
      </c>
      <c r="I86" s="47">
        <f ca="1">COUNTIF($L86:INDIRECT(ADDRESS(ROW(),MATCH("",$4:$4,-1),1,1)),"신규")</f>
        <v>0</v>
      </c>
      <c r="J86" s="47">
        <f ca="1">COUNTIF($L86:INDIRECT(ADDRESS(ROW(),MATCH("",$4:$4,-1),1,1)),"조치")</f>
        <v>0</v>
      </c>
      <c r="K86" s="47">
        <f ca="1">COUNTIF($L86:INDIRECT(ADDRESS(ROW(),MATCH("",$4:$4,-1),1,1)),"미조치")</f>
        <v>0</v>
      </c>
      <c r="L86" s="49" t="str">
        <f ca="1">IFERROR(fn_Compare(ADDRESS(ROW(),COLUMN())),"")</f>
        <v/>
      </c>
      <c r="M86" s="49" t="str">
        <f ca="1">IFERROR(fn_Compare(ADDRESS(ROW(),COLUMN())),"")</f>
        <v/>
      </c>
      <c r="N86" s="98" t="str">
        <f ca="1">IFERROR(fn_Compare(ADDRESS(ROW(),COLUMN())),"")</f>
        <v/>
      </c>
    </row>
    <row r="87" spans="1:14" ht="16.5" customHeight="1">
      <c r="A87" s="165" t="s">
        <v>742</v>
      </c>
      <c r="B87" s="94" t="s">
        <v>654</v>
      </c>
      <c r="C87" s="90" t="s">
        <v>655</v>
      </c>
      <c r="D87" s="77" t="s">
        <v>743</v>
      </c>
      <c r="E87" s="77">
        <v>3</v>
      </c>
      <c r="F87" s="47">
        <f ca="1">COUNTA($L87:INDIRECT(ADDRESS(ROW(),MATCH("",$4:$4,-1),1,1)))</f>
        <v>2</v>
      </c>
      <c r="G87" s="47">
        <f t="shared" ca="1" si="1"/>
        <v>2</v>
      </c>
      <c r="H87" s="47">
        <f ca="1">COUNTIF($L87:INDIRECT(ADDRESS(ROW(),MATCH("",$4:$4,-1),1,1)),"양호")</f>
        <v>0</v>
      </c>
      <c r="I87" s="47">
        <f ca="1">COUNTIF($L87:INDIRECT(ADDRESS(ROW(),MATCH("",$4:$4,-1),1,1)),"신규")</f>
        <v>0</v>
      </c>
      <c r="J87" s="47">
        <f ca="1">COUNTIF($L87:INDIRECT(ADDRESS(ROW(),MATCH("",$4:$4,-1),1,1)),"조치")</f>
        <v>0</v>
      </c>
      <c r="K87" s="47">
        <f ca="1">COUNTIF($L87:INDIRECT(ADDRESS(ROW(),MATCH("",$4:$4,-1),1,1)),"미조치")</f>
        <v>0</v>
      </c>
      <c r="L87" s="49" t="str">
        <f ca="1">IFERROR(fn_Compare(ADDRESS(ROW(),COLUMN())),"")</f>
        <v/>
      </c>
      <c r="M87" s="49" t="str">
        <f ca="1">IFERROR(fn_Compare(ADDRESS(ROW(),COLUMN())),"")</f>
        <v/>
      </c>
      <c r="N87" s="98" t="str">
        <f ca="1">IFERROR(fn_Compare(ADDRESS(ROW(),COLUMN())),"")</f>
        <v/>
      </c>
    </row>
    <row r="88" spans="1:14" ht="16.5" customHeight="1" thickBot="1">
      <c r="A88" s="165" t="s">
        <v>742</v>
      </c>
      <c r="B88" s="94" t="s">
        <v>660</v>
      </c>
      <c r="C88" s="90" t="s">
        <v>661</v>
      </c>
      <c r="D88" s="77" t="s">
        <v>744</v>
      </c>
      <c r="E88" s="77">
        <v>2</v>
      </c>
      <c r="F88" s="47">
        <f ca="1">COUNTA($L88:INDIRECT(ADDRESS(ROW(),MATCH("",$4:$4,-1),1,1)))</f>
        <v>2</v>
      </c>
      <c r="G88" s="47">
        <f t="shared" ca="1" si="1"/>
        <v>2</v>
      </c>
      <c r="H88" s="47">
        <f ca="1">COUNTIF($L88:INDIRECT(ADDRESS(ROW(),MATCH("",$4:$4,-1),1,1)),"양호")</f>
        <v>0</v>
      </c>
      <c r="I88" s="47">
        <f ca="1">COUNTIF($L88:INDIRECT(ADDRESS(ROW(),MATCH("",$4:$4,-1),1,1)),"신규")</f>
        <v>0</v>
      </c>
      <c r="J88" s="47">
        <f ca="1">COUNTIF($L88:INDIRECT(ADDRESS(ROW(),MATCH("",$4:$4,-1),1,1)),"조치")</f>
        <v>0</v>
      </c>
      <c r="K88" s="47">
        <f ca="1">COUNTIF($L88:INDIRECT(ADDRESS(ROW(),MATCH("",$4:$4,-1),1,1)),"미조치")</f>
        <v>0</v>
      </c>
      <c r="L88" s="49" t="str">
        <f ca="1">IFERROR(fn_Compare(ADDRESS(ROW(),COLUMN())),"")</f>
        <v/>
      </c>
      <c r="M88" s="49" t="str">
        <f ca="1">IFERROR(fn_Compare(ADDRESS(ROW(),COLUMN())),"")</f>
        <v/>
      </c>
      <c r="N88" s="98" t="str">
        <f ca="1">IFERROR(fn_Compare(ADDRESS(ROW(),COLUMN())),"")</f>
        <v/>
      </c>
    </row>
    <row r="89" spans="1:14" ht="17.25" thickBot="1">
      <c r="A89" s="453" t="s">
        <v>747</v>
      </c>
      <c r="B89" s="454"/>
      <c r="C89" s="454"/>
      <c r="D89" s="454"/>
      <c r="E89" s="111">
        <f t="shared" ref="E89:K89" si="3">SUM(E6:E88)</f>
        <v>304</v>
      </c>
      <c r="F89" s="111">
        <f t="shared" ca="1" si="3"/>
        <v>166</v>
      </c>
      <c r="G89" s="111">
        <f t="shared" ca="1" si="3"/>
        <v>166</v>
      </c>
      <c r="H89" s="111">
        <f t="shared" ca="1" si="3"/>
        <v>0</v>
      </c>
      <c r="I89" s="111">
        <f t="shared" ca="1" si="3"/>
        <v>0</v>
      </c>
      <c r="J89" s="111">
        <f t="shared" ca="1" si="3"/>
        <v>0</v>
      </c>
      <c r="K89" s="111">
        <f t="shared" ca="1" si="3"/>
        <v>0</v>
      </c>
      <c r="L89" s="112">
        <f ca="1">COUNTIF(L6:L88,"양호")+COUNTIF(L6:L88,"신규")+COUNTIF(L6:L88,"조치")+COUNTIF(L6:L88,"미조치")</f>
        <v>0</v>
      </c>
      <c r="M89" s="112">
        <f ca="1">COUNTIF(M6:M88,"양호")+COUNTIF(M6:M88,"신규")+COUNTIF(M6:M88,"조치")+COUNTIF(M6:M88,"미조치")</f>
        <v>0</v>
      </c>
      <c r="N89" s="113">
        <f ca="1">COUNTIF(N6:N88,"양호")+COUNTIF(N6:N88,"신규")+COUNTIF(N6:N88,"조치")+COUNTIF(N6:N88,"미조치")</f>
        <v>0</v>
      </c>
    </row>
    <row r="90" spans="1:14" ht="17.25" thickBot="1">
      <c r="L90" s="114">
        <f ca="1">COUNTA(L6:L88)-(COUNTIF(L6:L88,"양호")+COUNTIF(L6:L88,"신규")+COUNTIF(L6:L88,"조치")+COUNTIF(L6:L88,"미조치"))</f>
        <v>83</v>
      </c>
      <c r="M90" s="115">
        <f ca="1">COUNTA(M6:M88)-(COUNTIF(M6:M88,"양호")+COUNTIF(M6:M88,"신규")+COUNTIF(M6:M88,"조치")+COUNTIF(M6:M88,"미조치"))</f>
        <v>83</v>
      </c>
      <c r="N90" s="116">
        <f ca="1">COUNTA(N6:N88)-(COUNTIF(N6:N88,"양호")+COUNTIF(N6:N88,"신규")+COUNTIF(N6:N88,"조치")+COUNTIF(N6:N88,"미조치"))</f>
        <v>83</v>
      </c>
    </row>
    <row r="91" spans="1:14" ht="17.25" thickBot="1">
      <c r="L91" s="52"/>
      <c r="M91" s="52"/>
      <c r="N91" s="52"/>
    </row>
    <row r="92" spans="1:14">
      <c r="I92" s="478" t="s">
        <v>757</v>
      </c>
      <c r="J92" s="17" t="s">
        <v>739</v>
      </c>
      <c r="K92" s="11">
        <f ca="1">SUM(L92:N92)</f>
        <v>0</v>
      </c>
      <c r="L92" s="32">
        <f t="shared" ref="L92:N95" ca="1" si="4">COUNTIF(L$6:L$88,$J92)</f>
        <v>0</v>
      </c>
      <c r="M92" s="12">
        <f t="shared" ca="1" si="4"/>
        <v>0</v>
      </c>
      <c r="N92" s="17">
        <f t="shared" ca="1" si="4"/>
        <v>0</v>
      </c>
    </row>
    <row r="93" spans="1:14">
      <c r="I93" s="479"/>
      <c r="J93" s="25" t="s">
        <v>754</v>
      </c>
      <c r="K93" s="13">
        <f ca="1">SUM(L93:N93)</f>
        <v>0</v>
      </c>
      <c r="L93" s="18">
        <f t="shared" ca="1" si="4"/>
        <v>0</v>
      </c>
      <c r="M93" s="14">
        <f t="shared" ca="1" si="4"/>
        <v>0</v>
      </c>
      <c r="N93" s="19">
        <f t="shared" ca="1" si="4"/>
        <v>0</v>
      </c>
    </row>
    <row r="94" spans="1:14">
      <c r="I94" s="479"/>
      <c r="J94" s="26" t="s">
        <v>755</v>
      </c>
      <c r="K94" s="13">
        <f ca="1">SUM(L94:N94)</f>
        <v>0</v>
      </c>
      <c r="L94" s="18">
        <f t="shared" ca="1" si="4"/>
        <v>0</v>
      </c>
      <c r="M94" s="14">
        <f t="shared" ca="1" si="4"/>
        <v>0</v>
      </c>
      <c r="N94" s="19">
        <f t="shared" ca="1" si="4"/>
        <v>0</v>
      </c>
    </row>
    <row r="95" spans="1:14">
      <c r="I95" s="479"/>
      <c r="J95" s="27" t="s">
        <v>756</v>
      </c>
      <c r="K95" s="28">
        <f ca="1">SUM(L95:N95)</f>
        <v>0</v>
      </c>
      <c r="L95" s="29">
        <f t="shared" ca="1" si="4"/>
        <v>0</v>
      </c>
      <c r="M95" s="30">
        <f t="shared" ca="1" si="4"/>
        <v>0</v>
      </c>
      <c r="N95" s="31">
        <f t="shared" ca="1" si="4"/>
        <v>0</v>
      </c>
    </row>
    <row r="96" spans="1:14" ht="17.25" thickBot="1">
      <c r="I96" s="480"/>
      <c r="J96" s="20" t="s">
        <v>758</v>
      </c>
      <c r="K96" s="15">
        <f ca="1">SUM(L96:N96)</f>
        <v>0</v>
      </c>
      <c r="L96" s="24">
        <f ca="1">IF(L89=0,0,L90)</f>
        <v>0</v>
      </c>
      <c r="M96" s="16">
        <f t="shared" ref="M96:N96" ca="1" si="5">IF(M89=0,0,M90)</f>
        <v>0</v>
      </c>
      <c r="N96" s="20">
        <f t="shared" ca="1" si="5"/>
        <v>0</v>
      </c>
    </row>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sheetData>
  <mergeCells count="9">
    <mergeCell ref="M4:M5"/>
    <mergeCell ref="N4:N5"/>
    <mergeCell ref="I92:I96"/>
    <mergeCell ref="A89:D89"/>
    <mergeCell ref="A4:C4"/>
    <mergeCell ref="D4:D5"/>
    <mergeCell ref="E4:E5"/>
    <mergeCell ref="F4:K4"/>
    <mergeCell ref="L4:L5"/>
  </mergeCells>
  <phoneticPr fontId="1" type="noConversion"/>
  <conditionalFormatting sqref="L86:N88">
    <cfRule type="cellIs" dxfId="49" priority="17" stopIfTrue="1" operator="equal">
      <formula>"미조치"</formula>
    </cfRule>
    <cfRule type="cellIs" dxfId="48" priority="19" stopIfTrue="1" operator="equal">
      <formula>"신규"</formula>
    </cfRule>
    <cfRule type="cellIs" dxfId="47" priority="20" stopIfTrue="1" operator="equal">
      <formula>"양호"</formula>
    </cfRule>
  </conditionalFormatting>
  <conditionalFormatting sqref="L86:N88">
    <cfRule type="cellIs" dxfId="46" priority="18" stopIfTrue="1" operator="equal">
      <formula>"조치"</formula>
    </cfRule>
  </conditionalFormatting>
  <conditionalFormatting sqref="L6:N88">
    <cfRule type="cellIs" dxfId="45" priority="5" stopIfTrue="1" operator="equal">
      <formula>"미조치"</formula>
    </cfRule>
    <cfRule type="cellIs" dxfId="44" priority="7" stopIfTrue="1" operator="equal">
      <formula>"신규"</formula>
    </cfRule>
    <cfRule type="cellIs" dxfId="43" priority="8" stopIfTrue="1" operator="equal">
      <formula>"양호"</formula>
    </cfRule>
  </conditionalFormatting>
  <conditionalFormatting sqref="L6:N88">
    <cfRule type="cellIs" dxfId="42" priority="6" stopIfTrue="1" operator="equal">
      <formula>"조치"</formula>
    </cfRule>
  </conditionalFormatting>
  <conditionalFormatting sqref="L85:N85">
    <cfRule type="cellIs" dxfId="41" priority="1" stopIfTrue="1" operator="equal">
      <formula>"미조치"</formula>
    </cfRule>
    <cfRule type="cellIs" dxfId="40" priority="3" stopIfTrue="1" operator="equal">
      <formula>"신규"</formula>
    </cfRule>
    <cfRule type="cellIs" dxfId="39" priority="4" stopIfTrue="1" operator="equal">
      <formula>"양호"</formula>
    </cfRule>
  </conditionalFormatting>
  <conditionalFormatting sqref="L85:N85">
    <cfRule type="cellIs" dxfId="38" priority="2" stopIfTrue="1" operator="equal">
      <formula>"조치"</formula>
    </cfRule>
  </conditionalFormatting>
  <printOptions horizontalCentered="1"/>
  <pageMargins left="0.7" right="0.7" top="0.75" bottom="0.75" header="0.3" footer="0.3"/>
  <pageSetup paperSize="9" scale="32" fitToWidth="0"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030A0"/>
    <pageSetUpPr fitToPage="1"/>
  </sheetPr>
  <dimension ref="A1:N157"/>
  <sheetViews>
    <sheetView showGridLines="0" view="pageBreakPreview" zoomScale="85" zoomScaleNormal="85" zoomScaleSheetLayoutView="85" workbookViewId="0">
      <pane ySplit="6" topLeftCell="A7" activePane="bottomLeft" state="frozen"/>
      <selection pane="bottomLeft"/>
    </sheetView>
  </sheetViews>
  <sheetFormatPr defaultColWidth="10" defaultRowHeight="13.5"/>
  <cols>
    <col min="1" max="1" width="5" style="5" bestFit="1" customWidth="1"/>
    <col min="2" max="2" width="5" style="5" customWidth="1"/>
    <col min="3" max="3" width="8.25" style="5" bestFit="1" customWidth="1"/>
    <col min="4" max="4" width="30.625" style="5" customWidth="1"/>
    <col min="5" max="14" width="6.625" style="5" customWidth="1"/>
    <col min="15" max="25" width="10" style="5"/>
    <col min="26" max="26" width="2.625" style="5" customWidth="1"/>
    <col min="27" max="16384" width="10" style="5"/>
  </cols>
  <sheetData>
    <row r="1" spans="1:14" s="60" customFormat="1" ht="16.5" customHeight="1">
      <c r="A1" s="61"/>
      <c r="E1" s="483" t="s">
        <v>759</v>
      </c>
      <c r="F1" s="484"/>
      <c r="G1" s="484"/>
      <c r="H1" s="484"/>
      <c r="I1" s="484"/>
      <c r="J1" s="484"/>
      <c r="K1" s="484"/>
      <c r="L1" s="484"/>
      <c r="M1" s="484"/>
      <c r="N1" s="485"/>
    </row>
    <row r="2" spans="1:14" s="60" customFormat="1" ht="16.5">
      <c r="E2" s="486" t="s">
        <v>760</v>
      </c>
      <c r="F2" s="487"/>
      <c r="G2" s="487"/>
      <c r="H2" s="487"/>
      <c r="I2" s="487"/>
      <c r="J2" s="487"/>
      <c r="K2" s="487"/>
      <c r="L2" s="487"/>
      <c r="M2" s="487"/>
      <c r="N2" s="488"/>
    </row>
    <row r="3" spans="1:14" s="60" customFormat="1" ht="16.5">
      <c r="E3" s="486" t="s">
        <v>761</v>
      </c>
      <c r="F3" s="487"/>
      <c r="G3" s="487"/>
      <c r="H3" s="487"/>
      <c r="I3" s="487"/>
      <c r="J3" s="487"/>
      <c r="K3" s="487"/>
      <c r="L3" s="487"/>
      <c r="M3" s="487"/>
      <c r="N3" s="488"/>
    </row>
    <row r="4" spans="1:14" s="60" customFormat="1" ht="17.25" thickBot="1">
      <c r="E4" s="486" t="s">
        <v>762</v>
      </c>
      <c r="F4" s="487"/>
      <c r="G4" s="487"/>
      <c r="H4" s="487"/>
      <c r="I4" s="487"/>
      <c r="J4" s="487"/>
      <c r="K4" s="487"/>
      <c r="L4" s="487"/>
      <c r="M4" s="487"/>
      <c r="N4" s="488"/>
    </row>
    <row r="5" spans="1:14" s="60" customFormat="1" ht="17.100000000000001" customHeight="1">
      <c r="A5" s="481" t="s">
        <v>685</v>
      </c>
      <c r="B5" s="489" t="s">
        <v>41</v>
      </c>
      <c r="C5" s="489"/>
      <c r="D5" s="489"/>
      <c r="E5" s="489" t="s">
        <v>763</v>
      </c>
      <c r="F5" s="489"/>
      <c r="G5" s="489"/>
      <c r="H5" s="489"/>
      <c r="I5" s="489"/>
      <c r="J5" s="489"/>
      <c r="K5" s="489"/>
      <c r="L5" s="489"/>
      <c r="M5" s="489"/>
      <c r="N5" s="490"/>
    </row>
    <row r="6" spans="1:14" ht="27.75" customHeight="1" thickBot="1">
      <c r="A6" s="482"/>
      <c r="B6" s="121" t="s">
        <v>93</v>
      </c>
      <c r="C6" s="121" t="s">
        <v>736</v>
      </c>
      <c r="D6" s="121" t="s">
        <v>764</v>
      </c>
      <c r="E6" s="121" t="s">
        <v>765</v>
      </c>
      <c r="F6" s="121" t="s">
        <v>765</v>
      </c>
      <c r="G6" s="121" t="s">
        <v>765</v>
      </c>
      <c r="H6" s="121" t="s">
        <v>765</v>
      </c>
      <c r="I6" s="121" t="s">
        <v>765</v>
      </c>
      <c r="J6" s="121" t="s">
        <v>765</v>
      </c>
      <c r="K6" s="121" t="s">
        <v>765</v>
      </c>
      <c r="L6" s="121" t="s">
        <v>765</v>
      </c>
      <c r="M6" s="121" t="s">
        <v>765</v>
      </c>
      <c r="N6" s="122" t="s">
        <v>765</v>
      </c>
    </row>
    <row r="7" spans="1:14" ht="13.5" customHeight="1">
      <c r="A7" s="206">
        <v>1</v>
      </c>
      <c r="B7" s="224" t="s">
        <v>742</v>
      </c>
      <c r="C7" s="225" t="s">
        <v>110</v>
      </c>
      <c r="D7" s="207" t="s">
        <v>893</v>
      </c>
      <c r="E7" s="208"/>
      <c r="F7" s="208"/>
      <c r="G7" s="208"/>
      <c r="H7" s="208"/>
      <c r="I7" s="208"/>
      <c r="J7" s="208"/>
      <c r="K7" s="209"/>
      <c r="L7" s="209"/>
      <c r="M7" s="209"/>
      <c r="N7" s="210"/>
    </row>
    <row r="8" spans="1:14" ht="13.5" customHeight="1">
      <c r="A8" s="123">
        <v>2</v>
      </c>
      <c r="B8" s="226" t="s">
        <v>742</v>
      </c>
      <c r="C8" s="227" t="s">
        <v>116</v>
      </c>
      <c r="D8" s="181" t="s">
        <v>885</v>
      </c>
      <c r="E8" s="58"/>
      <c r="F8" s="58"/>
      <c r="G8" s="58"/>
      <c r="H8" s="58"/>
      <c r="I8" s="58"/>
      <c r="J8" s="58"/>
      <c r="K8" s="59"/>
      <c r="L8" s="59"/>
      <c r="M8" s="59"/>
      <c r="N8" s="124"/>
    </row>
    <row r="9" spans="1:14" ht="13.5" customHeight="1">
      <c r="A9" s="125">
        <v>3</v>
      </c>
      <c r="B9" s="226" t="s">
        <v>742</v>
      </c>
      <c r="C9" s="227" t="s">
        <v>118</v>
      </c>
      <c r="D9" s="181" t="s">
        <v>119</v>
      </c>
      <c r="E9" s="58"/>
      <c r="F9" s="58"/>
      <c r="G9" s="58"/>
      <c r="H9" s="58"/>
      <c r="I9" s="58"/>
      <c r="J9" s="58"/>
      <c r="K9" s="59"/>
      <c r="L9" s="59"/>
      <c r="M9" s="59"/>
      <c r="N9" s="124"/>
    </row>
    <row r="10" spans="1:14" ht="13.5" customHeight="1">
      <c r="A10" s="123">
        <v>4</v>
      </c>
      <c r="B10" s="226" t="s">
        <v>742</v>
      </c>
      <c r="C10" s="227" t="s">
        <v>125</v>
      </c>
      <c r="D10" s="181" t="s">
        <v>126</v>
      </c>
      <c r="E10" s="58"/>
      <c r="F10" s="58"/>
      <c r="G10" s="58"/>
      <c r="H10" s="58"/>
      <c r="I10" s="58"/>
      <c r="J10" s="58"/>
      <c r="K10" s="59"/>
      <c r="L10" s="59"/>
      <c r="M10" s="59"/>
      <c r="N10" s="124"/>
    </row>
    <row r="11" spans="1:14" ht="13.5" customHeight="1">
      <c r="A11" s="125">
        <v>5</v>
      </c>
      <c r="B11" s="226" t="s">
        <v>742</v>
      </c>
      <c r="C11" s="227" t="s">
        <v>133</v>
      </c>
      <c r="D11" s="181" t="s">
        <v>134</v>
      </c>
      <c r="E11" s="58"/>
      <c r="F11" s="58"/>
      <c r="G11" s="58"/>
      <c r="H11" s="58"/>
      <c r="I11" s="58"/>
      <c r="J11" s="58"/>
      <c r="K11" s="59"/>
      <c r="L11" s="59"/>
      <c r="M11" s="59"/>
      <c r="N11" s="124"/>
    </row>
    <row r="12" spans="1:14" ht="13.5" customHeight="1">
      <c r="A12" s="123">
        <v>6</v>
      </c>
      <c r="B12" s="226" t="s">
        <v>742</v>
      </c>
      <c r="C12" s="227" t="s">
        <v>140</v>
      </c>
      <c r="D12" s="181" t="s">
        <v>141</v>
      </c>
      <c r="E12" s="58"/>
      <c r="F12" s="58"/>
      <c r="G12" s="58"/>
      <c r="H12" s="58"/>
      <c r="I12" s="58"/>
      <c r="J12" s="58"/>
      <c r="K12" s="59"/>
      <c r="L12" s="59"/>
      <c r="M12" s="59"/>
      <c r="N12" s="124"/>
    </row>
    <row r="13" spans="1:14" ht="13.5" customHeight="1">
      <c r="A13" s="125">
        <v>7</v>
      </c>
      <c r="B13" s="226" t="s">
        <v>742</v>
      </c>
      <c r="C13" s="227" t="s">
        <v>148</v>
      </c>
      <c r="D13" s="181" t="s">
        <v>149</v>
      </c>
      <c r="E13" s="58"/>
      <c r="F13" s="58"/>
      <c r="G13" s="58"/>
      <c r="H13" s="58"/>
      <c r="I13" s="58"/>
      <c r="J13" s="58"/>
      <c r="K13" s="59"/>
      <c r="L13" s="59"/>
      <c r="M13" s="59"/>
      <c r="N13" s="124"/>
    </row>
    <row r="14" spans="1:14" ht="13.5" customHeight="1">
      <c r="A14" s="123">
        <v>8</v>
      </c>
      <c r="B14" s="226" t="s">
        <v>742</v>
      </c>
      <c r="C14" s="227" t="s">
        <v>154</v>
      </c>
      <c r="D14" s="181" t="s">
        <v>155</v>
      </c>
      <c r="E14" s="58"/>
      <c r="F14" s="58"/>
      <c r="G14" s="58"/>
      <c r="H14" s="58"/>
      <c r="I14" s="58"/>
      <c r="J14" s="58"/>
      <c r="K14" s="59"/>
      <c r="L14" s="59"/>
      <c r="M14" s="59"/>
      <c r="N14" s="124"/>
    </row>
    <row r="15" spans="1:14" ht="13.5" customHeight="1">
      <c r="A15" s="125">
        <v>9</v>
      </c>
      <c r="B15" s="226" t="s">
        <v>742</v>
      </c>
      <c r="C15" s="227" t="s">
        <v>161</v>
      </c>
      <c r="D15" s="181" t="s">
        <v>162</v>
      </c>
      <c r="E15" s="58"/>
      <c r="F15" s="58"/>
      <c r="G15" s="58"/>
      <c r="H15" s="58"/>
      <c r="I15" s="58"/>
      <c r="J15" s="58"/>
      <c r="K15" s="59"/>
      <c r="L15" s="59"/>
      <c r="M15" s="59"/>
      <c r="N15" s="124"/>
    </row>
    <row r="16" spans="1:14" ht="13.5" customHeight="1">
      <c r="A16" s="123">
        <v>10</v>
      </c>
      <c r="B16" s="226" t="s">
        <v>742</v>
      </c>
      <c r="C16" s="227" t="s">
        <v>169</v>
      </c>
      <c r="D16" s="181" t="s">
        <v>170</v>
      </c>
      <c r="E16" s="58"/>
      <c r="F16" s="58"/>
      <c r="G16" s="58"/>
      <c r="H16" s="58"/>
      <c r="I16" s="58"/>
      <c r="J16" s="58"/>
      <c r="K16" s="59"/>
      <c r="L16" s="59"/>
      <c r="M16" s="59"/>
      <c r="N16" s="124"/>
    </row>
    <row r="17" spans="1:14" ht="13.5" customHeight="1">
      <c r="A17" s="125">
        <v>11</v>
      </c>
      <c r="B17" s="226" t="s">
        <v>742</v>
      </c>
      <c r="C17" s="227" t="s">
        <v>176</v>
      </c>
      <c r="D17" s="181" t="s">
        <v>177</v>
      </c>
      <c r="E17" s="58"/>
      <c r="F17" s="58"/>
      <c r="G17" s="58"/>
      <c r="H17" s="58"/>
      <c r="I17" s="58"/>
      <c r="J17" s="58"/>
      <c r="K17" s="59"/>
      <c r="L17" s="59"/>
      <c r="M17" s="59"/>
      <c r="N17" s="124"/>
    </row>
    <row r="18" spans="1:14" ht="13.5" customHeight="1">
      <c r="A18" s="123">
        <v>12</v>
      </c>
      <c r="B18" s="226" t="s">
        <v>742</v>
      </c>
      <c r="C18" s="227" t="s">
        <v>182</v>
      </c>
      <c r="D18" s="181" t="s">
        <v>183</v>
      </c>
      <c r="E18" s="58"/>
      <c r="F18" s="58"/>
      <c r="G18" s="58"/>
      <c r="H18" s="58"/>
      <c r="I18" s="58"/>
      <c r="J18" s="58"/>
      <c r="K18" s="59"/>
      <c r="L18" s="59"/>
      <c r="M18" s="59"/>
      <c r="N18" s="124"/>
    </row>
    <row r="19" spans="1:14" ht="13.5" customHeight="1">
      <c r="A19" s="125">
        <v>13</v>
      </c>
      <c r="B19" s="226" t="s">
        <v>742</v>
      </c>
      <c r="C19" s="227" t="s">
        <v>190</v>
      </c>
      <c r="D19" s="181" t="s">
        <v>191</v>
      </c>
      <c r="E19" s="58"/>
      <c r="F19" s="58"/>
      <c r="G19" s="58"/>
      <c r="H19" s="58"/>
      <c r="I19" s="58"/>
      <c r="J19" s="58"/>
      <c r="K19" s="59"/>
      <c r="L19" s="59"/>
      <c r="M19" s="59"/>
      <c r="N19" s="124"/>
    </row>
    <row r="20" spans="1:14" ht="13.5" customHeight="1">
      <c r="A20" s="123">
        <v>14</v>
      </c>
      <c r="B20" s="226" t="s">
        <v>742</v>
      </c>
      <c r="C20" s="227" t="s">
        <v>197</v>
      </c>
      <c r="D20" s="181" t="s">
        <v>198</v>
      </c>
      <c r="E20" s="58"/>
      <c r="F20" s="58"/>
      <c r="G20" s="58"/>
      <c r="H20" s="58"/>
      <c r="I20" s="58"/>
      <c r="J20" s="58"/>
      <c r="K20" s="59"/>
      <c r="L20" s="59"/>
      <c r="M20" s="59"/>
      <c r="N20" s="124"/>
    </row>
    <row r="21" spans="1:14" ht="13.5" customHeight="1">
      <c r="A21" s="125">
        <v>15</v>
      </c>
      <c r="B21" s="226" t="s">
        <v>742</v>
      </c>
      <c r="C21" s="227" t="s">
        <v>205</v>
      </c>
      <c r="D21" s="181" t="s">
        <v>206</v>
      </c>
      <c r="E21" s="58"/>
      <c r="F21" s="58"/>
      <c r="G21" s="58"/>
      <c r="H21" s="58"/>
      <c r="I21" s="58"/>
      <c r="J21" s="58"/>
      <c r="K21" s="59"/>
      <c r="L21" s="59"/>
      <c r="M21" s="59"/>
      <c r="N21" s="124"/>
    </row>
    <row r="22" spans="1:14" ht="13.5" customHeight="1">
      <c r="A22" s="123">
        <v>16</v>
      </c>
      <c r="B22" s="226" t="s">
        <v>742</v>
      </c>
      <c r="C22" s="227" t="s">
        <v>212</v>
      </c>
      <c r="D22" s="181" t="s">
        <v>213</v>
      </c>
      <c r="E22" s="58"/>
      <c r="F22" s="58"/>
      <c r="G22" s="58"/>
      <c r="H22" s="58"/>
      <c r="I22" s="58"/>
      <c r="J22" s="58"/>
      <c r="K22" s="59"/>
      <c r="L22" s="59"/>
      <c r="M22" s="59"/>
      <c r="N22" s="124"/>
    </row>
    <row r="23" spans="1:14" ht="13.5" customHeight="1">
      <c r="A23" s="125">
        <v>17</v>
      </c>
      <c r="B23" s="226" t="s">
        <v>742</v>
      </c>
      <c r="C23" s="227" t="s">
        <v>218</v>
      </c>
      <c r="D23" s="181" t="s">
        <v>219</v>
      </c>
      <c r="E23" s="58"/>
      <c r="F23" s="58"/>
      <c r="G23" s="58"/>
      <c r="H23" s="58"/>
      <c r="I23" s="58"/>
      <c r="J23" s="58"/>
      <c r="K23" s="59"/>
      <c r="L23" s="59"/>
      <c r="M23" s="59"/>
      <c r="N23" s="124"/>
    </row>
    <row r="24" spans="1:14" ht="13.5" customHeight="1">
      <c r="A24" s="123">
        <v>18</v>
      </c>
      <c r="B24" s="226" t="s">
        <v>742</v>
      </c>
      <c r="C24" s="227" t="s">
        <v>225</v>
      </c>
      <c r="D24" s="181" t="s">
        <v>226</v>
      </c>
      <c r="E24" s="58"/>
      <c r="F24" s="58"/>
      <c r="G24" s="58"/>
      <c r="H24" s="58"/>
      <c r="I24" s="58"/>
      <c r="J24" s="58"/>
      <c r="K24" s="59"/>
      <c r="L24" s="59"/>
      <c r="M24" s="59"/>
      <c r="N24" s="124"/>
    </row>
    <row r="25" spans="1:14" ht="13.5" customHeight="1">
      <c r="A25" s="125">
        <v>19</v>
      </c>
      <c r="B25" s="226" t="s">
        <v>742</v>
      </c>
      <c r="C25" s="227" t="s">
        <v>232</v>
      </c>
      <c r="D25" s="181" t="s">
        <v>233</v>
      </c>
      <c r="E25" s="58"/>
      <c r="F25" s="58"/>
      <c r="G25" s="58"/>
      <c r="H25" s="58"/>
      <c r="I25" s="58"/>
      <c r="J25" s="58"/>
      <c r="K25" s="59"/>
      <c r="L25" s="59"/>
      <c r="M25" s="59"/>
      <c r="N25" s="124"/>
    </row>
    <row r="26" spans="1:14" ht="13.5" customHeight="1">
      <c r="A26" s="123">
        <v>20</v>
      </c>
      <c r="B26" s="226" t="s">
        <v>742</v>
      </c>
      <c r="C26" s="227" t="s">
        <v>239</v>
      </c>
      <c r="D26" s="181" t="s">
        <v>240</v>
      </c>
      <c r="E26" s="58"/>
      <c r="F26" s="58"/>
      <c r="G26" s="58"/>
      <c r="H26" s="58"/>
      <c r="I26" s="58"/>
      <c r="J26" s="58"/>
      <c r="K26" s="59"/>
      <c r="L26" s="59"/>
      <c r="M26" s="59"/>
      <c r="N26" s="124"/>
    </row>
    <row r="27" spans="1:14" ht="13.5" customHeight="1">
      <c r="A27" s="125">
        <v>21</v>
      </c>
      <c r="B27" s="226" t="s">
        <v>742</v>
      </c>
      <c r="C27" s="227" t="s">
        <v>246</v>
      </c>
      <c r="D27" s="181" t="s">
        <v>247</v>
      </c>
      <c r="E27" s="58"/>
      <c r="F27" s="58"/>
      <c r="G27" s="58"/>
      <c r="H27" s="58"/>
      <c r="I27" s="58"/>
      <c r="J27" s="58"/>
      <c r="K27" s="59"/>
      <c r="L27" s="59"/>
      <c r="M27" s="59"/>
      <c r="N27" s="124"/>
    </row>
    <row r="28" spans="1:14" ht="13.5" customHeight="1">
      <c r="A28" s="123">
        <v>22</v>
      </c>
      <c r="B28" s="226" t="s">
        <v>742</v>
      </c>
      <c r="C28" s="227" t="s">
        <v>253</v>
      </c>
      <c r="D28" s="181" t="s">
        <v>254</v>
      </c>
      <c r="E28" s="58"/>
      <c r="F28" s="58"/>
      <c r="G28" s="58"/>
      <c r="H28" s="58"/>
      <c r="I28" s="58"/>
      <c r="J28" s="58"/>
      <c r="K28" s="59"/>
      <c r="L28" s="59"/>
      <c r="M28" s="59"/>
      <c r="N28" s="124"/>
    </row>
    <row r="29" spans="1:14" ht="13.5" customHeight="1">
      <c r="A29" s="125">
        <v>23</v>
      </c>
      <c r="B29" s="226" t="s">
        <v>742</v>
      </c>
      <c r="C29" s="227" t="s">
        <v>260</v>
      </c>
      <c r="D29" s="181" t="s">
        <v>261</v>
      </c>
      <c r="E29" s="58"/>
      <c r="F29" s="58"/>
      <c r="G29" s="58"/>
      <c r="H29" s="58"/>
      <c r="I29" s="58"/>
      <c r="J29" s="58"/>
      <c r="K29" s="59"/>
      <c r="L29" s="59"/>
      <c r="M29" s="59"/>
      <c r="N29" s="124"/>
    </row>
    <row r="30" spans="1:14" ht="13.5" customHeight="1">
      <c r="A30" s="123">
        <v>24</v>
      </c>
      <c r="B30" s="226" t="s">
        <v>742</v>
      </c>
      <c r="C30" s="227" t="s">
        <v>267</v>
      </c>
      <c r="D30" s="181" t="s">
        <v>268</v>
      </c>
      <c r="E30" s="58"/>
      <c r="F30" s="58"/>
      <c r="G30" s="58"/>
      <c r="H30" s="58"/>
      <c r="I30" s="58"/>
      <c r="J30" s="58"/>
      <c r="K30" s="59"/>
      <c r="L30" s="59"/>
      <c r="M30" s="59"/>
      <c r="N30" s="124"/>
    </row>
    <row r="31" spans="1:14" ht="13.5" customHeight="1">
      <c r="A31" s="125">
        <v>25</v>
      </c>
      <c r="B31" s="226" t="s">
        <v>742</v>
      </c>
      <c r="C31" s="227" t="s">
        <v>274</v>
      </c>
      <c r="D31" s="181" t="s">
        <v>275</v>
      </c>
      <c r="E31" s="58"/>
      <c r="F31" s="58"/>
      <c r="G31" s="58"/>
      <c r="H31" s="58"/>
      <c r="I31" s="58"/>
      <c r="J31" s="58"/>
      <c r="K31" s="59"/>
      <c r="L31" s="59"/>
      <c r="M31" s="59"/>
      <c r="N31" s="124"/>
    </row>
    <row r="32" spans="1:14" ht="13.5" customHeight="1">
      <c r="A32" s="123">
        <v>26</v>
      </c>
      <c r="B32" s="226" t="s">
        <v>742</v>
      </c>
      <c r="C32" s="227" t="s">
        <v>280</v>
      </c>
      <c r="D32" s="181" t="s">
        <v>281</v>
      </c>
      <c r="E32" s="58"/>
      <c r="F32" s="58"/>
      <c r="G32" s="58"/>
      <c r="H32" s="58"/>
      <c r="I32" s="58"/>
      <c r="J32" s="58"/>
      <c r="K32" s="59"/>
      <c r="L32" s="59"/>
      <c r="M32" s="59"/>
      <c r="N32" s="124"/>
    </row>
    <row r="33" spans="1:14" ht="13.5" customHeight="1">
      <c r="A33" s="125">
        <v>27</v>
      </c>
      <c r="B33" s="226" t="s">
        <v>742</v>
      </c>
      <c r="C33" s="227" t="s">
        <v>287</v>
      </c>
      <c r="D33" s="181" t="s">
        <v>288</v>
      </c>
      <c r="E33" s="58"/>
      <c r="F33" s="58"/>
      <c r="G33" s="58"/>
      <c r="H33" s="58"/>
      <c r="I33" s="58"/>
      <c r="J33" s="58"/>
      <c r="K33" s="59"/>
      <c r="L33" s="59"/>
      <c r="M33" s="59"/>
      <c r="N33" s="124"/>
    </row>
    <row r="34" spans="1:14" ht="13.5" customHeight="1">
      <c r="A34" s="123">
        <v>28</v>
      </c>
      <c r="B34" s="226" t="s">
        <v>742</v>
      </c>
      <c r="C34" s="227" t="s">
        <v>294</v>
      </c>
      <c r="D34" s="181" t="s">
        <v>295</v>
      </c>
      <c r="E34" s="58"/>
      <c r="F34" s="58"/>
      <c r="G34" s="58"/>
      <c r="H34" s="58"/>
      <c r="I34" s="58"/>
      <c r="J34" s="58"/>
      <c r="K34" s="59"/>
      <c r="L34" s="59"/>
      <c r="M34" s="59"/>
      <c r="N34" s="124"/>
    </row>
    <row r="35" spans="1:14" ht="13.5" customHeight="1">
      <c r="A35" s="125">
        <v>29</v>
      </c>
      <c r="B35" s="226" t="s">
        <v>742</v>
      </c>
      <c r="C35" s="227" t="s">
        <v>301</v>
      </c>
      <c r="D35" s="181" t="s">
        <v>302</v>
      </c>
      <c r="E35" s="58"/>
      <c r="F35" s="58"/>
      <c r="G35" s="58"/>
      <c r="H35" s="58"/>
      <c r="I35" s="58"/>
      <c r="J35" s="58"/>
      <c r="K35" s="59"/>
      <c r="L35" s="59"/>
      <c r="M35" s="59"/>
      <c r="N35" s="124"/>
    </row>
    <row r="36" spans="1:14" ht="13.5" customHeight="1">
      <c r="A36" s="123">
        <v>30</v>
      </c>
      <c r="B36" s="226" t="s">
        <v>742</v>
      </c>
      <c r="C36" s="227" t="s">
        <v>308</v>
      </c>
      <c r="D36" s="181" t="s">
        <v>309</v>
      </c>
      <c r="E36" s="58"/>
      <c r="F36" s="58"/>
      <c r="G36" s="58"/>
      <c r="H36" s="58"/>
      <c r="I36" s="58"/>
      <c r="J36" s="58"/>
      <c r="K36" s="59"/>
      <c r="L36" s="59"/>
      <c r="M36" s="59"/>
      <c r="N36" s="124"/>
    </row>
    <row r="37" spans="1:14" ht="13.5" customHeight="1">
      <c r="A37" s="125">
        <v>31</v>
      </c>
      <c r="B37" s="226" t="s">
        <v>742</v>
      </c>
      <c r="C37" s="227" t="s">
        <v>313</v>
      </c>
      <c r="D37" s="181" t="s">
        <v>314</v>
      </c>
      <c r="E37" s="58"/>
      <c r="F37" s="58"/>
      <c r="G37" s="58"/>
      <c r="H37" s="58"/>
      <c r="I37" s="58"/>
      <c r="J37" s="58"/>
      <c r="K37" s="59"/>
      <c r="L37" s="59"/>
      <c r="M37" s="59"/>
      <c r="N37" s="124"/>
    </row>
    <row r="38" spans="1:14" ht="13.5" customHeight="1">
      <c r="A38" s="123">
        <v>32</v>
      </c>
      <c r="B38" s="226" t="s">
        <v>742</v>
      </c>
      <c r="C38" s="227" t="s">
        <v>319</v>
      </c>
      <c r="D38" s="181" t="s">
        <v>320</v>
      </c>
      <c r="E38" s="58"/>
      <c r="F38" s="58"/>
      <c r="G38" s="58"/>
      <c r="H38" s="58"/>
      <c r="I38" s="58"/>
      <c r="J38" s="58"/>
      <c r="K38" s="59"/>
      <c r="L38" s="59"/>
      <c r="M38" s="59"/>
      <c r="N38" s="124"/>
    </row>
    <row r="39" spans="1:14" ht="13.5" customHeight="1">
      <c r="A39" s="125">
        <v>33</v>
      </c>
      <c r="B39" s="226" t="s">
        <v>745</v>
      </c>
      <c r="C39" s="227" t="s">
        <v>327</v>
      </c>
      <c r="D39" s="181" t="s">
        <v>328</v>
      </c>
      <c r="E39" s="58"/>
      <c r="F39" s="58"/>
      <c r="G39" s="58"/>
      <c r="H39" s="58"/>
      <c r="I39" s="58"/>
      <c r="J39" s="58"/>
      <c r="K39" s="59"/>
      <c r="L39" s="59"/>
      <c r="M39" s="59"/>
      <c r="N39" s="124"/>
    </row>
    <row r="40" spans="1:14" ht="13.5" customHeight="1">
      <c r="A40" s="123">
        <v>34</v>
      </c>
      <c r="B40" s="226" t="s">
        <v>742</v>
      </c>
      <c r="C40" s="227" t="s">
        <v>334</v>
      </c>
      <c r="D40" s="181" t="s">
        <v>335</v>
      </c>
      <c r="E40" s="58"/>
      <c r="F40" s="58"/>
      <c r="G40" s="58"/>
      <c r="H40" s="58"/>
      <c r="I40" s="58"/>
      <c r="J40" s="58"/>
      <c r="K40" s="59"/>
      <c r="L40" s="59"/>
      <c r="M40" s="59"/>
      <c r="N40" s="124"/>
    </row>
    <row r="41" spans="1:14" ht="13.5" customHeight="1">
      <c r="A41" s="125">
        <v>35</v>
      </c>
      <c r="B41" s="226" t="s">
        <v>745</v>
      </c>
      <c r="C41" s="227" t="s">
        <v>341</v>
      </c>
      <c r="D41" s="181" t="s">
        <v>342</v>
      </c>
      <c r="E41" s="58"/>
      <c r="F41" s="58"/>
      <c r="G41" s="58"/>
      <c r="H41" s="58"/>
      <c r="I41" s="58"/>
      <c r="J41" s="58"/>
      <c r="K41" s="59"/>
      <c r="L41" s="59"/>
      <c r="M41" s="59"/>
      <c r="N41" s="124"/>
    </row>
    <row r="42" spans="1:14" ht="13.5" customHeight="1">
      <c r="A42" s="123">
        <v>36</v>
      </c>
      <c r="B42" s="226" t="s">
        <v>742</v>
      </c>
      <c r="C42" s="227" t="s">
        <v>348</v>
      </c>
      <c r="D42" s="181" t="s">
        <v>349</v>
      </c>
      <c r="E42" s="58"/>
      <c r="F42" s="58"/>
      <c r="G42" s="58"/>
      <c r="H42" s="58"/>
      <c r="I42" s="58"/>
      <c r="J42" s="58"/>
      <c r="K42" s="59"/>
      <c r="L42" s="59"/>
      <c r="M42" s="59"/>
      <c r="N42" s="124"/>
    </row>
    <row r="43" spans="1:14" ht="13.5" customHeight="1">
      <c r="A43" s="125">
        <v>37</v>
      </c>
      <c r="B43" s="226" t="s">
        <v>745</v>
      </c>
      <c r="C43" s="227" t="s">
        <v>355</v>
      </c>
      <c r="D43" s="181" t="s">
        <v>356</v>
      </c>
      <c r="E43" s="58"/>
      <c r="F43" s="58"/>
      <c r="G43" s="58"/>
      <c r="H43" s="58"/>
      <c r="I43" s="58"/>
      <c r="J43" s="58"/>
      <c r="K43" s="59"/>
      <c r="L43" s="59"/>
      <c r="M43" s="59"/>
      <c r="N43" s="124"/>
    </row>
    <row r="44" spans="1:14" ht="13.5" customHeight="1">
      <c r="A44" s="123">
        <v>38</v>
      </c>
      <c r="B44" s="226" t="s">
        <v>745</v>
      </c>
      <c r="C44" s="227" t="s">
        <v>361</v>
      </c>
      <c r="D44" s="181" t="s">
        <v>362</v>
      </c>
      <c r="E44" s="58"/>
      <c r="F44" s="58"/>
      <c r="G44" s="58"/>
      <c r="H44" s="58"/>
      <c r="I44" s="58"/>
      <c r="J44" s="58"/>
      <c r="K44" s="59"/>
      <c r="L44" s="59"/>
      <c r="M44" s="59"/>
      <c r="N44" s="124"/>
    </row>
    <row r="45" spans="1:14" ht="13.5" customHeight="1">
      <c r="A45" s="125">
        <v>39</v>
      </c>
      <c r="B45" s="226" t="s">
        <v>745</v>
      </c>
      <c r="C45" s="227" t="s">
        <v>367</v>
      </c>
      <c r="D45" s="181" t="s">
        <v>368</v>
      </c>
      <c r="E45" s="58"/>
      <c r="F45" s="58"/>
      <c r="G45" s="58"/>
      <c r="H45" s="58"/>
      <c r="I45" s="58"/>
      <c r="J45" s="58"/>
      <c r="K45" s="59"/>
      <c r="L45" s="59"/>
      <c r="M45" s="59"/>
      <c r="N45" s="124"/>
    </row>
    <row r="46" spans="1:14" ht="13.5" customHeight="1">
      <c r="A46" s="123">
        <v>40</v>
      </c>
      <c r="B46" s="226" t="s">
        <v>742</v>
      </c>
      <c r="C46" s="227" t="s">
        <v>374</v>
      </c>
      <c r="D46" s="181" t="s">
        <v>375</v>
      </c>
      <c r="E46" s="58"/>
      <c r="F46" s="58"/>
      <c r="G46" s="58"/>
      <c r="H46" s="58"/>
      <c r="I46" s="58"/>
      <c r="J46" s="58"/>
      <c r="K46" s="59"/>
      <c r="L46" s="59"/>
      <c r="M46" s="59"/>
      <c r="N46" s="124"/>
    </row>
    <row r="47" spans="1:14" ht="13.5" customHeight="1">
      <c r="A47" s="125">
        <v>41</v>
      </c>
      <c r="B47" s="226" t="s">
        <v>742</v>
      </c>
      <c r="C47" s="227" t="s">
        <v>381</v>
      </c>
      <c r="D47" s="181" t="s">
        <v>382</v>
      </c>
      <c r="E47" s="58"/>
      <c r="F47" s="58"/>
      <c r="G47" s="58"/>
      <c r="H47" s="58"/>
      <c r="I47" s="58"/>
      <c r="J47" s="58"/>
      <c r="K47" s="59"/>
      <c r="L47" s="59"/>
      <c r="M47" s="59"/>
      <c r="N47" s="124"/>
    </row>
    <row r="48" spans="1:14" ht="13.5" customHeight="1">
      <c r="A48" s="123">
        <v>42</v>
      </c>
      <c r="B48" s="226" t="s">
        <v>742</v>
      </c>
      <c r="C48" s="227" t="s">
        <v>388</v>
      </c>
      <c r="D48" s="181" t="s">
        <v>389</v>
      </c>
      <c r="E48" s="58"/>
      <c r="F48" s="58"/>
      <c r="G48" s="58"/>
      <c r="H48" s="58"/>
      <c r="I48" s="58"/>
      <c r="J48" s="58"/>
      <c r="K48" s="59"/>
      <c r="L48" s="59"/>
      <c r="M48" s="59"/>
      <c r="N48" s="124"/>
    </row>
    <row r="49" spans="1:14" ht="13.5" customHeight="1">
      <c r="A49" s="125">
        <v>43</v>
      </c>
      <c r="B49" s="226" t="s">
        <v>742</v>
      </c>
      <c r="C49" s="227" t="s">
        <v>395</v>
      </c>
      <c r="D49" s="181" t="s">
        <v>396</v>
      </c>
      <c r="E49" s="58"/>
      <c r="F49" s="58"/>
      <c r="G49" s="58"/>
      <c r="H49" s="58"/>
      <c r="I49" s="58"/>
      <c r="J49" s="58"/>
      <c r="K49" s="59"/>
      <c r="L49" s="59"/>
      <c r="M49" s="59"/>
      <c r="N49" s="124"/>
    </row>
    <row r="50" spans="1:14" ht="13.5" customHeight="1">
      <c r="A50" s="123">
        <v>44</v>
      </c>
      <c r="B50" s="226" t="s">
        <v>742</v>
      </c>
      <c r="C50" s="227" t="s">
        <v>402</v>
      </c>
      <c r="D50" s="181" t="s">
        <v>403</v>
      </c>
      <c r="E50" s="58"/>
      <c r="F50" s="58"/>
      <c r="G50" s="58"/>
      <c r="H50" s="58"/>
      <c r="I50" s="58"/>
      <c r="J50" s="58"/>
      <c r="K50" s="59"/>
      <c r="L50" s="59"/>
      <c r="M50" s="59"/>
      <c r="N50" s="124"/>
    </row>
    <row r="51" spans="1:14" ht="13.5" customHeight="1">
      <c r="A51" s="125">
        <v>45</v>
      </c>
      <c r="B51" s="226" t="s">
        <v>742</v>
      </c>
      <c r="C51" s="227" t="s">
        <v>409</v>
      </c>
      <c r="D51" s="181" t="s">
        <v>410</v>
      </c>
      <c r="E51" s="58"/>
      <c r="F51" s="58"/>
      <c r="G51" s="58"/>
      <c r="H51" s="58"/>
      <c r="I51" s="58"/>
      <c r="J51" s="58"/>
      <c r="K51" s="59"/>
      <c r="L51" s="59"/>
      <c r="M51" s="59"/>
      <c r="N51" s="124"/>
    </row>
    <row r="52" spans="1:14" ht="13.5" customHeight="1">
      <c r="A52" s="123">
        <v>46</v>
      </c>
      <c r="B52" s="226" t="s">
        <v>742</v>
      </c>
      <c r="C52" s="227" t="s">
        <v>416</v>
      </c>
      <c r="D52" s="181" t="s">
        <v>417</v>
      </c>
      <c r="E52" s="58"/>
      <c r="F52" s="58"/>
      <c r="G52" s="58"/>
      <c r="H52" s="58"/>
      <c r="I52" s="58"/>
      <c r="J52" s="58"/>
      <c r="K52" s="59"/>
      <c r="L52" s="59"/>
      <c r="M52" s="59"/>
      <c r="N52" s="124"/>
    </row>
    <row r="53" spans="1:14" ht="13.5" customHeight="1">
      <c r="A53" s="125">
        <v>47</v>
      </c>
      <c r="B53" s="226" t="s">
        <v>742</v>
      </c>
      <c r="C53" s="227" t="s">
        <v>423</v>
      </c>
      <c r="D53" s="181" t="s">
        <v>424</v>
      </c>
      <c r="E53" s="58"/>
      <c r="F53" s="58"/>
      <c r="G53" s="58"/>
      <c r="H53" s="58"/>
      <c r="I53" s="58"/>
      <c r="J53" s="58"/>
      <c r="K53" s="59"/>
      <c r="L53" s="59"/>
      <c r="M53" s="59"/>
      <c r="N53" s="124"/>
    </row>
    <row r="54" spans="1:14" ht="13.5" customHeight="1">
      <c r="A54" s="123">
        <v>48</v>
      </c>
      <c r="B54" s="226" t="s">
        <v>742</v>
      </c>
      <c r="C54" s="227" t="s">
        <v>431</v>
      </c>
      <c r="D54" s="181" t="s">
        <v>432</v>
      </c>
      <c r="E54" s="58"/>
      <c r="F54" s="58"/>
      <c r="G54" s="58"/>
      <c r="H54" s="58"/>
      <c r="I54" s="58"/>
      <c r="J54" s="58"/>
      <c r="K54" s="59"/>
      <c r="L54" s="59"/>
      <c r="M54" s="59"/>
      <c r="N54" s="124"/>
    </row>
    <row r="55" spans="1:14" ht="13.5" customHeight="1">
      <c r="A55" s="125">
        <v>49</v>
      </c>
      <c r="B55" s="226" t="s">
        <v>742</v>
      </c>
      <c r="C55" s="227" t="s">
        <v>438</v>
      </c>
      <c r="D55" s="181" t="s">
        <v>439</v>
      </c>
      <c r="E55" s="58"/>
      <c r="F55" s="58"/>
      <c r="G55" s="58"/>
      <c r="H55" s="58"/>
      <c r="I55" s="58"/>
      <c r="J55" s="58"/>
      <c r="K55" s="59"/>
      <c r="L55" s="59"/>
      <c r="M55" s="59"/>
      <c r="N55" s="124"/>
    </row>
    <row r="56" spans="1:14" ht="13.5" customHeight="1">
      <c r="A56" s="123">
        <v>50</v>
      </c>
      <c r="B56" s="226" t="s">
        <v>742</v>
      </c>
      <c r="C56" s="227" t="s">
        <v>445</v>
      </c>
      <c r="D56" s="181" t="s">
        <v>446</v>
      </c>
      <c r="E56" s="58"/>
      <c r="F56" s="58"/>
      <c r="G56" s="58"/>
      <c r="H56" s="58"/>
      <c r="I56" s="58"/>
      <c r="J56" s="58"/>
      <c r="K56" s="59"/>
      <c r="L56" s="59"/>
      <c r="M56" s="59"/>
      <c r="N56" s="124"/>
    </row>
    <row r="57" spans="1:14" ht="13.5" customHeight="1">
      <c r="A57" s="125">
        <v>51</v>
      </c>
      <c r="B57" s="226" t="s">
        <v>742</v>
      </c>
      <c r="C57" s="227" t="s">
        <v>452</v>
      </c>
      <c r="D57" s="181" t="s">
        <v>453</v>
      </c>
      <c r="E57" s="58"/>
      <c r="F57" s="58"/>
      <c r="G57" s="58"/>
      <c r="H57" s="58"/>
      <c r="I57" s="58"/>
      <c r="J57" s="58"/>
      <c r="K57" s="59"/>
      <c r="L57" s="59"/>
      <c r="M57" s="59"/>
      <c r="N57" s="124"/>
    </row>
    <row r="58" spans="1:14" ht="13.5" customHeight="1">
      <c r="A58" s="123">
        <v>52</v>
      </c>
      <c r="B58" s="226" t="s">
        <v>742</v>
      </c>
      <c r="C58" s="227" t="s">
        <v>459</v>
      </c>
      <c r="D58" s="181" t="s">
        <v>460</v>
      </c>
      <c r="E58" s="58"/>
      <c r="F58" s="58"/>
      <c r="G58" s="58"/>
      <c r="H58" s="58"/>
      <c r="I58" s="58"/>
      <c r="J58" s="58"/>
      <c r="K58" s="59"/>
      <c r="L58" s="59"/>
      <c r="M58" s="59"/>
      <c r="N58" s="124"/>
    </row>
    <row r="59" spans="1:14" ht="13.5" customHeight="1">
      <c r="A59" s="125">
        <v>53</v>
      </c>
      <c r="B59" s="226" t="s">
        <v>742</v>
      </c>
      <c r="C59" s="227" t="s">
        <v>466</v>
      </c>
      <c r="D59" s="181" t="s">
        <v>467</v>
      </c>
      <c r="E59" s="58"/>
      <c r="F59" s="58"/>
      <c r="G59" s="58"/>
      <c r="H59" s="58"/>
      <c r="I59" s="58"/>
      <c r="J59" s="58"/>
      <c r="K59" s="59"/>
      <c r="L59" s="59"/>
      <c r="M59" s="59"/>
      <c r="N59" s="124"/>
    </row>
    <row r="60" spans="1:14" ht="13.5" customHeight="1">
      <c r="A60" s="123">
        <v>54</v>
      </c>
      <c r="B60" s="226" t="s">
        <v>742</v>
      </c>
      <c r="C60" s="227" t="s">
        <v>473</v>
      </c>
      <c r="D60" s="181" t="s">
        <v>474</v>
      </c>
      <c r="E60" s="58"/>
      <c r="F60" s="58"/>
      <c r="G60" s="58"/>
      <c r="H60" s="58"/>
      <c r="I60" s="58"/>
      <c r="J60" s="58"/>
      <c r="K60" s="59"/>
      <c r="L60" s="59"/>
      <c r="M60" s="59"/>
      <c r="N60" s="124"/>
    </row>
    <row r="61" spans="1:14" ht="13.5" customHeight="1">
      <c r="A61" s="125">
        <v>55</v>
      </c>
      <c r="B61" s="226" t="s">
        <v>746</v>
      </c>
      <c r="C61" s="227" t="s">
        <v>481</v>
      </c>
      <c r="D61" s="181" t="s">
        <v>482</v>
      </c>
      <c r="E61" s="58"/>
      <c r="F61" s="58"/>
      <c r="G61" s="58"/>
      <c r="H61" s="58"/>
      <c r="I61" s="58"/>
      <c r="J61" s="58"/>
      <c r="K61" s="59"/>
      <c r="L61" s="59"/>
      <c r="M61" s="59"/>
      <c r="N61" s="124"/>
    </row>
    <row r="62" spans="1:14" ht="13.5" customHeight="1">
      <c r="A62" s="123">
        <v>56</v>
      </c>
      <c r="B62" s="226" t="s">
        <v>746</v>
      </c>
      <c r="C62" s="227" t="s">
        <v>487</v>
      </c>
      <c r="D62" s="181" t="s">
        <v>488</v>
      </c>
      <c r="E62" s="58"/>
      <c r="F62" s="58"/>
      <c r="G62" s="58"/>
      <c r="H62" s="58"/>
      <c r="I62" s="58"/>
      <c r="J62" s="58"/>
      <c r="K62" s="59"/>
      <c r="L62" s="59"/>
      <c r="M62" s="59"/>
      <c r="N62" s="124"/>
    </row>
    <row r="63" spans="1:14" ht="13.5" customHeight="1">
      <c r="A63" s="125">
        <v>57</v>
      </c>
      <c r="B63" s="226" t="s">
        <v>742</v>
      </c>
      <c r="C63" s="227" t="s">
        <v>494</v>
      </c>
      <c r="D63" s="181" t="s">
        <v>495</v>
      </c>
      <c r="E63" s="58"/>
      <c r="F63" s="58"/>
      <c r="G63" s="58"/>
      <c r="H63" s="58"/>
      <c r="I63" s="58"/>
      <c r="J63" s="58"/>
      <c r="K63" s="59"/>
      <c r="L63" s="59"/>
      <c r="M63" s="59"/>
      <c r="N63" s="124"/>
    </row>
    <row r="64" spans="1:14" ht="13.5" customHeight="1">
      <c r="A64" s="123">
        <v>58</v>
      </c>
      <c r="B64" s="226" t="s">
        <v>742</v>
      </c>
      <c r="C64" s="227" t="s">
        <v>501</v>
      </c>
      <c r="D64" s="181" t="s">
        <v>502</v>
      </c>
      <c r="E64" s="58"/>
      <c r="F64" s="58"/>
      <c r="G64" s="58"/>
      <c r="H64" s="58"/>
      <c r="I64" s="58"/>
      <c r="J64" s="58"/>
      <c r="K64" s="59"/>
      <c r="L64" s="59"/>
      <c r="M64" s="59"/>
      <c r="N64" s="124"/>
    </row>
    <row r="65" spans="1:14" ht="13.5" customHeight="1">
      <c r="A65" s="125">
        <v>59</v>
      </c>
      <c r="B65" s="226" t="s">
        <v>745</v>
      </c>
      <c r="C65" s="227" t="s">
        <v>507</v>
      </c>
      <c r="D65" s="181" t="s">
        <v>508</v>
      </c>
      <c r="E65" s="58"/>
      <c r="F65" s="58"/>
      <c r="G65" s="58"/>
      <c r="H65" s="58"/>
      <c r="I65" s="58"/>
      <c r="J65" s="58"/>
      <c r="K65" s="59"/>
      <c r="L65" s="59"/>
      <c r="M65" s="59"/>
      <c r="N65" s="124"/>
    </row>
    <row r="66" spans="1:14" ht="13.5" customHeight="1">
      <c r="A66" s="123">
        <v>60</v>
      </c>
      <c r="B66" s="226" t="s">
        <v>745</v>
      </c>
      <c r="C66" s="227" t="s">
        <v>514</v>
      </c>
      <c r="D66" s="181" t="s">
        <v>515</v>
      </c>
      <c r="E66" s="58"/>
      <c r="F66" s="58"/>
      <c r="G66" s="58"/>
      <c r="H66" s="58"/>
      <c r="I66" s="58"/>
      <c r="J66" s="58"/>
      <c r="K66" s="59"/>
      <c r="L66" s="59"/>
      <c r="M66" s="59"/>
      <c r="N66" s="124"/>
    </row>
    <row r="67" spans="1:14" ht="13.5" customHeight="1">
      <c r="A67" s="125">
        <v>61</v>
      </c>
      <c r="B67" s="226" t="s">
        <v>742</v>
      </c>
      <c r="C67" s="227" t="s">
        <v>521</v>
      </c>
      <c r="D67" s="181" t="s">
        <v>522</v>
      </c>
      <c r="E67" s="58"/>
      <c r="F67" s="58"/>
      <c r="G67" s="58"/>
      <c r="H67" s="58"/>
      <c r="I67" s="58"/>
      <c r="J67" s="58"/>
      <c r="K67" s="59"/>
      <c r="L67" s="59"/>
      <c r="M67" s="59"/>
      <c r="N67" s="124"/>
    </row>
    <row r="68" spans="1:14" ht="13.5" customHeight="1">
      <c r="A68" s="123">
        <v>62</v>
      </c>
      <c r="B68" s="226" t="s">
        <v>742</v>
      </c>
      <c r="C68" s="227" t="s">
        <v>528</v>
      </c>
      <c r="D68" s="181" t="s">
        <v>529</v>
      </c>
      <c r="E68" s="58"/>
      <c r="F68" s="58"/>
      <c r="G68" s="58"/>
      <c r="H68" s="58"/>
      <c r="I68" s="58"/>
      <c r="J68" s="58"/>
      <c r="K68" s="59"/>
      <c r="L68" s="59"/>
      <c r="M68" s="59"/>
      <c r="N68" s="124"/>
    </row>
    <row r="69" spans="1:14" ht="13.5" customHeight="1">
      <c r="A69" s="125">
        <v>63</v>
      </c>
      <c r="B69" s="226" t="s">
        <v>742</v>
      </c>
      <c r="C69" s="227" t="s">
        <v>535</v>
      </c>
      <c r="D69" s="181" t="s">
        <v>536</v>
      </c>
      <c r="E69" s="58"/>
      <c r="F69" s="58"/>
      <c r="G69" s="58"/>
      <c r="H69" s="58"/>
      <c r="I69" s="58"/>
      <c r="J69" s="58"/>
      <c r="K69" s="59"/>
      <c r="L69" s="59"/>
      <c r="M69" s="59"/>
      <c r="N69" s="124"/>
    </row>
    <row r="70" spans="1:14" ht="13.5" customHeight="1">
      <c r="A70" s="123">
        <v>64</v>
      </c>
      <c r="B70" s="226" t="s">
        <v>742</v>
      </c>
      <c r="C70" s="227" t="s">
        <v>542</v>
      </c>
      <c r="D70" s="181" t="s">
        <v>543</v>
      </c>
      <c r="E70" s="58"/>
      <c r="F70" s="58"/>
      <c r="G70" s="58"/>
      <c r="H70" s="58"/>
      <c r="I70" s="58"/>
      <c r="J70" s="58"/>
      <c r="K70" s="59"/>
      <c r="L70" s="59"/>
      <c r="M70" s="59"/>
      <c r="N70" s="124"/>
    </row>
    <row r="71" spans="1:14" ht="13.5" customHeight="1">
      <c r="A71" s="125">
        <v>65</v>
      </c>
      <c r="B71" s="226" t="s">
        <v>742</v>
      </c>
      <c r="C71" s="227" t="s">
        <v>549</v>
      </c>
      <c r="D71" s="181" t="s">
        <v>550</v>
      </c>
      <c r="E71" s="58"/>
      <c r="F71" s="58"/>
      <c r="G71" s="58"/>
      <c r="H71" s="58"/>
      <c r="I71" s="58"/>
      <c r="J71" s="58"/>
      <c r="K71" s="59"/>
      <c r="L71" s="59"/>
      <c r="M71" s="59"/>
      <c r="N71" s="124"/>
    </row>
    <row r="72" spans="1:14" ht="13.5" customHeight="1">
      <c r="A72" s="123">
        <v>66</v>
      </c>
      <c r="B72" s="226" t="s">
        <v>742</v>
      </c>
      <c r="C72" s="227" t="s">
        <v>555</v>
      </c>
      <c r="D72" s="181" t="s">
        <v>556</v>
      </c>
      <c r="E72" s="58"/>
      <c r="F72" s="58"/>
      <c r="G72" s="58"/>
      <c r="H72" s="58"/>
      <c r="I72" s="58"/>
      <c r="J72" s="58"/>
      <c r="K72" s="59"/>
      <c r="L72" s="59"/>
      <c r="M72" s="59"/>
      <c r="N72" s="124"/>
    </row>
    <row r="73" spans="1:14" ht="13.5" customHeight="1">
      <c r="A73" s="125">
        <v>67</v>
      </c>
      <c r="B73" s="226" t="s">
        <v>742</v>
      </c>
      <c r="C73" s="227" t="s">
        <v>561</v>
      </c>
      <c r="D73" s="181" t="s">
        <v>562</v>
      </c>
      <c r="E73" s="58"/>
      <c r="F73" s="58"/>
      <c r="G73" s="58"/>
      <c r="H73" s="58"/>
      <c r="I73" s="58"/>
      <c r="J73" s="58"/>
      <c r="K73" s="59"/>
      <c r="L73" s="59"/>
      <c r="M73" s="59"/>
      <c r="N73" s="124"/>
    </row>
    <row r="74" spans="1:14" ht="13.5" customHeight="1">
      <c r="A74" s="123">
        <v>68</v>
      </c>
      <c r="B74" s="226" t="s">
        <v>742</v>
      </c>
      <c r="C74" s="227" t="s">
        <v>566</v>
      </c>
      <c r="D74" s="181" t="s">
        <v>567</v>
      </c>
      <c r="E74" s="58"/>
      <c r="F74" s="58"/>
      <c r="G74" s="58"/>
      <c r="H74" s="58"/>
      <c r="I74" s="58"/>
      <c r="J74" s="58"/>
      <c r="K74" s="59"/>
      <c r="L74" s="59"/>
      <c r="M74" s="59"/>
      <c r="N74" s="124"/>
    </row>
    <row r="75" spans="1:14" ht="13.5" customHeight="1">
      <c r="A75" s="125">
        <v>69</v>
      </c>
      <c r="B75" s="226" t="s">
        <v>742</v>
      </c>
      <c r="C75" s="227" t="s">
        <v>573</v>
      </c>
      <c r="D75" s="181" t="s">
        <v>574</v>
      </c>
      <c r="E75" s="58"/>
      <c r="F75" s="58"/>
      <c r="G75" s="58"/>
      <c r="H75" s="58"/>
      <c r="I75" s="58"/>
      <c r="J75" s="58"/>
      <c r="K75" s="59"/>
      <c r="L75" s="59"/>
      <c r="M75" s="59"/>
      <c r="N75" s="124"/>
    </row>
    <row r="76" spans="1:14" ht="13.5" customHeight="1">
      <c r="A76" s="123">
        <v>70</v>
      </c>
      <c r="B76" s="226" t="s">
        <v>742</v>
      </c>
      <c r="C76" s="227" t="s">
        <v>576</v>
      </c>
      <c r="D76" s="181" t="s">
        <v>577</v>
      </c>
      <c r="E76" s="58"/>
      <c r="F76" s="58"/>
      <c r="G76" s="58"/>
      <c r="H76" s="58"/>
      <c r="I76" s="58"/>
      <c r="J76" s="58"/>
      <c r="K76" s="59"/>
      <c r="L76" s="59"/>
      <c r="M76" s="59"/>
      <c r="N76" s="124"/>
    </row>
    <row r="77" spans="1:14" ht="13.5" customHeight="1">
      <c r="A77" s="125">
        <v>71</v>
      </c>
      <c r="B77" s="226" t="s">
        <v>742</v>
      </c>
      <c r="C77" s="227" t="s">
        <v>581</v>
      </c>
      <c r="D77" s="181" t="s">
        <v>582</v>
      </c>
      <c r="E77" s="58"/>
      <c r="F77" s="58"/>
      <c r="G77" s="58"/>
      <c r="H77" s="58"/>
      <c r="I77" s="58"/>
      <c r="J77" s="58"/>
      <c r="K77" s="59"/>
      <c r="L77" s="59"/>
      <c r="M77" s="59"/>
      <c r="N77" s="124"/>
    </row>
    <row r="78" spans="1:14" ht="13.5" customHeight="1">
      <c r="A78" s="123">
        <v>72</v>
      </c>
      <c r="B78" s="226" t="s">
        <v>745</v>
      </c>
      <c r="C78" s="227" t="s">
        <v>588</v>
      </c>
      <c r="D78" s="181" t="s">
        <v>589</v>
      </c>
      <c r="E78" s="58"/>
      <c r="F78" s="58"/>
      <c r="G78" s="58"/>
      <c r="H78" s="58"/>
      <c r="I78" s="58"/>
      <c r="J78" s="58"/>
      <c r="K78" s="59"/>
      <c r="L78" s="59"/>
      <c r="M78" s="59"/>
      <c r="N78" s="124"/>
    </row>
    <row r="79" spans="1:14" ht="13.5" customHeight="1">
      <c r="A79" s="125">
        <v>73</v>
      </c>
      <c r="B79" s="226" t="s">
        <v>742</v>
      </c>
      <c r="C79" s="227" t="s">
        <v>595</v>
      </c>
      <c r="D79" s="181" t="s">
        <v>596</v>
      </c>
      <c r="E79" s="58"/>
      <c r="F79" s="58"/>
      <c r="G79" s="58"/>
      <c r="H79" s="58"/>
      <c r="I79" s="58"/>
      <c r="J79" s="58"/>
      <c r="K79" s="59"/>
      <c r="L79" s="59"/>
      <c r="M79" s="59"/>
      <c r="N79" s="124"/>
    </row>
    <row r="80" spans="1:14" ht="13.5" customHeight="1">
      <c r="A80" s="123">
        <v>74</v>
      </c>
      <c r="B80" s="226" t="s">
        <v>742</v>
      </c>
      <c r="C80" s="227" t="s">
        <v>602</v>
      </c>
      <c r="D80" s="181" t="s">
        <v>603</v>
      </c>
      <c r="E80" s="58"/>
      <c r="F80" s="58"/>
      <c r="G80" s="58"/>
      <c r="H80" s="58"/>
      <c r="I80" s="58"/>
      <c r="J80" s="58"/>
      <c r="K80" s="59"/>
      <c r="L80" s="59"/>
      <c r="M80" s="59"/>
      <c r="N80" s="124"/>
    </row>
    <row r="81" spans="1:14" ht="13.5" customHeight="1">
      <c r="A81" s="125">
        <v>75</v>
      </c>
      <c r="B81" s="226" t="s">
        <v>742</v>
      </c>
      <c r="C81" s="227" t="s">
        <v>609</v>
      </c>
      <c r="D81" s="181" t="s">
        <v>610</v>
      </c>
      <c r="E81" s="58"/>
      <c r="F81" s="58"/>
      <c r="G81" s="58"/>
      <c r="H81" s="58"/>
      <c r="I81" s="58"/>
      <c r="J81" s="58"/>
      <c r="K81" s="59"/>
      <c r="L81" s="59"/>
      <c r="M81" s="59"/>
      <c r="N81" s="124"/>
    </row>
    <row r="82" spans="1:14" ht="13.5" customHeight="1">
      <c r="A82" s="123">
        <v>76</v>
      </c>
      <c r="B82" s="226" t="s">
        <v>742</v>
      </c>
      <c r="C82" s="227" t="s">
        <v>615</v>
      </c>
      <c r="D82" s="181" t="s">
        <v>616</v>
      </c>
      <c r="E82" s="58"/>
      <c r="F82" s="58"/>
      <c r="G82" s="58"/>
      <c r="H82" s="58"/>
      <c r="I82" s="58"/>
      <c r="J82" s="58"/>
      <c r="K82" s="59"/>
      <c r="L82" s="59"/>
      <c r="M82" s="59"/>
      <c r="N82" s="124"/>
    </row>
    <row r="83" spans="1:14" ht="13.5" customHeight="1">
      <c r="A83" s="125">
        <v>77</v>
      </c>
      <c r="B83" s="226" t="s">
        <v>742</v>
      </c>
      <c r="C83" s="227" t="s">
        <v>622</v>
      </c>
      <c r="D83" s="181" t="s">
        <v>623</v>
      </c>
      <c r="E83" s="58"/>
      <c r="F83" s="58"/>
      <c r="G83" s="58"/>
      <c r="H83" s="58"/>
      <c r="I83" s="58"/>
      <c r="J83" s="58"/>
      <c r="K83" s="59"/>
      <c r="L83" s="59"/>
      <c r="M83" s="59"/>
      <c r="N83" s="124"/>
    </row>
    <row r="84" spans="1:14" ht="13.5" customHeight="1">
      <c r="A84" s="123">
        <v>78</v>
      </c>
      <c r="B84" s="226" t="s">
        <v>742</v>
      </c>
      <c r="C84" s="227" t="s">
        <v>628</v>
      </c>
      <c r="D84" s="181" t="s">
        <v>629</v>
      </c>
      <c r="E84" s="58"/>
      <c r="F84" s="58"/>
      <c r="G84" s="58"/>
      <c r="H84" s="58"/>
      <c r="I84" s="58"/>
      <c r="J84" s="58"/>
      <c r="K84" s="59"/>
      <c r="L84" s="59"/>
      <c r="M84" s="59"/>
      <c r="N84" s="124"/>
    </row>
    <row r="85" spans="1:14" ht="13.5" customHeight="1">
      <c r="A85" s="125">
        <v>79</v>
      </c>
      <c r="B85" s="226" t="s">
        <v>742</v>
      </c>
      <c r="C85" s="227" t="s">
        <v>635</v>
      </c>
      <c r="D85" s="181" t="s">
        <v>636</v>
      </c>
      <c r="E85" s="58"/>
      <c r="F85" s="58"/>
      <c r="G85" s="58"/>
      <c r="H85" s="58"/>
      <c r="I85" s="58"/>
      <c r="J85" s="58"/>
      <c r="K85" s="59"/>
      <c r="L85" s="59"/>
      <c r="M85" s="59"/>
      <c r="N85" s="124"/>
    </row>
    <row r="86" spans="1:14" ht="15" customHeight="1">
      <c r="A86" s="125">
        <v>80</v>
      </c>
      <c r="B86" s="226" t="s">
        <v>742</v>
      </c>
      <c r="C86" s="227" t="s">
        <v>855</v>
      </c>
      <c r="D86" s="181" t="s">
        <v>856</v>
      </c>
      <c r="E86" s="58"/>
      <c r="F86" s="58"/>
      <c r="G86" s="58"/>
      <c r="H86" s="58"/>
      <c r="I86" s="58"/>
      <c r="J86" s="58"/>
      <c r="K86" s="59"/>
      <c r="L86" s="59"/>
      <c r="M86" s="59"/>
      <c r="N86" s="124"/>
    </row>
    <row r="87" spans="1:14" ht="15" customHeight="1">
      <c r="A87" s="125">
        <v>81</v>
      </c>
      <c r="B87" s="226" t="s">
        <v>742</v>
      </c>
      <c r="C87" s="227" t="s">
        <v>857</v>
      </c>
      <c r="D87" s="181" t="s">
        <v>858</v>
      </c>
      <c r="E87" s="58"/>
      <c r="F87" s="58"/>
      <c r="G87" s="58"/>
      <c r="H87" s="58"/>
      <c r="I87" s="58"/>
      <c r="J87" s="58"/>
      <c r="K87" s="59"/>
      <c r="L87" s="59"/>
      <c r="M87" s="59"/>
      <c r="N87" s="124"/>
    </row>
    <row r="88" spans="1:14" ht="15" customHeight="1">
      <c r="A88" s="125">
        <v>82</v>
      </c>
      <c r="B88" s="226" t="s">
        <v>742</v>
      </c>
      <c r="C88" s="227" t="s">
        <v>859</v>
      </c>
      <c r="D88" s="181" t="s">
        <v>860</v>
      </c>
      <c r="E88" s="58"/>
      <c r="F88" s="58"/>
      <c r="G88" s="58"/>
      <c r="H88" s="58"/>
      <c r="I88" s="58"/>
      <c r="J88" s="58"/>
      <c r="K88" s="59"/>
      <c r="L88" s="59"/>
      <c r="M88" s="59"/>
      <c r="N88" s="124"/>
    </row>
    <row r="89" spans="1:14" ht="15" customHeight="1">
      <c r="A89" s="125">
        <v>83</v>
      </c>
      <c r="B89" s="226" t="s">
        <v>742</v>
      </c>
      <c r="C89" s="227" t="s">
        <v>861</v>
      </c>
      <c r="D89" s="181" t="s">
        <v>862</v>
      </c>
      <c r="E89" s="58"/>
      <c r="F89" s="58"/>
      <c r="G89" s="58"/>
      <c r="H89" s="58"/>
      <c r="I89" s="58"/>
      <c r="J89" s="58"/>
      <c r="K89" s="59"/>
      <c r="L89" s="59"/>
      <c r="M89" s="59"/>
      <c r="N89" s="124"/>
    </row>
    <row r="95" spans="1:14" ht="16.5" customHeight="1"/>
    <row r="96" spans="1:14"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sheetData>
  <autoFilter ref="A6:N89" xr:uid="{00000000-0009-0000-0000-00000C000000}"/>
  <mergeCells count="7">
    <mergeCell ref="A5:A6"/>
    <mergeCell ref="E1:N1"/>
    <mergeCell ref="E2:N2"/>
    <mergeCell ref="E3:N3"/>
    <mergeCell ref="E4:N4"/>
    <mergeCell ref="B5:D5"/>
    <mergeCell ref="E5:N5"/>
  </mergeCells>
  <phoneticPr fontId="1" type="noConversion"/>
  <conditionalFormatting sqref="K7:K85">
    <cfRule type="cellIs" dxfId="37" priority="21" operator="equal">
      <formula>"인터뷰"</formula>
    </cfRule>
    <cfRule type="cellIs" dxfId="36" priority="22" stopIfTrue="1" operator="equal">
      <formula>"취약"</formula>
    </cfRule>
    <cfRule type="cellIs" dxfId="35" priority="23" stopIfTrue="1" operator="equal">
      <formula>"부분만족"</formula>
    </cfRule>
    <cfRule type="cellIs" dxfId="34" priority="24" stopIfTrue="1" operator="equal">
      <formula>"N/A"</formula>
    </cfRule>
  </conditionalFormatting>
  <conditionalFormatting sqref="L7:M85">
    <cfRule type="cellIs" dxfId="33" priority="17" operator="equal">
      <formula>"인터뷰"</formula>
    </cfRule>
    <cfRule type="cellIs" dxfId="32" priority="18" stopIfTrue="1" operator="equal">
      <formula>"취약"</formula>
    </cfRule>
    <cfRule type="cellIs" dxfId="31" priority="19" stopIfTrue="1" operator="equal">
      <formula>"부분만족"</formula>
    </cfRule>
    <cfRule type="cellIs" dxfId="30" priority="20" stopIfTrue="1" operator="equal">
      <formula>"N/A"</formula>
    </cfRule>
  </conditionalFormatting>
  <conditionalFormatting sqref="N7:N85">
    <cfRule type="cellIs" dxfId="29" priority="13" operator="equal">
      <formula>"인터뷰"</formula>
    </cfRule>
    <cfRule type="cellIs" dxfId="28" priority="14" stopIfTrue="1" operator="equal">
      <formula>"취약"</formula>
    </cfRule>
    <cfRule type="cellIs" dxfId="27" priority="15" stopIfTrue="1" operator="equal">
      <formula>"부분만족"</formula>
    </cfRule>
    <cfRule type="cellIs" dxfId="26" priority="16" stopIfTrue="1" operator="equal">
      <formula>"N/A"</formula>
    </cfRule>
  </conditionalFormatting>
  <conditionalFormatting sqref="K86:K89">
    <cfRule type="cellIs" dxfId="25" priority="9" operator="equal">
      <formula>"인터뷰"</formula>
    </cfRule>
    <cfRule type="cellIs" dxfId="24" priority="10" stopIfTrue="1" operator="equal">
      <formula>"취약"</formula>
    </cfRule>
    <cfRule type="cellIs" dxfId="23" priority="11" stopIfTrue="1" operator="equal">
      <formula>"부분만족"</formula>
    </cfRule>
    <cfRule type="cellIs" dxfId="22" priority="12" stopIfTrue="1" operator="equal">
      <formula>"N/A"</formula>
    </cfRule>
  </conditionalFormatting>
  <conditionalFormatting sqref="L86:M89">
    <cfRule type="cellIs" dxfId="21" priority="5" operator="equal">
      <formula>"인터뷰"</formula>
    </cfRule>
    <cfRule type="cellIs" dxfId="20" priority="6" stopIfTrue="1" operator="equal">
      <formula>"취약"</formula>
    </cfRule>
    <cfRule type="cellIs" dxfId="19" priority="7" stopIfTrue="1" operator="equal">
      <formula>"부분만족"</formula>
    </cfRule>
    <cfRule type="cellIs" dxfId="18" priority="8" stopIfTrue="1" operator="equal">
      <formula>"N/A"</formula>
    </cfRule>
  </conditionalFormatting>
  <conditionalFormatting sqref="N86:N89">
    <cfRule type="cellIs" dxfId="17" priority="1" operator="equal">
      <formula>"인터뷰"</formula>
    </cfRule>
    <cfRule type="cellIs" dxfId="16" priority="2" stopIfTrue="1" operator="equal">
      <formula>"취약"</formula>
    </cfRule>
    <cfRule type="cellIs" dxfId="15" priority="3" stopIfTrue="1" operator="equal">
      <formula>"부분만족"</formula>
    </cfRule>
    <cfRule type="cellIs" dxfId="14" priority="4" stopIfTrue="1" operator="equal">
      <formula>"N/A"</formula>
    </cfRule>
  </conditionalFormatting>
  <printOptions horizontalCentered="1"/>
  <pageMargins left="0.39370078740157483" right="0.39370078740157483" top="0.59055118110236227" bottom="0.59055118110236227" header="0.19685039370078741" footer="0.19685039370078741"/>
  <pageSetup paperSize="9" scale="76" fitToHeight="0" orientation="portrait"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8133" r:id="rId5" name="Button 5">
              <controlPr defaultSize="0" print="0" autoFill="0" autoPict="0" macro="[0]!text_to_excel">
                <anchor moveWithCells="1" sizeWithCells="1">
                  <from>
                    <xdr:col>0</xdr:col>
                    <xdr:colOff>361950</xdr:colOff>
                    <xdr:row>1</xdr:row>
                    <xdr:rowOff>19050</xdr:rowOff>
                  </from>
                  <to>
                    <xdr:col>3</xdr:col>
                    <xdr:colOff>257175</xdr:colOff>
                    <xdr:row>2</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2:P6"/>
  <sheetViews>
    <sheetView view="pageBreakPreview" zoomScale="85" zoomScaleNormal="85" zoomScaleSheetLayoutView="85" workbookViewId="0">
      <pane ySplit="5" topLeftCell="A6" activePane="bottomLeft" state="frozen"/>
      <selection pane="bottomLeft"/>
    </sheetView>
  </sheetViews>
  <sheetFormatPr defaultColWidth="10" defaultRowHeight="13.5"/>
  <cols>
    <col min="1" max="1" width="4.625" style="67" customWidth="1"/>
    <col min="2" max="2" width="9.625" style="67" bestFit="1" customWidth="1"/>
    <col min="3" max="3" width="9.625" style="67" customWidth="1"/>
    <col min="4" max="4" width="7.875" style="67" bestFit="1" customWidth="1"/>
    <col min="5" max="5" width="12.875" style="67" bestFit="1" customWidth="1"/>
    <col min="6" max="6" width="11.625" style="67" bestFit="1" customWidth="1"/>
    <col min="7" max="7" width="6.625" style="67" bestFit="1" customWidth="1"/>
    <col min="8" max="9" width="9.875" style="67" customWidth="1"/>
    <col min="10" max="10" width="9.375" style="67" customWidth="1"/>
    <col min="11" max="11" width="48.125" style="5" bestFit="1" customWidth="1"/>
    <col min="12" max="12" width="9.875" style="67" customWidth="1"/>
    <col min="13" max="13" width="6.625" style="67" customWidth="1"/>
    <col min="14" max="14" width="12.875" style="5" customWidth="1"/>
    <col min="15" max="15" width="12.875" style="67" customWidth="1"/>
    <col min="16" max="16" width="12.875" style="67" bestFit="1" customWidth="1"/>
    <col min="17" max="30" width="10" style="67"/>
    <col min="31" max="31" width="2.625" style="67" customWidth="1"/>
    <col min="32" max="16384" width="10" style="67"/>
  </cols>
  <sheetData>
    <row r="2" spans="1:16" ht="17.25">
      <c r="A2" s="107" t="s">
        <v>836</v>
      </c>
    </row>
    <row r="3" spans="1:16" ht="5.0999999999999996" customHeight="1" thickBot="1"/>
    <row r="4" spans="1:16" ht="16.5" customHeight="1">
      <c r="A4" s="493" t="s">
        <v>766</v>
      </c>
      <c r="B4" s="491" t="s">
        <v>767</v>
      </c>
      <c r="C4" s="495"/>
      <c r="D4" s="495"/>
      <c r="E4" s="495"/>
      <c r="F4" s="495"/>
      <c r="G4" s="495"/>
      <c r="H4" s="493"/>
      <c r="I4" s="490" t="s">
        <v>41</v>
      </c>
      <c r="J4" s="496"/>
      <c r="K4" s="496"/>
      <c r="L4" s="496"/>
      <c r="M4" s="496"/>
      <c r="N4" s="481"/>
      <c r="O4" s="198"/>
      <c r="P4" s="491" t="s">
        <v>768</v>
      </c>
    </row>
    <row r="5" spans="1:16" ht="27.75" customHeight="1">
      <c r="A5" s="494"/>
      <c r="B5" s="196" t="s">
        <v>769</v>
      </c>
      <c r="C5" s="196" t="s">
        <v>770</v>
      </c>
      <c r="D5" s="196" t="s">
        <v>771</v>
      </c>
      <c r="E5" s="196" t="s">
        <v>772</v>
      </c>
      <c r="F5" s="196" t="s">
        <v>699</v>
      </c>
      <c r="G5" s="196" t="s">
        <v>700</v>
      </c>
      <c r="H5" s="196" t="s">
        <v>773</v>
      </c>
      <c r="I5" s="196" t="s">
        <v>93</v>
      </c>
      <c r="J5" s="196" t="s">
        <v>736</v>
      </c>
      <c r="K5" s="196" t="s">
        <v>764</v>
      </c>
      <c r="L5" s="196" t="s">
        <v>774</v>
      </c>
      <c r="M5" s="196" t="s">
        <v>775</v>
      </c>
      <c r="N5" s="196" t="s">
        <v>776</v>
      </c>
      <c r="O5" s="197" t="s">
        <v>777</v>
      </c>
      <c r="P5" s="492"/>
    </row>
    <row r="6" spans="1:16" ht="13.9" customHeight="1">
      <c r="A6" s="211">
        <f>ROW()-5</f>
        <v>1</v>
      </c>
      <c r="B6" s="211" t="str">
        <f ca="1">VLOOKUP(QUOTIENT($A6-1,84)+1,점검대상!$A:$K,2,)</f>
        <v>WINDOWS(샘플)</v>
      </c>
      <c r="C6" s="211" t="str">
        <f ca="1">VLOOKUP(QUOTIENT($A6-1,83)+1,점검대상!$A:$K,3,)</f>
        <v>WINDOWS 2012</v>
      </c>
      <c r="D6" s="211" t="str">
        <f ca="1">VLOOKUP(QUOTIENT($A6-1,83)+1,점검대상!$A:$K,4,)</f>
        <v>127.0.0.1</v>
      </c>
      <c r="E6" s="211" t="str">
        <f ca="1">VLOOKUP(QUOTIENT($A6-1,83)+1,점검대상!$A:$K,5,)</f>
        <v>파일 서버 용도</v>
      </c>
      <c r="F6" s="211" t="str">
        <f ca="1">VLOOKUP(QUOTIENT($A6-1,83)+1,점검대상!$A:$K,6,)</f>
        <v>시스템운영팀</v>
      </c>
      <c r="G6" s="211" t="str">
        <f ca="1">VLOOKUP(QUOTIENT($A6-1,83)+1,점검대상!$A:$K,7,)</f>
        <v>김담당</v>
      </c>
      <c r="H6" s="212" t="str">
        <f ca="1">VLOOKUP(QUOTIENT($A6-1,83)+1,점검대상!$A:$K,11,)</f>
        <v>상</v>
      </c>
      <c r="I6" s="213" t="str">
        <f>VLOOKUP($A6-((QUOTIENT($A6-1,83)+1)-1)*83,'#숨김. WINDOWS 서버 보안 가이드'!$A:$P,2,)</f>
        <v>보안 관리</v>
      </c>
      <c r="J6" s="213" t="str">
        <f>VLOOKUP($A6-((QUOTIENT($A6-1,83)+1)-1)*83,'#숨김. WINDOWS 서버 보안 가이드'!$A:$P,3,)</f>
        <v>SRV-001</v>
      </c>
      <c r="K6" s="214" t="str">
        <f>VLOOKUP($A6-((QUOTIENT($A6-1,83)+1)-1)*83,'#숨김. WINDOWS 서버 보안 가이드'!$A:$P,4,)</f>
        <v>안전한 네트워크 모니터링 서비스 사용</v>
      </c>
      <c r="L6" s="215">
        <f>VLOOKUP($A6-((QUOTIENT($A6-1,83)+1)-1)*83,'#숨김. WINDOWS 서버 보안 가이드'!$A:$P,7,)</f>
        <v>3</v>
      </c>
      <c r="M6" s="216" t="s">
        <v>749</v>
      </c>
      <c r="N6" s="217" t="s">
        <v>863</v>
      </c>
      <c r="O6" s="217" t="str">
        <f>IF(EXACT($M6,"취약"),VLOOKUP($A6-((QUOTIENT($A6-1,83)+1)-1)*84,'#숨김. WINDOWS 서버 보안 가이드'!$A:$P,16,),"-")</f>
        <v>[SNMP]
SNMP 서비스를 비활성화하거나, 서비스를 사용하는 경우  SNMP community string 기본값을 사용하지 않고, 영문자,숫자 포함 10자리 이상 또는 영문자, 숫자, 특수문자 포함하여 8자리 이상으로 설정
[WMI]
WMI 서비스를 사용하는 경우
1. DCOM 보안 설정에 기본 인증 수준이 는 "패킷 개인정보(Packet Privacy)" 속성 및 기본 가장 수준이 "식별(Identify)"등 클라이언트의 권한을 사용할 수 없는 속성으로 설정 
혹은
2. 로컬 보안 설정 탭에서 "NTLMv2 응답만 보내기 및 LM 및 NTLM은 거부" 등 NTLMv2를 사용하도록 설정</v>
      </c>
      <c r="P6" s="218"/>
    </row>
  </sheetData>
  <mergeCells count="4">
    <mergeCell ref="P4:P5"/>
    <mergeCell ref="A4:A5"/>
    <mergeCell ref="B4:H4"/>
    <mergeCell ref="I4:N4"/>
  </mergeCells>
  <phoneticPr fontId="1" type="noConversion"/>
  <conditionalFormatting sqref="M1:M3 M5:M1048576">
    <cfRule type="cellIs" dxfId="13" priority="1" operator="equal">
      <formula>"인터뷰"</formula>
    </cfRule>
    <cfRule type="cellIs" dxfId="12" priority="2" stopIfTrue="1" operator="equal">
      <formula>"취약"</formula>
    </cfRule>
    <cfRule type="cellIs" dxfId="11" priority="3" stopIfTrue="1" operator="equal">
      <formula>"부분만족"</formula>
    </cfRule>
    <cfRule type="cellIs" dxfId="10" priority="4" stopIfTrue="1" operator="equal">
      <formula>"N/A"</formula>
    </cfRule>
  </conditionalFormatting>
  <dataValidations count="2">
    <dataValidation allowBlank="1" showInputMessage="1" showErrorMessage="1" errorTitle="잘못된 입력값" error="&quot;Y&quot;, &quot;N&quot;, &quot;P&quot;, &quot;N/A&quot; 로 입력해 주세요." sqref="M982969:M983041 M65465:M65537 M131001:M131073 M196537:M196609 M262073:M262145 M327609:M327681 M393145:M393217 M458681:M458753 M524217:M524289 M589753:M589825 M655289:M655361 M720825:M720897 M786361:M786433 M851897:M851969 M917433:M917505" xr:uid="{00000000-0002-0000-0D00-000000000000}"/>
    <dataValidation type="list" showInputMessage="1" showErrorMessage="1" errorTitle="잘못된 입력값" error="양호, 취약, 부분만족, N/A 만 입력 가능합니다." sqref="M6" xr:uid="{00000000-0002-0000-0D00-000001000000}">
      <formula1>"양호,취약,부분만족,N/A,인터뷰"</formula1>
    </dataValidation>
  </dataValidations>
  <printOptions horizontalCentered="1"/>
  <pageMargins left="0.25" right="0.25" top="0.75" bottom="0.75" header="0.3" footer="0.3"/>
  <pageSetup paperSize="9" scale="67" fitToHeight="0" orientation="landscape" r:id="rId1"/>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2:R171"/>
  <sheetViews>
    <sheetView showGridLines="0" view="pageBreakPreview" zoomScale="85" zoomScaleNormal="85" zoomScaleSheetLayoutView="85" workbookViewId="0">
      <pane ySplit="16" topLeftCell="A17" activePane="bottomLeft" state="frozen"/>
      <selection activeCell="A17" sqref="A17:B17"/>
      <selection pane="bottomLeft"/>
    </sheetView>
  </sheetViews>
  <sheetFormatPr defaultColWidth="10" defaultRowHeight="13.5"/>
  <cols>
    <col min="1" max="11" width="6.625" style="5" customWidth="1"/>
    <col min="12" max="12" width="6.625" style="5" hidden="1" customWidth="1"/>
    <col min="13" max="17" width="6.625" style="5" customWidth="1"/>
    <col min="18" max="18" width="24.625" style="5" customWidth="1"/>
    <col min="19" max="32" width="10" style="5"/>
    <col min="33" max="33" width="2.625" style="5" customWidth="1"/>
    <col min="34" max="16384" width="10" style="5"/>
  </cols>
  <sheetData>
    <row r="2" spans="1:18" ht="18" customHeight="1">
      <c r="A2" s="44" t="s">
        <v>779</v>
      </c>
      <c r="B2" s="42"/>
      <c r="C2" s="42"/>
      <c r="D2" s="42"/>
      <c r="G2" s="42"/>
      <c r="H2" s="42"/>
      <c r="I2" s="42"/>
      <c r="J2" s="42"/>
      <c r="K2" s="42"/>
      <c r="Q2" s="177"/>
      <c r="R2" s="177" t="str">
        <f ca="1">HYPERLINK("[" &amp; MID(CELL("filename"),SEARCH("[",CELL("filename"))+1, SEARCH("]",CELL("filename"))-SEARCH("[",CELL("filename"))-1) &amp; "]'" &amp; "점검대상" &amp; "'!A1","[목차 바로가기]")</f>
        <v>[목차 바로가기]</v>
      </c>
    </row>
    <row r="3" spans="1:18" ht="4.5" customHeight="1" thickBot="1">
      <c r="A3" s="43"/>
      <c r="B3" s="43"/>
      <c r="C3" s="43"/>
      <c r="D3" s="43"/>
      <c r="E3" s="43"/>
      <c r="F3" s="43"/>
      <c r="K3" s="43"/>
    </row>
    <row r="4" spans="1:18" ht="27.75" customHeight="1" thickBot="1">
      <c r="A4" s="529" t="s">
        <v>780</v>
      </c>
      <c r="B4" s="530"/>
      <c r="C4" s="530" t="s">
        <v>781</v>
      </c>
      <c r="D4" s="530"/>
      <c r="E4" s="530" t="s">
        <v>782</v>
      </c>
      <c r="F4" s="530"/>
      <c r="G4" s="530" t="s">
        <v>783</v>
      </c>
      <c r="H4" s="530"/>
      <c r="I4" s="528" t="s">
        <v>784</v>
      </c>
      <c r="J4" s="529"/>
      <c r="K4" s="528" t="s">
        <v>700</v>
      </c>
      <c r="L4" s="534"/>
      <c r="M4" s="529"/>
      <c r="N4" s="528" t="s">
        <v>785</v>
      </c>
      <c r="O4" s="529"/>
      <c r="P4" s="528" t="s">
        <v>786</v>
      </c>
      <c r="Q4" s="529"/>
    </row>
    <row r="5" spans="1:18" ht="16.5" customHeight="1" thickBot="1">
      <c r="A5" s="510" t="str">
        <f ca="1">MID(CELL("filename",$A$1),FIND("]",CELL("filename",$A$1))+1,100)</f>
        <v>WINDOWS(샘플)</v>
      </c>
      <c r="B5" s="531"/>
      <c r="C5" s="531" t="str">
        <f ca="1">IFERROR(VLOOKUP($A$5,점검대상!$B:$K,3,FALSE),"-")</f>
        <v>127.0.0.1</v>
      </c>
      <c r="D5" s="531"/>
      <c r="E5" s="531" t="str">
        <f ca="1">IFERROR(VLOOKUP($A$5,점검대상!$B:$K,2,FALSE),"-")</f>
        <v>WINDOWS 2012</v>
      </c>
      <c r="F5" s="531"/>
      <c r="G5" s="531" t="str">
        <f ca="1">IFERROR(VLOOKUP($A$5,점검대상!$B:$K,4,FALSE),"-")</f>
        <v>파일 서버 용도</v>
      </c>
      <c r="H5" s="531"/>
      <c r="I5" s="532" t="str">
        <f ca="1">IFERROR(VLOOKUP($A$5,점검대상!$B:$K,5,FALSE),"-")</f>
        <v>시스템운영팀</v>
      </c>
      <c r="J5" s="533"/>
      <c r="K5" s="532" t="str">
        <f ca="1">IFERROR(VLOOKUP($A$5,점검대상!$B:$K,6,FALSE),"-")</f>
        <v>김담당</v>
      </c>
      <c r="L5" s="535"/>
      <c r="M5" s="533"/>
      <c r="N5" s="509" t="str">
        <f ca="1">IFERROR(VLOOKUP($A$5,점검대상!$B:$K,10,FALSE),"-")</f>
        <v>상</v>
      </c>
      <c r="O5" s="510"/>
      <c r="P5" s="507" t="e">
        <f ca="1">K12</f>
        <v>#N/A</v>
      </c>
      <c r="Q5" s="508"/>
    </row>
    <row r="6" spans="1:18" ht="19.899999999999999" hidden="1" customHeight="1" thickBot="1">
      <c r="A6" s="45" t="s">
        <v>787</v>
      </c>
    </row>
    <row r="7" spans="1:18" ht="15.6" hidden="1" customHeight="1">
      <c r="A7" s="519" t="s">
        <v>788</v>
      </c>
      <c r="B7" s="511"/>
      <c r="C7" s="511"/>
      <c r="D7" s="511" t="s">
        <v>789</v>
      </c>
      <c r="E7" s="511"/>
      <c r="F7" s="511"/>
      <c r="G7" s="511"/>
      <c r="H7" s="511"/>
      <c r="I7" s="511" t="s">
        <v>790</v>
      </c>
      <c r="J7" s="511"/>
      <c r="K7" s="512"/>
    </row>
    <row r="8" spans="1:18" ht="13.5" hidden="1" customHeight="1" thickBot="1">
      <c r="A8" s="520"/>
      <c r="B8" s="521"/>
      <c r="C8" s="521"/>
      <c r="D8" s="118" t="s">
        <v>791</v>
      </c>
      <c r="E8" s="118" t="s">
        <v>792</v>
      </c>
      <c r="F8" s="118" t="s">
        <v>793</v>
      </c>
      <c r="G8" s="118" t="s">
        <v>794</v>
      </c>
      <c r="H8" s="118" t="s">
        <v>795</v>
      </c>
      <c r="I8" s="118" t="s">
        <v>796</v>
      </c>
      <c r="J8" s="118" t="s">
        <v>848</v>
      </c>
      <c r="K8" s="119" t="s">
        <v>797</v>
      </c>
    </row>
    <row r="9" spans="1:18" ht="15.6" hidden="1" customHeight="1">
      <c r="A9" s="515" t="str">
        <f>'보안수준 통계'!A11</f>
        <v>보안 관리</v>
      </c>
      <c r="B9" s="516"/>
      <c r="C9" s="516"/>
      <c r="D9" s="117">
        <f>COUNTIF($A$17:$B$99,$A9)</f>
        <v>73</v>
      </c>
      <c r="E9" s="117" t="e">
        <f ca="1">$D9-H9</f>
        <v>#N/A</v>
      </c>
      <c r="F9" s="57" t="e" cm="1">
        <f t="array" aca="1" ref="F9" ca="1">SUMPRODUCT(($A$17:$B$99=$A9)*($M$17:$M$99=F$8))</f>
        <v>#N/A</v>
      </c>
      <c r="G9" s="57" t="e" cm="1">
        <f t="array" aca="1" ref="G9" ca="1">SUMPRODUCT(($A$17:$B$99=$A9)*($M$17:$M$99=G$8))</f>
        <v>#N/A</v>
      </c>
      <c r="H9" s="57" t="e" cm="1">
        <f t="array" aca="1" ref="H9" ca="1">SUMPRODUCT(($A$17:$B$99=$A9)*($M$17:$M$99="N/A"))</f>
        <v>#N/A</v>
      </c>
      <c r="I9" s="50" t="e">
        <f ca="1">SUMIF($A$17:$B$99,$A9,$L$17:$L$99)</f>
        <v>#N/A</v>
      </c>
      <c r="J9" s="50">
        <f ca="1">SUMIFS($L$17:$L$99,$A$17:$A$99,$A9,$M$17:$M$99,"양호")</f>
        <v>0</v>
      </c>
      <c r="K9" s="191" t="e">
        <f ca="1">IF(I9=0,"N/A",J9/I9)</f>
        <v>#N/A</v>
      </c>
    </row>
    <row r="10" spans="1:18" ht="15.6" hidden="1" customHeight="1">
      <c r="A10" s="517" t="str">
        <f>'보안수준 통계'!A12</f>
        <v>사용자 인증</v>
      </c>
      <c r="B10" s="518"/>
      <c r="C10" s="518"/>
      <c r="D10" s="117">
        <f>COUNTIF($A$17:$B$99,$A10)</f>
        <v>8</v>
      </c>
      <c r="E10" s="57" t="e">
        <f ca="1">$D10-H10</f>
        <v>#N/A</v>
      </c>
      <c r="F10" s="57" t="e" cm="1">
        <f t="array" aca="1" ref="F10" ca="1">SUMPRODUCT(($A$17:$B$99=$A10)*($M$17:$M$99=F$8))</f>
        <v>#N/A</v>
      </c>
      <c r="G10" s="57" t="e" cm="1">
        <f t="array" aca="1" ref="G10" ca="1">SUMPRODUCT(($A$17:$B$99=$A10)*($M$17:$M$99=G$8))</f>
        <v>#N/A</v>
      </c>
      <c r="H10" s="57" t="e" cm="1">
        <f t="array" aca="1" ref="H10" ca="1">SUMPRODUCT(($A$17:$B$99=$A10)*($M$17:$M$99="N/A"))</f>
        <v>#N/A</v>
      </c>
      <c r="I10" s="47" t="e">
        <f ca="1">SUMIF($A$17:$B$99,$A10,$L$17:$L$99)</f>
        <v>#N/A</v>
      </c>
      <c r="J10" s="47">
        <f ca="1">SUMIFS($L$17:$L$99,$A$17:$A$99,$A10,$M$17:$M$99,"양호")</f>
        <v>0</v>
      </c>
      <c r="K10" s="192" t="e">
        <f ca="1">IF(I10=0,"N/A",J10/I10)</f>
        <v>#N/A</v>
      </c>
    </row>
    <row r="11" spans="1:18" ht="16.149999999999999" hidden="1" customHeight="1" thickBot="1">
      <c r="A11" s="517" t="str">
        <f>'보안수준 통계'!A13</f>
        <v>패치 관리</v>
      </c>
      <c r="B11" s="518"/>
      <c r="C11" s="518"/>
      <c r="D11" s="117">
        <f>COUNTIF($A$17:$B$99,$A11)</f>
        <v>2</v>
      </c>
      <c r="E11" s="57" t="e">
        <f ca="1">$D11-H11</f>
        <v>#N/A</v>
      </c>
      <c r="F11" s="57" t="e" cm="1">
        <f t="array" aca="1" ref="F11" ca="1">SUMPRODUCT(($A$17:$B$99=$A11)*($M$17:$M$99=F$8))</f>
        <v>#N/A</v>
      </c>
      <c r="G11" s="57" t="e" cm="1">
        <f t="array" aca="1" ref="G11" ca="1">SUMPRODUCT(($A$17:$B$99=$A11)*($M$17:$M$99=G$8))</f>
        <v>#N/A</v>
      </c>
      <c r="H11" s="57" t="e" cm="1">
        <f t="array" aca="1" ref="H11" ca="1">SUMPRODUCT(($A$17:$B$99=$A11)*($M$17:$M$99="N/A"))</f>
        <v>#N/A</v>
      </c>
      <c r="I11" s="47" t="e">
        <f ca="1">SUMIF($A$17:$B$99,$A11,$L$17:$L$99)</f>
        <v>#N/A</v>
      </c>
      <c r="J11" s="47">
        <f ca="1">SUMIFS($L$17:$L$99,$A$17:$A$99,$A11,$M$17:$M$99,"양호")</f>
        <v>0</v>
      </c>
      <c r="K11" s="192" t="e">
        <f ca="1">IF(I11=0,"N/A",J11/I11)</f>
        <v>#N/A</v>
      </c>
    </row>
    <row r="12" spans="1:18" ht="16.149999999999999" hidden="1" customHeight="1" thickBot="1">
      <c r="A12" s="513" t="s">
        <v>798</v>
      </c>
      <c r="B12" s="514"/>
      <c r="C12" s="514"/>
      <c r="D12" s="120">
        <f t="shared" ref="D12:E12" si="0">SUM(D9:D11)</f>
        <v>83</v>
      </c>
      <c r="E12" s="120" t="e">
        <f t="shared" ca="1" si="0"/>
        <v>#N/A</v>
      </c>
      <c r="F12" s="120" t="e">
        <f ca="1">SUM(F9:F11)</f>
        <v>#N/A</v>
      </c>
      <c r="G12" s="120" t="e">
        <f ca="1">SUM(G9:G11)</f>
        <v>#N/A</v>
      </c>
      <c r="H12" s="120" t="e">
        <f ca="1">SUM(H9:H11)</f>
        <v>#N/A</v>
      </c>
      <c r="I12" s="120" t="e">
        <f ca="1">SUM(I9:I11)</f>
        <v>#N/A</v>
      </c>
      <c r="J12" s="120">
        <f ca="1">SUM(J9:J11)</f>
        <v>0</v>
      </c>
      <c r="K12" s="193" t="e">
        <f ca="1">IF(I12=0,"N/A",J12/I12)</f>
        <v>#N/A</v>
      </c>
    </row>
    <row r="13" spans="1:18" ht="4.5" customHeight="1"/>
    <row r="14" spans="1:18" ht="17.25">
      <c r="A14" s="45" t="s">
        <v>799</v>
      </c>
      <c r="R14" s="178"/>
    </row>
    <row r="15" spans="1:18" ht="4.5" customHeight="1" thickBot="1"/>
    <row r="16" spans="1:18" ht="27.75" customHeight="1" thickBot="1">
      <c r="A16" s="506" t="s">
        <v>685</v>
      </c>
      <c r="B16" s="536"/>
      <c r="C16" s="536" t="s">
        <v>737</v>
      </c>
      <c r="D16" s="536"/>
      <c r="E16" s="536"/>
      <c r="F16" s="536"/>
      <c r="G16" s="536"/>
      <c r="H16" s="536"/>
      <c r="I16" s="536"/>
      <c r="J16" s="536"/>
      <c r="K16" s="100" t="s">
        <v>733</v>
      </c>
      <c r="L16" s="100" t="s">
        <v>800</v>
      </c>
      <c r="M16" s="100" t="s">
        <v>775</v>
      </c>
      <c r="N16" s="504" t="s">
        <v>801</v>
      </c>
      <c r="O16" s="505"/>
      <c r="P16" s="505"/>
      <c r="Q16" s="506"/>
      <c r="R16" s="101" t="s">
        <v>802</v>
      </c>
    </row>
    <row r="17" spans="1:18" ht="13.5" customHeight="1">
      <c r="A17" s="537" t="s">
        <v>742</v>
      </c>
      <c r="B17" s="538"/>
      <c r="C17" s="540" t="s">
        <v>110</v>
      </c>
      <c r="D17" s="540"/>
      <c r="E17" s="539" t="s">
        <v>892</v>
      </c>
      <c r="F17" s="539"/>
      <c r="G17" s="539"/>
      <c r="H17" s="539"/>
      <c r="I17" s="539"/>
      <c r="J17" s="539"/>
      <c r="K17" s="228" t="s">
        <v>743</v>
      </c>
      <c r="L17" s="219">
        <f ca="1">IF(M17="N/A","-",'요약 통계'!E6)</f>
        <v>3</v>
      </c>
      <c r="M17" s="229" t="str">
        <f t="array" aca="1" ref="M17" ca="1">INDEX('통합 점검결과'!$M:$M,MATCH(1,('통합 점검결과'!$B:$B=$A$5)*('통합 점검결과'!$J:$J=$C17),0))</f>
        <v>취약</v>
      </c>
      <c r="N17" s="522" t="str">
        <f t="array" aca="1" ref="N17" ca="1">INDEX('통합 점검결과'!$N:$N,MATCH(1,('통합 점검결과'!$B:$B=$A$5)*('통합 점검결과'!$J:$J=$C17),0))</f>
        <v>SNMP 서비스가 활성화되어 있으며, SNMP community string을 “public, private"를 사용하거나, 복잡도를 만족하지 않음</v>
      </c>
      <c r="O17" s="523"/>
      <c r="P17" s="523"/>
      <c r="Q17" s="524"/>
      <c r="R17" s="220" t="str">
        <f t="array" aca="1" ref="R17" ca="1">INDEX('통합 점검결과'!$O:$O,MATCH(1,('통합 점검결과'!$B:$B=$A$5)*('통합 점검결과'!$J:$J=$C17),0))</f>
        <v>[SNMP]
SNMP 서비스를 비활성화하거나, 서비스를 사용하는 경우  SNMP community string 기본값을 사용하지 않고, 영문자,숫자 포함 10자리 이상 또는 영문자, 숫자, 특수문자 포함하여 8자리 이상으로 설정
[WMI]
WMI 서비스를 사용하는 경우
1. DCOM 보안 설정에 기본 인증 수준이 는 "패킷 개인정보(Packet Privacy)" 속성 및 기본 가장 수준이 "식별(Identify)"등 클라이언트의 권한을 사용할 수 없는 속성으로 설정 
혹은
2. 로컬 보안 설정 탭에서 "NTLMv2 응답만 보내기 및 LM 및 NTLM은 거부" 등 NTLMv2를 사용하도록 설정</v>
      </c>
    </row>
    <row r="18" spans="1:18" ht="13.5" customHeight="1">
      <c r="A18" s="497" t="s">
        <v>742</v>
      </c>
      <c r="B18" s="498"/>
      <c r="C18" s="499" t="s">
        <v>116</v>
      </c>
      <c r="D18" s="500"/>
      <c r="E18" s="501" t="s">
        <v>894</v>
      </c>
      <c r="F18" s="502"/>
      <c r="G18" s="502"/>
      <c r="H18" s="502"/>
      <c r="I18" s="502"/>
      <c r="J18" s="503"/>
      <c r="K18" s="230" t="s">
        <v>743</v>
      </c>
      <c r="L18" s="47" t="e">
        <f ca="1">IF(M18="N/A","-",'요약 통계'!E7)</f>
        <v>#N/A</v>
      </c>
      <c r="M18" s="231" t="e" cm="1">
        <f t="array" aca="1" ref="M18" ca="1">INDEX('통합 점검결과'!$M:$M,MATCH(1,('통합 점검결과'!$B:$B=$A$5)*('통합 점검결과'!$J:$J=$C18),0))</f>
        <v>#N/A</v>
      </c>
      <c r="N18" s="525" t="e" cm="1">
        <f t="array" aca="1" ref="N18" ca="1">INDEX('통합 점검결과'!$N:$N,MATCH(1,('통합 점검결과'!$B:$B=$A$5)*('통합 점검결과'!$J:$J=$C18),0))</f>
        <v>#N/A</v>
      </c>
      <c r="O18" s="526"/>
      <c r="P18" s="526"/>
      <c r="Q18" s="527"/>
      <c r="R18" s="99" t="e">
        <f t="array" aca="1" ref="R18" ca="1">INDEX('통합 점검결과'!$O:$O,MATCH(1,('통합 점검결과'!$B:$B=$A$5)*('통합 점검결과'!$J:$J=$C18),0))</f>
        <v>#N/A</v>
      </c>
    </row>
    <row r="19" spans="1:18" ht="13.5" customHeight="1">
      <c r="A19" s="497" t="s">
        <v>742</v>
      </c>
      <c r="B19" s="498"/>
      <c r="C19" s="499" t="s">
        <v>118</v>
      </c>
      <c r="D19" s="500"/>
      <c r="E19" s="501" t="s">
        <v>119</v>
      </c>
      <c r="F19" s="502"/>
      <c r="G19" s="502"/>
      <c r="H19" s="502"/>
      <c r="I19" s="502"/>
      <c r="J19" s="503"/>
      <c r="K19" s="230" t="s">
        <v>743</v>
      </c>
      <c r="L19" s="47" t="e">
        <f ca="1">IF(M19="N/A","-",'요약 통계'!E8)</f>
        <v>#N/A</v>
      </c>
      <c r="M19" s="231" t="e" cm="1">
        <f t="array" aca="1" ref="M19" ca="1">INDEX('통합 점검결과'!$M:$M,MATCH(1,('통합 점검결과'!$B:$B=$A$5)*('통합 점검결과'!$J:$J=$C19),0))</f>
        <v>#N/A</v>
      </c>
      <c r="N19" s="525" t="e" cm="1">
        <f t="array" aca="1" ref="N19" ca="1">INDEX('통합 점검결과'!$N:$N,MATCH(1,('통합 점검결과'!$B:$B=$A$5)*('통합 점검결과'!$J:$J=$C19),0))</f>
        <v>#N/A</v>
      </c>
      <c r="O19" s="526"/>
      <c r="P19" s="526"/>
      <c r="Q19" s="527"/>
      <c r="R19" s="99" t="e">
        <f t="array" aca="1" ref="R19" ca="1">INDEX('통합 점검결과'!$O:$O,MATCH(1,('통합 점검결과'!$B:$B=$A$5)*('통합 점검결과'!$J:$J=$C19),0))</f>
        <v>#N/A</v>
      </c>
    </row>
    <row r="20" spans="1:18" ht="13.5" customHeight="1">
      <c r="A20" s="497" t="s">
        <v>742</v>
      </c>
      <c r="B20" s="498"/>
      <c r="C20" s="499" t="s">
        <v>125</v>
      </c>
      <c r="D20" s="500"/>
      <c r="E20" s="501" t="s">
        <v>126</v>
      </c>
      <c r="F20" s="502"/>
      <c r="G20" s="502"/>
      <c r="H20" s="502"/>
      <c r="I20" s="502"/>
      <c r="J20" s="503"/>
      <c r="K20" s="230" t="s">
        <v>714</v>
      </c>
      <c r="L20" s="47" t="e">
        <f ca="1">IF(M20="N/A","-",'요약 통계'!E9)</f>
        <v>#N/A</v>
      </c>
      <c r="M20" s="231" t="e" cm="1">
        <f t="array" aca="1" ref="M20" ca="1">INDEX('통합 점검결과'!$M:$M,MATCH(1,('통합 점검결과'!$B:$B=$A$5)*('통합 점검결과'!$J:$J=$C20),0))</f>
        <v>#N/A</v>
      </c>
      <c r="N20" s="525" t="e" cm="1">
        <f t="array" aca="1" ref="N20" ca="1">INDEX('통합 점검결과'!$N:$N,MATCH(1,('통합 점검결과'!$B:$B=$A$5)*('통합 점검결과'!$J:$J=$C20),0))</f>
        <v>#N/A</v>
      </c>
      <c r="O20" s="526"/>
      <c r="P20" s="526"/>
      <c r="Q20" s="527"/>
      <c r="R20" s="99" t="e">
        <f t="array" aca="1" ref="R20" ca="1">INDEX('통합 점검결과'!$O:$O,MATCH(1,('통합 점검결과'!$B:$B=$A$5)*('통합 점검결과'!$J:$J=$C20),0))</f>
        <v>#N/A</v>
      </c>
    </row>
    <row r="21" spans="1:18" ht="13.5" customHeight="1">
      <c r="A21" s="497" t="s">
        <v>742</v>
      </c>
      <c r="B21" s="498"/>
      <c r="C21" s="499" t="s">
        <v>133</v>
      </c>
      <c r="D21" s="500"/>
      <c r="E21" s="501" t="s">
        <v>134</v>
      </c>
      <c r="F21" s="502"/>
      <c r="G21" s="502"/>
      <c r="H21" s="502"/>
      <c r="I21" s="502"/>
      <c r="J21" s="503"/>
      <c r="K21" s="230" t="s">
        <v>714</v>
      </c>
      <c r="L21" s="47" t="e">
        <f ca="1">IF(M21="N/A","-",'요약 통계'!E10)</f>
        <v>#N/A</v>
      </c>
      <c r="M21" s="231" t="e" cm="1">
        <f t="array" aca="1" ref="M21" ca="1">INDEX('통합 점검결과'!$M:$M,MATCH(1,('통합 점검결과'!$B:$B=$A$5)*('통합 점검결과'!$J:$J=$C21),0))</f>
        <v>#N/A</v>
      </c>
      <c r="N21" s="525" t="e" cm="1">
        <f t="array" aca="1" ref="N21" ca="1">INDEX('통합 점검결과'!$N:$N,MATCH(1,('통합 점검결과'!$B:$B=$A$5)*('통합 점검결과'!$J:$J=$C21),0))</f>
        <v>#N/A</v>
      </c>
      <c r="O21" s="526"/>
      <c r="P21" s="526"/>
      <c r="Q21" s="527"/>
      <c r="R21" s="99" t="e">
        <f t="array" aca="1" ref="R21" ca="1">INDEX('통합 점검결과'!$O:$O,MATCH(1,('통합 점검결과'!$B:$B=$A$5)*('통합 점검결과'!$J:$J=$C21),0))</f>
        <v>#N/A</v>
      </c>
    </row>
    <row r="22" spans="1:18" ht="13.5" customHeight="1">
      <c r="A22" s="497" t="s">
        <v>742</v>
      </c>
      <c r="B22" s="498"/>
      <c r="C22" s="499" t="s">
        <v>140</v>
      </c>
      <c r="D22" s="500"/>
      <c r="E22" s="501" t="s">
        <v>141</v>
      </c>
      <c r="F22" s="502"/>
      <c r="G22" s="502"/>
      <c r="H22" s="502"/>
      <c r="I22" s="502"/>
      <c r="J22" s="503"/>
      <c r="K22" s="230" t="s">
        <v>714</v>
      </c>
      <c r="L22" s="47" t="e">
        <f ca="1">IF(M22="N/A","-",'요약 통계'!E11)</f>
        <v>#N/A</v>
      </c>
      <c r="M22" s="231" t="e" cm="1">
        <f t="array" aca="1" ref="M22" ca="1">INDEX('통합 점검결과'!$M:$M,MATCH(1,('통합 점검결과'!$B:$B=$A$5)*('통합 점검결과'!$J:$J=$C22),0))</f>
        <v>#N/A</v>
      </c>
      <c r="N22" s="525" t="e" cm="1">
        <f t="array" aca="1" ref="N22" ca="1">INDEX('통합 점검결과'!$N:$N,MATCH(1,('통합 점검결과'!$B:$B=$A$5)*('통합 점검결과'!$J:$J=$C22),0))</f>
        <v>#N/A</v>
      </c>
      <c r="O22" s="526"/>
      <c r="P22" s="526"/>
      <c r="Q22" s="527"/>
      <c r="R22" s="99" t="e">
        <f t="array" aca="1" ref="R22" ca="1">INDEX('통합 점검결과'!$O:$O,MATCH(1,('통합 점검결과'!$B:$B=$A$5)*('통합 점검결과'!$J:$J=$C22),0))</f>
        <v>#N/A</v>
      </c>
    </row>
    <row r="23" spans="1:18" ht="13.5" customHeight="1">
      <c r="A23" s="497" t="s">
        <v>742</v>
      </c>
      <c r="B23" s="498"/>
      <c r="C23" s="499" t="s">
        <v>148</v>
      </c>
      <c r="D23" s="500"/>
      <c r="E23" s="501" t="s">
        <v>149</v>
      </c>
      <c r="F23" s="502"/>
      <c r="G23" s="502"/>
      <c r="H23" s="502"/>
      <c r="I23" s="502"/>
      <c r="J23" s="503"/>
      <c r="K23" s="230" t="s">
        <v>714</v>
      </c>
      <c r="L23" s="47" t="e">
        <f ca="1">IF(M23="N/A","-",'요약 통계'!E12)</f>
        <v>#N/A</v>
      </c>
      <c r="M23" s="231" t="e" cm="1">
        <f t="array" aca="1" ref="M23" ca="1">INDEX('통합 점검결과'!$M:$M,MATCH(1,('통합 점검결과'!$B:$B=$A$5)*('통합 점검결과'!$J:$J=$C23),0))</f>
        <v>#N/A</v>
      </c>
      <c r="N23" s="525" t="e" cm="1">
        <f t="array" aca="1" ref="N23" ca="1">INDEX('통합 점검결과'!$N:$N,MATCH(1,('통합 점검결과'!$B:$B=$A$5)*('통합 점검결과'!$J:$J=$C23),0))</f>
        <v>#N/A</v>
      </c>
      <c r="O23" s="526"/>
      <c r="P23" s="526"/>
      <c r="Q23" s="527"/>
      <c r="R23" s="99" t="e">
        <f t="array" aca="1" ref="R23" ca="1">INDEX('통합 점검결과'!$O:$O,MATCH(1,('통합 점검결과'!$B:$B=$A$5)*('통합 점검결과'!$J:$J=$C23),0))</f>
        <v>#N/A</v>
      </c>
    </row>
    <row r="24" spans="1:18" ht="13.5" customHeight="1">
      <c r="A24" s="497" t="s">
        <v>742</v>
      </c>
      <c r="B24" s="498"/>
      <c r="C24" s="499" t="s">
        <v>154</v>
      </c>
      <c r="D24" s="500"/>
      <c r="E24" s="501" t="s">
        <v>155</v>
      </c>
      <c r="F24" s="502"/>
      <c r="G24" s="502"/>
      <c r="H24" s="502"/>
      <c r="I24" s="502"/>
      <c r="J24" s="503"/>
      <c r="K24" s="230" t="s">
        <v>743</v>
      </c>
      <c r="L24" s="47" t="e">
        <f ca="1">IF(M24="N/A","-",'요약 통계'!E13)</f>
        <v>#N/A</v>
      </c>
      <c r="M24" s="231" t="e" cm="1">
        <f t="array" aca="1" ref="M24" ca="1">INDEX('통합 점검결과'!$M:$M,MATCH(1,('통합 점검결과'!$B:$B=$A$5)*('통합 점검결과'!$J:$J=$C24),0))</f>
        <v>#N/A</v>
      </c>
      <c r="N24" s="525" t="e" cm="1">
        <f t="array" aca="1" ref="N24" ca="1">INDEX('통합 점검결과'!$N:$N,MATCH(1,('통합 점검결과'!$B:$B=$A$5)*('통합 점검결과'!$J:$J=$C24),0))</f>
        <v>#N/A</v>
      </c>
      <c r="O24" s="526"/>
      <c r="P24" s="526"/>
      <c r="Q24" s="527"/>
      <c r="R24" s="99" t="e">
        <f t="array" aca="1" ref="R24" ca="1">INDEX('통합 점검결과'!$O:$O,MATCH(1,('통합 점검결과'!$B:$B=$A$5)*('통합 점검결과'!$J:$J=$C24),0))</f>
        <v>#N/A</v>
      </c>
    </row>
    <row r="25" spans="1:18" ht="13.5" customHeight="1">
      <c r="A25" s="497" t="s">
        <v>742</v>
      </c>
      <c r="B25" s="498"/>
      <c r="C25" s="499" t="s">
        <v>161</v>
      </c>
      <c r="D25" s="500"/>
      <c r="E25" s="501" t="s">
        <v>162</v>
      </c>
      <c r="F25" s="502"/>
      <c r="G25" s="502"/>
      <c r="H25" s="502"/>
      <c r="I25" s="502"/>
      <c r="J25" s="503"/>
      <c r="K25" s="230" t="s">
        <v>743</v>
      </c>
      <c r="L25" s="47" t="e">
        <f ca="1">IF(M25="N/A","-",'요약 통계'!E14)</f>
        <v>#N/A</v>
      </c>
      <c r="M25" s="231" t="e" cm="1">
        <f t="array" aca="1" ref="M25" ca="1">INDEX('통합 점검결과'!$M:$M,MATCH(1,('통합 점검결과'!$B:$B=$A$5)*('통합 점검결과'!$J:$J=$C25),0))</f>
        <v>#N/A</v>
      </c>
      <c r="N25" s="525" t="e" cm="1">
        <f t="array" aca="1" ref="N25" ca="1">INDEX('통합 점검결과'!$N:$N,MATCH(1,('통합 점검결과'!$B:$B=$A$5)*('통합 점검결과'!$J:$J=$C25),0))</f>
        <v>#N/A</v>
      </c>
      <c r="O25" s="526"/>
      <c r="P25" s="526"/>
      <c r="Q25" s="527"/>
      <c r="R25" s="99" t="e">
        <f t="array" aca="1" ref="R25" ca="1">INDEX('통합 점검결과'!$O:$O,MATCH(1,('통합 점검결과'!$B:$B=$A$5)*('통합 점검결과'!$J:$J=$C25),0))</f>
        <v>#N/A</v>
      </c>
    </row>
    <row r="26" spans="1:18" ht="13.5" customHeight="1">
      <c r="A26" s="497" t="s">
        <v>742</v>
      </c>
      <c r="B26" s="498"/>
      <c r="C26" s="499" t="s">
        <v>169</v>
      </c>
      <c r="D26" s="500"/>
      <c r="E26" s="501" t="s">
        <v>170</v>
      </c>
      <c r="F26" s="502"/>
      <c r="G26" s="502"/>
      <c r="H26" s="502"/>
      <c r="I26" s="502"/>
      <c r="J26" s="503"/>
      <c r="K26" s="230" t="s">
        <v>743</v>
      </c>
      <c r="L26" s="47" t="e">
        <f ca="1">IF(M26="N/A","-",'요약 통계'!E15)</f>
        <v>#N/A</v>
      </c>
      <c r="M26" s="231" t="e" cm="1">
        <f t="array" aca="1" ref="M26" ca="1">INDEX('통합 점검결과'!$M:$M,MATCH(1,('통합 점검결과'!$B:$B=$A$5)*('통합 점검결과'!$J:$J=$C26),0))</f>
        <v>#N/A</v>
      </c>
      <c r="N26" s="525" t="e" cm="1">
        <f t="array" aca="1" ref="N26" ca="1">INDEX('통합 점검결과'!$N:$N,MATCH(1,('통합 점검결과'!$B:$B=$A$5)*('통합 점검결과'!$J:$J=$C26),0))</f>
        <v>#N/A</v>
      </c>
      <c r="O26" s="526"/>
      <c r="P26" s="526"/>
      <c r="Q26" s="527"/>
      <c r="R26" s="99" t="e">
        <f t="array" aca="1" ref="R26" ca="1">INDEX('통합 점검결과'!$O:$O,MATCH(1,('통합 점검결과'!$B:$B=$A$5)*('통합 점검결과'!$J:$J=$C26),0))</f>
        <v>#N/A</v>
      </c>
    </row>
    <row r="27" spans="1:18" ht="13.5" customHeight="1">
      <c r="A27" s="497" t="s">
        <v>742</v>
      </c>
      <c r="B27" s="498"/>
      <c r="C27" s="499" t="s">
        <v>176</v>
      </c>
      <c r="D27" s="500"/>
      <c r="E27" s="501" t="s">
        <v>177</v>
      </c>
      <c r="F27" s="502"/>
      <c r="G27" s="502"/>
      <c r="H27" s="502"/>
      <c r="I27" s="502"/>
      <c r="J27" s="503"/>
      <c r="K27" s="230" t="s">
        <v>714</v>
      </c>
      <c r="L27" s="47" t="e">
        <f ca="1">IF(M27="N/A","-",'요약 통계'!E16)</f>
        <v>#N/A</v>
      </c>
      <c r="M27" s="231" t="e" cm="1">
        <f t="array" aca="1" ref="M27" ca="1">INDEX('통합 점검결과'!$M:$M,MATCH(1,('통합 점검결과'!$B:$B=$A$5)*('통합 점검결과'!$J:$J=$C27),0))</f>
        <v>#N/A</v>
      </c>
      <c r="N27" s="525" t="e" cm="1">
        <f t="array" aca="1" ref="N27" ca="1">INDEX('통합 점검결과'!$N:$N,MATCH(1,('통합 점검결과'!$B:$B=$A$5)*('통합 점검결과'!$J:$J=$C27),0))</f>
        <v>#N/A</v>
      </c>
      <c r="O27" s="526"/>
      <c r="P27" s="526"/>
      <c r="Q27" s="527"/>
      <c r="R27" s="99" t="e">
        <f t="array" aca="1" ref="R27" ca="1">INDEX('통합 점검결과'!$O:$O,MATCH(1,('통합 점검결과'!$B:$B=$A$5)*('통합 점검결과'!$J:$J=$C27),0))</f>
        <v>#N/A</v>
      </c>
    </row>
    <row r="28" spans="1:18" ht="13.5" customHeight="1">
      <c r="A28" s="497" t="s">
        <v>742</v>
      </c>
      <c r="B28" s="498"/>
      <c r="C28" s="499" t="s">
        <v>182</v>
      </c>
      <c r="D28" s="500"/>
      <c r="E28" s="501" t="s">
        <v>183</v>
      </c>
      <c r="F28" s="502"/>
      <c r="G28" s="502"/>
      <c r="H28" s="502"/>
      <c r="I28" s="502"/>
      <c r="J28" s="503"/>
      <c r="K28" s="230" t="s">
        <v>744</v>
      </c>
      <c r="L28" s="47" t="e">
        <f ca="1">IF(M28="N/A","-",'요약 통계'!E17)</f>
        <v>#N/A</v>
      </c>
      <c r="M28" s="231" t="e" cm="1">
        <f t="array" aca="1" ref="M28" ca="1">INDEX('통합 점검결과'!$M:$M,MATCH(1,('통합 점검결과'!$B:$B=$A$5)*('통합 점검결과'!$J:$J=$C28),0))</f>
        <v>#N/A</v>
      </c>
      <c r="N28" s="525" t="e" cm="1">
        <f t="array" aca="1" ref="N28" ca="1">INDEX('통합 점검결과'!$N:$N,MATCH(1,('통합 점검결과'!$B:$B=$A$5)*('통합 점검결과'!$J:$J=$C28),0))</f>
        <v>#N/A</v>
      </c>
      <c r="O28" s="526"/>
      <c r="P28" s="526"/>
      <c r="Q28" s="527"/>
      <c r="R28" s="99" t="e">
        <f t="array" aca="1" ref="R28" ca="1">INDEX('통합 점검결과'!$O:$O,MATCH(1,('통합 점검결과'!$B:$B=$A$5)*('통합 점검결과'!$J:$J=$C28),0))</f>
        <v>#N/A</v>
      </c>
    </row>
    <row r="29" spans="1:18" ht="13.5" customHeight="1">
      <c r="A29" s="497" t="s">
        <v>742</v>
      </c>
      <c r="B29" s="498"/>
      <c r="C29" s="499" t="s">
        <v>190</v>
      </c>
      <c r="D29" s="500"/>
      <c r="E29" s="501" t="s">
        <v>191</v>
      </c>
      <c r="F29" s="502"/>
      <c r="G29" s="502"/>
      <c r="H29" s="502"/>
      <c r="I29" s="502"/>
      <c r="J29" s="503"/>
      <c r="K29" s="230" t="s">
        <v>743</v>
      </c>
      <c r="L29" s="47" t="e">
        <f ca="1">IF(M29="N/A","-",'요약 통계'!E18)</f>
        <v>#N/A</v>
      </c>
      <c r="M29" s="231" t="e" cm="1">
        <f t="array" aca="1" ref="M29" ca="1">INDEX('통합 점검결과'!$M:$M,MATCH(1,('통합 점검결과'!$B:$B=$A$5)*('통합 점검결과'!$J:$J=$C29),0))</f>
        <v>#N/A</v>
      </c>
      <c r="N29" s="525" t="e" cm="1">
        <f t="array" aca="1" ref="N29" ca="1">INDEX('통합 점검결과'!$N:$N,MATCH(1,('통합 점검결과'!$B:$B=$A$5)*('통합 점검결과'!$J:$J=$C29),0))</f>
        <v>#N/A</v>
      </c>
      <c r="O29" s="526"/>
      <c r="P29" s="526"/>
      <c r="Q29" s="527"/>
      <c r="R29" s="99" t="e">
        <f t="array" aca="1" ref="R29" ca="1">INDEX('통합 점검결과'!$O:$O,MATCH(1,('통합 점검결과'!$B:$B=$A$5)*('통합 점검결과'!$J:$J=$C29),0))</f>
        <v>#N/A</v>
      </c>
    </row>
    <row r="30" spans="1:18" ht="13.5" customHeight="1">
      <c r="A30" s="497" t="s">
        <v>742</v>
      </c>
      <c r="B30" s="498"/>
      <c r="C30" s="499" t="s">
        <v>197</v>
      </c>
      <c r="D30" s="500"/>
      <c r="E30" s="501" t="s">
        <v>198</v>
      </c>
      <c r="F30" s="502"/>
      <c r="G30" s="502"/>
      <c r="H30" s="502"/>
      <c r="I30" s="502"/>
      <c r="J30" s="503"/>
      <c r="K30" s="230" t="s">
        <v>714</v>
      </c>
      <c r="L30" s="47" t="e">
        <f ca="1">IF(M30="N/A","-",'요약 통계'!E19)</f>
        <v>#N/A</v>
      </c>
      <c r="M30" s="231" t="e" cm="1">
        <f t="array" aca="1" ref="M30" ca="1">INDEX('통합 점검결과'!$M:$M,MATCH(1,('통합 점검결과'!$B:$B=$A$5)*('통합 점검결과'!$J:$J=$C30),0))</f>
        <v>#N/A</v>
      </c>
      <c r="N30" s="525" t="e" cm="1">
        <f t="array" aca="1" ref="N30" ca="1">INDEX('통합 점검결과'!$N:$N,MATCH(1,('통합 점검결과'!$B:$B=$A$5)*('통합 점검결과'!$J:$J=$C30),0))</f>
        <v>#N/A</v>
      </c>
      <c r="O30" s="526"/>
      <c r="P30" s="526"/>
      <c r="Q30" s="527"/>
      <c r="R30" s="99" t="e">
        <f t="array" aca="1" ref="R30" ca="1">INDEX('통합 점검결과'!$O:$O,MATCH(1,('통합 점검결과'!$B:$B=$A$5)*('통합 점검결과'!$J:$J=$C30),0))</f>
        <v>#N/A</v>
      </c>
    </row>
    <row r="31" spans="1:18" ht="13.5" customHeight="1">
      <c r="A31" s="497" t="s">
        <v>742</v>
      </c>
      <c r="B31" s="498"/>
      <c r="C31" s="499" t="s">
        <v>205</v>
      </c>
      <c r="D31" s="500"/>
      <c r="E31" s="501" t="s">
        <v>206</v>
      </c>
      <c r="F31" s="502"/>
      <c r="G31" s="502"/>
      <c r="H31" s="502"/>
      <c r="I31" s="502"/>
      <c r="J31" s="503"/>
      <c r="K31" s="230" t="s">
        <v>743</v>
      </c>
      <c r="L31" s="47" t="e">
        <f ca="1">IF(M31="N/A","-",'요약 통계'!E20)</f>
        <v>#N/A</v>
      </c>
      <c r="M31" s="231" t="e" cm="1">
        <f t="array" aca="1" ref="M31" ca="1">INDEX('통합 점검결과'!$M:$M,MATCH(1,('통합 점검결과'!$B:$B=$A$5)*('통합 점검결과'!$J:$J=$C31),0))</f>
        <v>#N/A</v>
      </c>
      <c r="N31" s="525" t="e" cm="1">
        <f t="array" aca="1" ref="N31" ca="1">INDEX('통합 점검결과'!$N:$N,MATCH(1,('통합 점검결과'!$B:$B=$A$5)*('통합 점검결과'!$J:$J=$C31),0))</f>
        <v>#N/A</v>
      </c>
      <c r="O31" s="526"/>
      <c r="P31" s="526"/>
      <c r="Q31" s="527"/>
      <c r="R31" s="99" t="e">
        <f t="array" aca="1" ref="R31" ca="1">INDEX('통합 점검결과'!$O:$O,MATCH(1,('통합 점검결과'!$B:$B=$A$5)*('통합 점검결과'!$J:$J=$C31),0))</f>
        <v>#N/A</v>
      </c>
    </row>
    <row r="32" spans="1:18" ht="13.5" customHeight="1">
      <c r="A32" s="497" t="s">
        <v>742</v>
      </c>
      <c r="B32" s="498"/>
      <c r="C32" s="499" t="s">
        <v>212</v>
      </c>
      <c r="D32" s="500"/>
      <c r="E32" s="501" t="s">
        <v>213</v>
      </c>
      <c r="F32" s="502"/>
      <c r="G32" s="502"/>
      <c r="H32" s="502"/>
      <c r="I32" s="502"/>
      <c r="J32" s="503"/>
      <c r="K32" s="230" t="s">
        <v>743</v>
      </c>
      <c r="L32" s="47" t="e">
        <f ca="1">IF(M32="N/A","-",'요약 통계'!E21)</f>
        <v>#N/A</v>
      </c>
      <c r="M32" s="231" t="e" cm="1">
        <f t="array" aca="1" ref="M32" ca="1">INDEX('통합 점검결과'!$M:$M,MATCH(1,('통합 점검결과'!$B:$B=$A$5)*('통합 점검결과'!$J:$J=$C32),0))</f>
        <v>#N/A</v>
      </c>
      <c r="N32" s="525" t="e" cm="1">
        <f t="array" aca="1" ref="N32" ca="1">INDEX('통합 점검결과'!$N:$N,MATCH(1,('통합 점검결과'!$B:$B=$A$5)*('통합 점검결과'!$J:$J=$C32),0))</f>
        <v>#N/A</v>
      </c>
      <c r="O32" s="526"/>
      <c r="P32" s="526"/>
      <c r="Q32" s="527"/>
      <c r="R32" s="99" t="e">
        <f t="array" aca="1" ref="R32" ca="1">INDEX('통합 점검결과'!$O:$O,MATCH(1,('통합 점검결과'!$B:$B=$A$5)*('통합 점검결과'!$J:$J=$C32),0))</f>
        <v>#N/A</v>
      </c>
    </row>
    <row r="33" spans="1:18" ht="13.5" customHeight="1">
      <c r="A33" s="497" t="s">
        <v>742</v>
      </c>
      <c r="B33" s="498"/>
      <c r="C33" s="499" t="s">
        <v>218</v>
      </c>
      <c r="D33" s="500"/>
      <c r="E33" s="501" t="s">
        <v>219</v>
      </c>
      <c r="F33" s="502"/>
      <c r="G33" s="502"/>
      <c r="H33" s="502"/>
      <c r="I33" s="502"/>
      <c r="J33" s="503"/>
      <c r="K33" s="230" t="s">
        <v>714</v>
      </c>
      <c r="L33" s="47" t="e">
        <f ca="1">IF(M33="N/A","-",'요약 통계'!E22)</f>
        <v>#N/A</v>
      </c>
      <c r="M33" s="231" t="e" cm="1">
        <f t="array" aca="1" ref="M33" ca="1">INDEX('통합 점검결과'!$M:$M,MATCH(1,('통합 점검결과'!$B:$B=$A$5)*('통합 점검결과'!$J:$J=$C33),0))</f>
        <v>#N/A</v>
      </c>
      <c r="N33" s="525" t="e" cm="1">
        <f t="array" aca="1" ref="N33" ca="1">INDEX('통합 점검결과'!$N:$N,MATCH(1,('통합 점검결과'!$B:$B=$A$5)*('통합 점검결과'!$J:$J=$C33),0))</f>
        <v>#N/A</v>
      </c>
      <c r="O33" s="526"/>
      <c r="P33" s="526"/>
      <c r="Q33" s="527"/>
      <c r="R33" s="99" t="e">
        <f t="array" aca="1" ref="R33" ca="1">INDEX('통합 점검결과'!$O:$O,MATCH(1,('통합 점검결과'!$B:$B=$A$5)*('통합 점검결과'!$J:$J=$C33),0))</f>
        <v>#N/A</v>
      </c>
    </row>
    <row r="34" spans="1:18" ht="13.5" customHeight="1">
      <c r="A34" s="497" t="s">
        <v>742</v>
      </c>
      <c r="B34" s="498"/>
      <c r="C34" s="499" t="s">
        <v>225</v>
      </c>
      <c r="D34" s="500"/>
      <c r="E34" s="501" t="s">
        <v>226</v>
      </c>
      <c r="F34" s="502"/>
      <c r="G34" s="502"/>
      <c r="H34" s="502"/>
      <c r="I34" s="502"/>
      <c r="J34" s="503"/>
      <c r="K34" s="230" t="s">
        <v>714</v>
      </c>
      <c r="L34" s="47" t="e">
        <f ca="1">IF(M34="N/A","-",'요약 통계'!E23)</f>
        <v>#N/A</v>
      </c>
      <c r="M34" s="231" t="e" cm="1">
        <f t="array" aca="1" ref="M34" ca="1">INDEX('통합 점검결과'!$M:$M,MATCH(1,('통합 점검결과'!$B:$B=$A$5)*('통합 점검결과'!$J:$J=$C34),0))</f>
        <v>#N/A</v>
      </c>
      <c r="N34" s="525" t="e" cm="1">
        <f t="array" aca="1" ref="N34" ca="1">INDEX('통합 점검결과'!$N:$N,MATCH(1,('통합 점검결과'!$B:$B=$A$5)*('통합 점검결과'!$J:$J=$C34),0))</f>
        <v>#N/A</v>
      </c>
      <c r="O34" s="526"/>
      <c r="P34" s="526"/>
      <c r="Q34" s="527"/>
      <c r="R34" s="99" t="e">
        <f t="array" aca="1" ref="R34" ca="1">INDEX('통합 점검결과'!$O:$O,MATCH(1,('통합 점검결과'!$B:$B=$A$5)*('통합 점검결과'!$J:$J=$C34),0))</f>
        <v>#N/A</v>
      </c>
    </row>
    <row r="35" spans="1:18" ht="13.5" customHeight="1">
      <c r="A35" s="497" t="s">
        <v>742</v>
      </c>
      <c r="B35" s="498"/>
      <c r="C35" s="499" t="s">
        <v>232</v>
      </c>
      <c r="D35" s="500"/>
      <c r="E35" s="501" t="s">
        <v>233</v>
      </c>
      <c r="F35" s="502"/>
      <c r="G35" s="502"/>
      <c r="H35" s="502"/>
      <c r="I35" s="502"/>
      <c r="J35" s="503"/>
      <c r="K35" s="230" t="s">
        <v>714</v>
      </c>
      <c r="L35" s="47" t="e">
        <f ca="1">IF(M35="N/A","-",'요약 통계'!E24)</f>
        <v>#N/A</v>
      </c>
      <c r="M35" s="231" t="e" cm="1">
        <f t="array" aca="1" ref="M35" ca="1">INDEX('통합 점검결과'!$M:$M,MATCH(1,('통합 점검결과'!$B:$B=$A$5)*('통합 점검결과'!$J:$J=$C35),0))</f>
        <v>#N/A</v>
      </c>
      <c r="N35" s="525" t="e" cm="1">
        <f t="array" aca="1" ref="N35" ca="1">INDEX('통합 점검결과'!$N:$N,MATCH(1,('통합 점검결과'!$B:$B=$A$5)*('통합 점검결과'!$J:$J=$C35),0))</f>
        <v>#N/A</v>
      </c>
      <c r="O35" s="526"/>
      <c r="P35" s="526"/>
      <c r="Q35" s="527"/>
      <c r="R35" s="99" t="e">
        <f t="array" aca="1" ref="R35" ca="1">INDEX('통합 점검결과'!$O:$O,MATCH(1,('통합 점검결과'!$B:$B=$A$5)*('통합 점검결과'!$J:$J=$C35),0))</f>
        <v>#N/A</v>
      </c>
    </row>
    <row r="36" spans="1:18" ht="13.5" customHeight="1">
      <c r="A36" s="497" t="s">
        <v>742</v>
      </c>
      <c r="B36" s="498"/>
      <c r="C36" s="499" t="s">
        <v>239</v>
      </c>
      <c r="D36" s="500"/>
      <c r="E36" s="501" t="s">
        <v>240</v>
      </c>
      <c r="F36" s="502"/>
      <c r="G36" s="502"/>
      <c r="H36" s="502"/>
      <c r="I36" s="502"/>
      <c r="J36" s="503"/>
      <c r="K36" s="230" t="s">
        <v>714</v>
      </c>
      <c r="L36" s="47" t="e">
        <f ca="1">IF(M36="N/A","-",'요약 통계'!E25)</f>
        <v>#N/A</v>
      </c>
      <c r="M36" s="231" t="e" cm="1">
        <f t="array" aca="1" ref="M36" ca="1">INDEX('통합 점검결과'!$M:$M,MATCH(1,('통합 점검결과'!$B:$B=$A$5)*('통합 점검결과'!$J:$J=$C36),0))</f>
        <v>#N/A</v>
      </c>
      <c r="N36" s="525" t="e" cm="1">
        <f t="array" aca="1" ref="N36" ca="1">INDEX('통합 점검결과'!$N:$N,MATCH(1,('통합 점검결과'!$B:$B=$A$5)*('통합 점검결과'!$J:$J=$C36),0))</f>
        <v>#N/A</v>
      </c>
      <c r="O36" s="526"/>
      <c r="P36" s="526"/>
      <c r="Q36" s="527"/>
      <c r="R36" s="99" t="e">
        <f t="array" aca="1" ref="R36" ca="1">INDEX('통합 점검결과'!$O:$O,MATCH(1,('통합 점검결과'!$B:$B=$A$5)*('통합 점검결과'!$J:$J=$C36),0))</f>
        <v>#N/A</v>
      </c>
    </row>
    <row r="37" spans="1:18" ht="13.5" customHeight="1">
      <c r="A37" s="497" t="s">
        <v>742</v>
      </c>
      <c r="B37" s="498"/>
      <c r="C37" s="499" t="s">
        <v>246</v>
      </c>
      <c r="D37" s="500"/>
      <c r="E37" s="501" t="s">
        <v>247</v>
      </c>
      <c r="F37" s="502"/>
      <c r="G37" s="502"/>
      <c r="H37" s="502"/>
      <c r="I37" s="502"/>
      <c r="J37" s="503"/>
      <c r="K37" s="230" t="s">
        <v>714</v>
      </c>
      <c r="L37" s="47" t="e">
        <f ca="1">IF(M37="N/A","-",'요약 통계'!E26)</f>
        <v>#N/A</v>
      </c>
      <c r="M37" s="231" t="e" cm="1">
        <f t="array" aca="1" ref="M37" ca="1">INDEX('통합 점검결과'!$M:$M,MATCH(1,('통합 점검결과'!$B:$B=$A$5)*('통합 점검결과'!$J:$J=$C37),0))</f>
        <v>#N/A</v>
      </c>
      <c r="N37" s="525" t="e" cm="1">
        <f t="array" aca="1" ref="N37" ca="1">INDEX('통합 점검결과'!$N:$N,MATCH(1,('통합 점검결과'!$B:$B=$A$5)*('통합 점검결과'!$J:$J=$C37),0))</f>
        <v>#N/A</v>
      </c>
      <c r="O37" s="526"/>
      <c r="P37" s="526"/>
      <c r="Q37" s="527"/>
      <c r="R37" s="99" t="e">
        <f t="array" aca="1" ref="R37" ca="1">INDEX('통합 점검결과'!$O:$O,MATCH(1,('통합 점검결과'!$B:$B=$A$5)*('통합 점검결과'!$J:$J=$C37),0))</f>
        <v>#N/A</v>
      </c>
    </row>
    <row r="38" spans="1:18" ht="13.5" customHeight="1">
      <c r="A38" s="497" t="s">
        <v>742</v>
      </c>
      <c r="B38" s="498"/>
      <c r="C38" s="499" t="s">
        <v>253</v>
      </c>
      <c r="D38" s="500"/>
      <c r="E38" s="501" t="s">
        <v>254</v>
      </c>
      <c r="F38" s="502"/>
      <c r="G38" s="502"/>
      <c r="H38" s="502"/>
      <c r="I38" s="502"/>
      <c r="J38" s="503"/>
      <c r="K38" s="230" t="s">
        <v>714</v>
      </c>
      <c r="L38" s="47" t="e">
        <f ca="1">IF(M38="N/A","-",'요약 통계'!E27)</f>
        <v>#N/A</v>
      </c>
      <c r="M38" s="231" t="e" cm="1">
        <f t="array" aca="1" ref="M38" ca="1">INDEX('통합 점검결과'!$M:$M,MATCH(1,('통합 점검결과'!$B:$B=$A$5)*('통합 점검결과'!$J:$J=$C38),0))</f>
        <v>#N/A</v>
      </c>
      <c r="N38" s="525" t="e" cm="1">
        <f t="array" aca="1" ref="N38" ca="1">INDEX('통합 점검결과'!$N:$N,MATCH(1,('통합 점검결과'!$B:$B=$A$5)*('통합 점검결과'!$J:$J=$C38),0))</f>
        <v>#N/A</v>
      </c>
      <c r="O38" s="526"/>
      <c r="P38" s="526"/>
      <c r="Q38" s="527"/>
      <c r="R38" s="99" t="e">
        <f t="array" aca="1" ref="R38" ca="1">INDEX('통합 점검결과'!$O:$O,MATCH(1,('통합 점검결과'!$B:$B=$A$5)*('통합 점검결과'!$J:$J=$C38),0))</f>
        <v>#N/A</v>
      </c>
    </row>
    <row r="39" spans="1:18" ht="13.5" customHeight="1">
      <c r="A39" s="497" t="s">
        <v>742</v>
      </c>
      <c r="B39" s="498"/>
      <c r="C39" s="499" t="s">
        <v>260</v>
      </c>
      <c r="D39" s="500"/>
      <c r="E39" s="501" t="s">
        <v>261</v>
      </c>
      <c r="F39" s="502"/>
      <c r="G39" s="502"/>
      <c r="H39" s="502"/>
      <c r="I39" s="502"/>
      <c r="J39" s="503"/>
      <c r="K39" s="230" t="s">
        <v>714</v>
      </c>
      <c r="L39" s="47" t="e">
        <f ca="1">IF(M39="N/A","-",'요약 통계'!E28)</f>
        <v>#N/A</v>
      </c>
      <c r="M39" s="231" t="e" cm="1">
        <f t="array" aca="1" ref="M39" ca="1">INDEX('통합 점검결과'!$M:$M,MATCH(1,('통합 점검결과'!$B:$B=$A$5)*('통합 점검결과'!$J:$J=$C39),0))</f>
        <v>#N/A</v>
      </c>
      <c r="N39" s="525" t="e" cm="1">
        <f t="array" aca="1" ref="N39" ca="1">INDEX('통합 점검결과'!$N:$N,MATCH(1,('통합 점검결과'!$B:$B=$A$5)*('통합 점검결과'!$J:$J=$C39),0))</f>
        <v>#N/A</v>
      </c>
      <c r="O39" s="526"/>
      <c r="P39" s="526"/>
      <c r="Q39" s="527"/>
      <c r="R39" s="99" t="e">
        <f t="array" aca="1" ref="R39" ca="1">INDEX('통합 점검결과'!$O:$O,MATCH(1,('통합 점검결과'!$B:$B=$A$5)*('통합 점검결과'!$J:$J=$C39),0))</f>
        <v>#N/A</v>
      </c>
    </row>
    <row r="40" spans="1:18" ht="13.5" customHeight="1">
      <c r="A40" s="497" t="s">
        <v>742</v>
      </c>
      <c r="B40" s="498"/>
      <c r="C40" s="499" t="s">
        <v>267</v>
      </c>
      <c r="D40" s="500"/>
      <c r="E40" s="501" t="s">
        <v>268</v>
      </c>
      <c r="F40" s="502"/>
      <c r="G40" s="502"/>
      <c r="H40" s="502"/>
      <c r="I40" s="502"/>
      <c r="J40" s="503"/>
      <c r="K40" s="230" t="s">
        <v>714</v>
      </c>
      <c r="L40" s="47" t="e">
        <f ca="1">IF(M40="N/A","-",'요약 통계'!E29)</f>
        <v>#N/A</v>
      </c>
      <c r="M40" s="231" t="e" cm="1">
        <f t="array" aca="1" ref="M40" ca="1">INDEX('통합 점검결과'!$M:$M,MATCH(1,('통합 점검결과'!$B:$B=$A$5)*('통합 점검결과'!$J:$J=$C40),0))</f>
        <v>#N/A</v>
      </c>
      <c r="N40" s="525" t="e" cm="1">
        <f t="array" aca="1" ref="N40" ca="1">INDEX('통합 점검결과'!$N:$N,MATCH(1,('통합 점검결과'!$B:$B=$A$5)*('통합 점검결과'!$J:$J=$C40),0))</f>
        <v>#N/A</v>
      </c>
      <c r="O40" s="526"/>
      <c r="P40" s="526"/>
      <c r="Q40" s="527"/>
      <c r="R40" s="99" t="e">
        <f t="array" aca="1" ref="R40" ca="1">INDEX('통합 점검결과'!$O:$O,MATCH(1,('통합 점검결과'!$B:$B=$A$5)*('통합 점검결과'!$J:$J=$C40),0))</f>
        <v>#N/A</v>
      </c>
    </row>
    <row r="41" spans="1:18" ht="13.5" customHeight="1">
      <c r="A41" s="497" t="s">
        <v>742</v>
      </c>
      <c r="B41" s="498"/>
      <c r="C41" s="499" t="s">
        <v>274</v>
      </c>
      <c r="D41" s="500"/>
      <c r="E41" s="501" t="s">
        <v>275</v>
      </c>
      <c r="F41" s="502"/>
      <c r="G41" s="502"/>
      <c r="H41" s="502"/>
      <c r="I41" s="502"/>
      <c r="J41" s="503"/>
      <c r="K41" s="230" t="s">
        <v>743</v>
      </c>
      <c r="L41" s="47" t="e">
        <f ca="1">IF(M41="N/A","-",'요약 통계'!E30)</f>
        <v>#N/A</v>
      </c>
      <c r="M41" s="231" t="e" cm="1">
        <f t="array" aca="1" ref="M41" ca="1">INDEX('통합 점검결과'!$M:$M,MATCH(1,('통합 점검결과'!$B:$B=$A$5)*('통합 점검결과'!$J:$J=$C41),0))</f>
        <v>#N/A</v>
      </c>
      <c r="N41" s="525" t="e" cm="1">
        <f t="array" aca="1" ref="N41" ca="1">INDEX('통합 점검결과'!$N:$N,MATCH(1,('통합 점검결과'!$B:$B=$A$5)*('통합 점검결과'!$J:$J=$C41),0))</f>
        <v>#N/A</v>
      </c>
      <c r="O41" s="526"/>
      <c r="P41" s="526"/>
      <c r="Q41" s="527"/>
      <c r="R41" s="99" t="e">
        <f t="array" aca="1" ref="R41" ca="1">INDEX('통합 점검결과'!$O:$O,MATCH(1,('통합 점검결과'!$B:$B=$A$5)*('통합 점검결과'!$J:$J=$C41),0))</f>
        <v>#N/A</v>
      </c>
    </row>
    <row r="42" spans="1:18" ht="13.5" customHeight="1">
      <c r="A42" s="497" t="s">
        <v>742</v>
      </c>
      <c r="B42" s="498"/>
      <c r="C42" s="499" t="s">
        <v>280</v>
      </c>
      <c r="D42" s="500"/>
      <c r="E42" s="501" t="s">
        <v>281</v>
      </c>
      <c r="F42" s="502"/>
      <c r="G42" s="502"/>
      <c r="H42" s="502"/>
      <c r="I42" s="502"/>
      <c r="J42" s="503"/>
      <c r="K42" s="230" t="s">
        <v>714</v>
      </c>
      <c r="L42" s="47" t="e">
        <f ca="1">IF(M42="N/A","-",'요약 통계'!E31)</f>
        <v>#N/A</v>
      </c>
      <c r="M42" s="231" t="e" cm="1">
        <f t="array" aca="1" ref="M42" ca="1">INDEX('통합 점검결과'!$M:$M,MATCH(1,('통합 점검결과'!$B:$B=$A$5)*('통합 점검결과'!$J:$J=$C42),0))</f>
        <v>#N/A</v>
      </c>
      <c r="N42" s="525" t="e" cm="1">
        <f t="array" aca="1" ref="N42" ca="1">INDEX('통합 점검결과'!$N:$N,MATCH(1,('통합 점검결과'!$B:$B=$A$5)*('통합 점검결과'!$J:$J=$C42),0))</f>
        <v>#N/A</v>
      </c>
      <c r="O42" s="526"/>
      <c r="P42" s="526"/>
      <c r="Q42" s="527"/>
      <c r="R42" s="99" t="e">
        <f t="array" aca="1" ref="R42" ca="1">INDEX('통합 점검결과'!$O:$O,MATCH(1,('통합 점검결과'!$B:$B=$A$5)*('통합 점검결과'!$J:$J=$C42),0))</f>
        <v>#N/A</v>
      </c>
    </row>
    <row r="43" spans="1:18" ht="13.5" customHeight="1">
      <c r="A43" s="497" t="s">
        <v>742</v>
      </c>
      <c r="B43" s="498"/>
      <c r="C43" s="499" t="s">
        <v>287</v>
      </c>
      <c r="D43" s="500"/>
      <c r="E43" s="501" t="s">
        <v>288</v>
      </c>
      <c r="F43" s="502"/>
      <c r="G43" s="502"/>
      <c r="H43" s="502"/>
      <c r="I43" s="502"/>
      <c r="J43" s="503"/>
      <c r="K43" s="230" t="s">
        <v>714</v>
      </c>
      <c r="L43" s="47" t="e">
        <f ca="1">IF(M43="N/A","-",'요약 통계'!E32)</f>
        <v>#N/A</v>
      </c>
      <c r="M43" s="231" t="e" cm="1">
        <f t="array" aca="1" ref="M43" ca="1">INDEX('통합 점검결과'!$M:$M,MATCH(1,('통합 점검결과'!$B:$B=$A$5)*('통합 점검결과'!$J:$J=$C43),0))</f>
        <v>#N/A</v>
      </c>
      <c r="N43" s="525" t="e" cm="1">
        <f t="array" aca="1" ref="N43" ca="1">INDEX('통합 점검결과'!$N:$N,MATCH(1,('통합 점검결과'!$B:$B=$A$5)*('통합 점검결과'!$J:$J=$C43),0))</f>
        <v>#N/A</v>
      </c>
      <c r="O43" s="526"/>
      <c r="P43" s="526"/>
      <c r="Q43" s="527"/>
      <c r="R43" s="99" t="e">
        <f t="array" aca="1" ref="R43" ca="1">INDEX('통합 점검결과'!$O:$O,MATCH(1,('통합 점검결과'!$B:$B=$A$5)*('통합 점검결과'!$J:$J=$C43),0))</f>
        <v>#N/A</v>
      </c>
    </row>
    <row r="44" spans="1:18" ht="13.5" customHeight="1">
      <c r="A44" s="497" t="s">
        <v>742</v>
      </c>
      <c r="B44" s="498"/>
      <c r="C44" s="499" t="s">
        <v>294</v>
      </c>
      <c r="D44" s="500"/>
      <c r="E44" s="501" t="s">
        <v>295</v>
      </c>
      <c r="F44" s="502"/>
      <c r="G44" s="502"/>
      <c r="H44" s="502"/>
      <c r="I44" s="502"/>
      <c r="J44" s="503"/>
      <c r="K44" s="230" t="s">
        <v>714</v>
      </c>
      <c r="L44" s="47" t="e">
        <f ca="1">IF(M44="N/A","-",'요약 통계'!E33)</f>
        <v>#N/A</v>
      </c>
      <c r="M44" s="231" t="e" cm="1">
        <f t="array" aca="1" ref="M44" ca="1">INDEX('통합 점검결과'!$M:$M,MATCH(1,('통합 점검결과'!$B:$B=$A$5)*('통합 점검결과'!$J:$J=$C44),0))</f>
        <v>#N/A</v>
      </c>
      <c r="N44" s="525" t="e" cm="1">
        <f t="array" aca="1" ref="N44" ca="1">INDEX('통합 점검결과'!$N:$N,MATCH(1,('통합 점검결과'!$B:$B=$A$5)*('통합 점검결과'!$J:$J=$C44),0))</f>
        <v>#N/A</v>
      </c>
      <c r="O44" s="526"/>
      <c r="P44" s="526"/>
      <c r="Q44" s="527"/>
      <c r="R44" s="99" t="e">
        <f t="array" aca="1" ref="R44" ca="1">INDEX('통합 점검결과'!$O:$O,MATCH(1,('통합 점검결과'!$B:$B=$A$5)*('통합 점검결과'!$J:$J=$C44),0))</f>
        <v>#N/A</v>
      </c>
    </row>
    <row r="45" spans="1:18" ht="13.5" customHeight="1">
      <c r="A45" s="497" t="s">
        <v>742</v>
      </c>
      <c r="B45" s="498"/>
      <c r="C45" s="499" t="s">
        <v>301</v>
      </c>
      <c r="D45" s="500"/>
      <c r="E45" s="501" t="s">
        <v>302</v>
      </c>
      <c r="F45" s="502"/>
      <c r="G45" s="502"/>
      <c r="H45" s="502"/>
      <c r="I45" s="502"/>
      <c r="J45" s="503"/>
      <c r="K45" s="230" t="s">
        <v>714</v>
      </c>
      <c r="L45" s="47" t="e">
        <f ca="1">IF(M45="N/A","-",'요약 통계'!E34)</f>
        <v>#N/A</v>
      </c>
      <c r="M45" s="231" t="e" cm="1">
        <f t="array" aca="1" ref="M45" ca="1">INDEX('통합 점검결과'!$M:$M,MATCH(1,('통합 점검결과'!$B:$B=$A$5)*('통합 점검결과'!$J:$J=$C45),0))</f>
        <v>#N/A</v>
      </c>
      <c r="N45" s="525" t="e" cm="1">
        <f t="array" aca="1" ref="N45" ca="1">INDEX('통합 점검결과'!$N:$N,MATCH(1,('통합 점검결과'!$B:$B=$A$5)*('통합 점검결과'!$J:$J=$C45),0))</f>
        <v>#N/A</v>
      </c>
      <c r="O45" s="526"/>
      <c r="P45" s="526"/>
      <c r="Q45" s="527"/>
      <c r="R45" s="99" t="e">
        <f t="array" aca="1" ref="R45" ca="1">INDEX('통합 점검결과'!$O:$O,MATCH(1,('통합 점검결과'!$B:$B=$A$5)*('통합 점검결과'!$J:$J=$C45),0))</f>
        <v>#N/A</v>
      </c>
    </row>
    <row r="46" spans="1:18" ht="13.5" customHeight="1">
      <c r="A46" s="497" t="s">
        <v>742</v>
      </c>
      <c r="B46" s="498"/>
      <c r="C46" s="499" t="s">
        <v>308</v>
      </c>
      <c r="D46" s="500"/>
      <c r="E46" s="501" t="s">
        <v>309</v>
      </c>
      <c r="F46" s="502"/>
      <c r="G46" s="502"/>
      <c r="H46" s="502"/>
      <c r="I46" s="502"/>
      <c r="J46" s="503"/>
      <c r="K46" s="230" t="s">
        <v>714</v>
      </c>
      <c r="L46" s="47" t="e">
        <f ca="1">IF(M46="N/A","-",'요약 통계'!E35)</f>
        <v>#N/A</v>
      </c>
      <c r="M46" s="231" t="e" cm="1">
        <f t="array" aca="1" ref="M46" ca="1">INDEX('통합 점검결과'!$M:$M,MATCH(1,('통합 점검결과'!$B:$B=$A$5)*('통합 점검결과'!$J:$J=$C46),0))</f>
        <v>#N/A</v>
      </c>
      <c r="N46" s="525" t="e" cm="1">
        <f t="array" aca="1" ref="N46" ca="1">INDEX('통합 점검결과'!$N:$N,MATCH(1,('통합 점검결과'!$B:$B=$A$5)*('통합 점검결과'!$J:$J=$C46),0))</f>
        <v>#N/A</v>
      </c>
      <c r="O46" s="526"/>
      <c r="P46" s="526"/>
      <c r="Q46" s="527"/>
      <c r="R46" s="99" t="e">
        <f t="array" aca="1" ref="R46" ca="1">INDEX('통합 점검결과'!$O:$O,MATCH(1,('통합 점검결과'!$B:$B=$A$5)*('통합 점검결과'!$J:$J=$C46),0))</f>
        <v>#N/A</v>
      </c>
    </row>
    <row r="47" spans="1:18" ht="13.5" customHeight="1">
      <c r="A47" s="497" t="s">
        <v>742</v>
      </c>
      <c r="B47" s="498"/>
      <c r="C47" s="499" t="s">
        <v>313</v>
      </c>
      <c r="D47" s="500"/>
      <c r="E47" s="501" t="s">
        <v>314</v>
      </c>
      <c r="F47" s="502"/>
      <c r="G47" s="502"/>
      <c r="H47" s="502"/>
      <c r="I47" s="502"/>
      <c r="J47" s="503"/>
      <c r="K47" s="230" t="s">
        <v>743</v>
      </c>
      <c r="L47" s="47" t="e">
        <f ca="1">IF(M47="N/A","-",'요약 통계'!E36)</f>
        <v>#N/A</v>
      </c>
      <c r="M47" s="231" t="e" cm="1">
        <f t="array" aca="1" ref="M47" ca="1">INDEX('통합 점검결과'!$M:$M,MATCH(1,('통합 점검결과'!$B:$B=$A$5)*('통합 점검결과'!$J:$J=$C47),0))</f>
        <v>#N/A</v>
      </c>
      <c r="N47" s="525" t="e" cm="1">
        <f t="array" aca="1" ref="N47" ca="1">INDEX('통합 점검결과'!$N:$N,MATCH(1,('통합 점검결과'!$B:$B=$A$5)*('통합 점검결과'!$J:$J=$C47),0))</f>
        <v>#N/A</v>
      </c>
      <c r="O47" s="526"/>
      <c r="P47" s="526"/>
      <c r="Q47" s="527"/>
      <c r="R47" s="99" t="e">
        <f t="array" aca="1" ref="R47" ca="1">INDEX('통합 점검결과'!$O:$O,MATCH(1,('통합 점검결과'!$B:$B=$A$5)*('통합 점검결과'!$J:$J=$C47),0))</f>
        <v>#N/A</v>
      </c>
    </row>
    <row r="48" spans="1:18" ht="13.5" customHeight="1">
      <c r="A48" s="497" t="s">
        <v>742</v>
      </c>
      <c r="B48" s="498"/>
      <c r="C48" s="499" t="s">
        <v>319</v>
      </c>
      <c r="D48" s="500"/>
      <c r="E48" s="501" t="s">
        <v>320</v>
      </c>
      <c r="F48" s="502"/>
      <c r="G48" s="502"/>
      <c r="H48" s="502"/>
      <c r="I48" s="502"/>
      <c r="J48" s="503"/>
      <c r="K48" s="230" t="s">
        <v>714</v>
      </c>
      <c r="L48" s="47" t="e">
        <f ca="1">IF(M48="N/A","-",'요약 통계'!E37)</f>
        <v>#N/A</v>
      </c>
      <c r="M48" s="231" t="e" cm="1">
        <f t="array" aca="1" ref="M48" ca="1">INDEX('통합 점검결과'!$M:$M,MATCH(1,('통합 점검결과'!$B:$B=$A$5)*('통합 점검결과'!$J:$J=$C48),0))</f>
        <v>#N/A</v>
      </c>
      <c r="N48" s="525" t="e" cm="1">
        <f t="array" aca="1" ref="N48" ca="1">INDEX('통합 점검결과'!$N:$N,MATCH(1,('통합 점검결과'!$B:$B=$A$5)*('통합 점검결과'!$J:$J=$C48),0))</f>
        <v>#N/A</v>
      </c>
      <c r="O48" s="526"/>
      <c r="P48" s="526"/>
      <c r="Q48" s="527"/>
      <c r="R48" s="99" t="e">
        <f t="array" aca="1" ref="R48" ca="1">INDEX('통합 점검결과'!$O:$O,MATCH(1,('통합 점검결과'!$B:$B=$A$5)*('통합 점검결과'!$J:$J=$C48),0))</f>
        <v>#N/A</v>
      </c>
    </row>
    <row r="49" spans="1:18" ht="13.5" customHeight="1">
      <c r="A49" s="497" t="s">
        <v>745</v>
      </c>
      <c r="B49" s="498"/>
      <c r="C49" s="499" t="s">
        <v>327</v>
      </c>
      <c r="D49" s="500"/>
      <c r="E49" s="501" t="s">
        <v>328</v>
      </c>
      <c r="F49" s="502"/>
      <c r="G49" s="502"/>
      <c r="H49" s="502"/>
      <c r="I49" s="502"/>
      <c r="J49" s="503"/>
      <c r="K49" s="230" t="s">
        <v>714</v>
      </c>
      <c r="L49" s="47" t="e">
        <f ca="1">IF(M49="N/A","-",'요약 통계'!E38)</f>
        <v>#N/A</v>
      </c>
      <c r="M49" s="231" t="e" cm="1">
        <f t="array" aca="1" ref="M49" ca="1">INDEX('통합 점검결과'!$M:$M,MATCH(1,('통합 점검결과'!$B:$B=$A$5)*('통합 점검결과'!$J:$J=$C49),0))</f>
        <v>#N/A</v>
      </c>
      <c r="N49" s="525" t="e" cm="1">
        <f t="array" aca="1" ref="N49" ca="1">INDEX('통합 점검결과'!$N:$N,MATCH(1,('통합 점검결과'!$B:$B=$A$5)*('통합 점검결과'!$J:$J=$C49),0))</f>
        <v>#N/A</v>
      </c>
      <c r="O49" s="526"/>
      <c r="P49" s="526"/>
      <c r="Q49" s="527"/>
      <c r="R49" s="99" t="e">
        <f t="array" aca="1" ref="R49" ca="1">INDEX('통합 점검결과'!$O:$O,MATCH(1,('통합 점검결과'!$B:$B=$A$5)*('통합 점검결과'!$J:$J=$C49),0))</f>
        <v>#N/A</v>
      </c>
    </row>
    <row r="50" spans="1:18" ht="13.5" customHeight="1">
      <c r="A50" s="497" t="s">
        <v>742</v>
      </c>
      <c r="B50" s="498"/>
      <c r="C50" s="499" t="s">
        <v>334</v>
      </c>
      <c r="D50" s="500"/>
      <c r="E50" s="501" t="s">
        <v>335</v>
      </c>
      <c r="F50" s="502"/>
      <c r="G50" s="502"/>
      <c r="H50" s="502"/>
      <c r="I50" s="502"/>
      <c r="J50" s="503"/>
      <c r="K50" s="230" t="s">
        <v>714</v>
      </c>
      <c r="L50" s="47" t="e">
        <f ca="1">IF(M50="N/A","-",'요약 통계'!E39)</f>
        <v>#N/A</v>
      </c>
      <c r="M50" s="231" t="e" cm="1">
        <f t="array" aca="1" ref="M50" ca="1">INDEX('통합 점검결과'!$M:$M,MATCH(1,('통합 점검결과'!$B:$B=$A$5)*('통합 점검결과'!$J:$J=$C50),0))</f>
        <v>#N/A</v>
      </c>
      <c r="N50" s="525" t="e" cm="1">
        <f t="array" aca="1" ref="N50" ca="1">INDEX('통합 점검결과'!$N:$N,MATCH(1,('통합 점검결과'!$B:$B=$A$5)*('통합 점검결과'!$J:$J=$C50),0))</f>
        <v>#N/A</v>
      </c>
      <c r="O50" s="526"/>
      <c r="P50" s="526"/>
      <c r="Q50" s="527"/>
      <c r="R50" s="99" t="e">
        <f t="array" aca="1" ref="R50" ca="1">INDEX('통합 점검결과'!$O:$O,MATCH(1,('통합 점검결과'!$B:$B=$A$5)*('통합 점검결과'!$J:$J=$C50),0))</f>
        <v>#N/A</v>
      </c>
    </row>
    <row r="51" spans="1:18" ht="13.5" customHeight="1">
      <c r="A51" s="497" t="s">
        <v>745</v>
      </c>
      <c r="B51" s="498"/>
      <c r="C51" s="499" t="s">
        <v>341</v>
      </c>
      <c r="D51" s="500"/>
      <c r="E51" s="501" t="s">
        <v>342</v>
      </c>
      <c r="F51" s="502"/>
      <c r="G51" s="502"/>
      <c r="H51" s="502"/>
      <c r="I51" s="502"/>
      <c r="J51" s="503"/>
      <c r="K51" s="230" t="s">
        <v>714</v>
      </c>
      <c r="L51" s="47" t="e">
        <f ca="1">IF(M51="N/A","-",'요약 통계'!E40)</f>
        <v>#N/A</v>
      </c>
      <c r="M51" s="231" t="e" cm="1">
        <f t="array" aca="1" ref="M51" ca="1">INDEX('통합 점검결과'!$M:$M,MATCH(1,('통합 점검결과'!$B:$B=$A$5)*('통합 점검결과'!$J:$J=$C51),0))</f>
        <v>#N/A</v>
      </c>
      <c r="N51" s="525" t="e" cm="1">
        <f t="array" aca="1" ref="N51" ca="1">INDEX('통합 점검결과'!$N:$N,MATCH(1,('통합 점검결과'!$B:$B=$A$5)*('통합 점검결과'!$J:$J=$C51),0))</f>
        <v>#N/A</v>
      </c>
      <c r="O51" s="526"/>
      <c r="P51" s="526"/>
      <c r="Q51" s="527"/>
      <c r="R51" s="99" t="e">
        <f t="array" aca="1" ref="R51" ca="1">INDEX('통합 점검결과'!$O:$O,MATCH(1,('통합 점검결과'!$B:$B=$A$5)*('통합 점검결과'!$J:$J=$C51),0))</f>
        <v>#N/A</v>
      </c>
    </row>
    <row r="52" spans="1:18" ht="13.5" customHeight="1">
      <c r="A52" s="497" t="s">
        <v>742</v>
      </c>
      <c r="B52" s="498"/>
      <c r="C52" s="499" t="s">
        <v>348</v>
      </c>
      <c r="D52" s="500"/>
      <c r="E52" s="501" t="s">
        <v>349</v>
      </c>
      <c r="F52" s="502"/>
      <c r="G52" s="502"/>
      <c r="H52" s="502"/>
      <c r="I52" s="502"/>
      <c r="J52" s="503"/>
      <c r="K52" s="230" t="s">
        <v>714</v>
      </c>
      <c r="L52" s="47" t="e">
        <f ca="1">IF(M52="N/A","-",'요약 통계'!E41)</f>
        <v>#N/A</v>
      </c>
      <c r="M52" s="231" t="e" cm="1">
        <f t="array" aca="1" ref="M52" ca="1">INDEX('통합 점검결과'!$M:$M,MATCH(1,('통합 점검결과'!$B:$B=$A$5)*('통합 점검결과'!$J:$J=$C52),0))</f>
        <v>#N/A</v>
      </c>
      <c r="N52" s="525" t="e" cm="1">
        <f t="array" aca="1" ref="N52" ca="1">INDEX('통합 점검결과'!$N:$N,MATCH(1,('통합 점검결과'!$B:$B=$A$5)*('통합 점검결과'!$J:$J=$C52),0))</f>
        <v>#N/A</v>
      </c>
      <c r="O52" s="526"/>
      <c r="P52" s="526"/>
      <c r="Q52" s="527"/>
      <c r="R52" s="99" t="e">
        <f t="array" aca="1" ref="R52" ca="1">INDEX('통합 점검결과'!$O:$O,MATCH(1,('통합 점검결과'!$B:$B=$A$5)*('통합 점검결과'!$J:$J=$C52),0))</f>
        <v>#N/A</v>
      </c>
    </row>
    <row r="53" spans="1:18" ht="13.5" customHeight="1">
      <c r="A53" s="497" t="s">
        <v>745</v>
      </c>
      <c r="B53" s="498"/>
      <c r="C53" s="499" t="s">
        <v>355</v>
      </c>
      <c r="D53" s="500"/>
      <c r="E53" s="501" t="s">
        <v>356</v>
      </c>
      <c r="F53" s="502"/>
      <c r="G53" s="502"/>
      <c r="H53" s="502"/>
      <c r="I53" s="502"/>
      <c r="J53" s="503"/>
      <c r="K53" s="230" t="s">
        <v>714</v>
      </c>
      <c r="L53" s="47" t="e">
        <f ca="1">IF(M53="N/A","-",'요약 통계'!E42)</f>
        <v>#N/A</v>
      </c>
      <c r="M53" s="231" t="e" cm="1">
        <f t="array" aca="1" ref="M53" ca="1">INDEX('통합 점검결과'!$M:$M,MATCH(1,('통합 점검결과'!$B:$B=$A$5)*('통합 점검결과'!$J:$J=$C53),0))</f>
        <v>#N/A</v>
      </c>
      <c r="N53" s="525" t="e" cm="1">
        <f t="array" aca="1" ref="N53" ca="1">INDEX('통합 점검결과'!$N:$N,MATCH(1,('통합 점검결과'!$B:$B=$A$5)*('통합 점검결과'!$J:$J=$C53),0))</f>
        <v>#N/A</v>
      </c>
      <c r="O53" s="526"/>
      <c r="P53" s="526"/>
      <c r="Q53" s="527"/>
      <c r="R53" s="99" t="e">
        <f t="array" aca="1" ref="R53" ca="1">INDEX('통합 점검결과'!$O:$O,MATCH(1,('통합 점검결과'!$B:$B=$A$5)*('통합 점검결과'!$J:$J=$C53),0))</f>
        <v>#N/A</v>
      </c>
    </row>
    <row r="54" spans="1:18" ht="13.5" customHeight="1">
      <c r="A54" s="497" t="s">
        <v>745</v>
      </c>
      <c r="B54" s="498"/>
      <c r="C54" s="499" t="s">
        <v>361</v>
      </c>
      <c r="D54" s="500"/>
      <c r="E54" s="501" t="s">
        <v>362</v>
      </c>
      <c r="F54" s="502"/>
      <c r="G54" s="502"/>
      <c r="H54" s="502"/>
      <c r="I54" s="502"/>
      <c r="J54" s="503"/>
      <c r="K54" s="230" t="s">
        <v>714</v>
      </c>
      <c r="L54" s="47" t="e">
        <f ca="1">IF(M54="N/A","-",'요약 통계'!E43)</f>
        <v>#N/A</v>
      </c>
      <c r="M54" s="231" t="e" cm="1">
        <f t="array" aca="1" ref="M54" ca="1">INDEX('통합 점검결과'!$M:$M,MATCH(1,('통합 점검결과'!$B:$B=$A$5)*('통합 점검결과'!$J:$J=$C54),0))</f>
        <v>#N/A</v>
      </c>
      <c r="N54" s="525" t="e" cm="1">
        <f t="array" aca="1" ref="N54" ca="1">INDEX('통합 점검결과'!$N:$N,MATCH(1,('통합 점검결과'!$B:$B=$A$5)*('통합 점검결과'!$J:$J=$C54),0))</f>
        <v>#N/A</v>
      </c>
      <c r="O54" s="526"/>
      <c r="P54" s="526"/>
      <c r="Q54" s="527"/>
      <c r="R54" s="99" t="e">
        <f t="array" aca="1" ref="R54" ca="1">INDEX('통합 점검결과'!$O:$O,MATCH(1,('통합 점검결과'!$B:$B=$A$5)*('통합 점검결과'!$J:$J=$C54),0))</f>
        <v>#N/A</v>
      </c>
    </row>
    <row r="55" spans="1:18" ht="13.5" customHeight="1">
      <c r="A55" s="497" t="s">
        <v>745</v>
      </c>
      <c r="B55" s="498"/>
      <c r="C55" s="499" t="s">
        <v>367</v>
      </c>
      <c r="D55" s="500"/>
      <c r="E55" s="501" t="s">
        <v>368</v>
      </c>
      <c r="F55" s="502"/>
      <c r="G55" s="502"/>
      <c r="H55" s="502"/>
      <c r="I55" s="502"/>
      <c r="J55" s="503"/>
      <c r="K55" s="230" t="s">
        <v>714</v>
      </c>
      <c r="L55" s="47" t="e">
        <f ca="1">IF(M55="N/A","-",'요약 통계'!E44)</f>
        <v>#N/A</v>
      </c>
      <c r="M55" s="231" t="e" cm="1">
        <f t="array" aca="1" ref="M55" ca="1">INDEX('통합 점검결과'!$M:$M,MATCH(1,('통합 점검결과'!$B:$B=$A$5)*('통합 점검결과'!$J:$J=$C55),0))</f>
        <v>#N/A</v>
      </c>
      <c r="N55" s="525" t="e" cm="1">
        <f t="array" aca="1" ref="N55" ca="1">INDEX('통합 점검결과'!$N:$N,MATCH(1,('통합 점검결과'!$B:$B=$A$5)*('통합 점검결과'!$J:$J=$C55),0))</f>
        <v>#N/A</v>
      </c>
      <c r="O55" s="526"/>
      <c r="P55" s="526"/>
      <c r="Q55" s="527"/>
      <c r="R55" s="99" t="e">
        <f t="array" aca="1" ref="R55" ca="1">INDEX('통합 점검결과'!$O:$O,MATCH(1,('통합 점검결과'!$B:$B=$A$5)*('통합 점검결과'!$J:$J=$C55),0))</f>
        <v>#N/A</v>
      </c>
    </row>
    <row r="56" spans="1:18" ht="13.5" customHeight="1">
      <c r="A56" s="497" t="s">
        <v>742</v>
      </c>
      <c r="B56" s="498"/>
      <c r="C56" s="499" t="s">
        <v>374</v>
      </c>
      <c r="D56" s="500"/>
      <c r="E56" s="501" t="s">
        <v>375</v>
      </c>
      <c r="F56" s="502"/>
      <c r="G56" s="502"/>
      <c r="H56" s="502"/>
      <c r="I56" s="502"/>
      <c r="J56" s="503"/>
      <c r="K56" s="230" t="s">
        <v>714</v>
      </c>
      <c r="L56" s="47" t="e">
        <f ca="1">IF(M56="N/A","-",'요약 통계'!E45)</f>
        <v>#N/A</v>
      </c>
      <c r="M56" s="231" t="e" cm="1">
        <f t="array" aca="1" ref="M56" ca="1">INDEX('통합 점검결과'!$M:$M,MATCH(1,('통합 점검결과'!$B:$B=$A$5)*('통합 점검결과'!$J:$J=$C56),0))</f>
        <v>#N/A</v>
      </c>
      <c r="N56" s="525" t="e" cm="1">
        <f t="array" aca="1" ref="N56" ca="1">INDEX('통합 점검결과'!$N:$N,MATCH(1,('통합 점검결과'!$B:$B=$A$5)*('통합 점검결과'!$J:$J=$C56),0))</f>
        <v>#N/A</v>
      </c>
      <c r="O56" s="526"/>
      <c r="P56" s="526"/>
      <c r="Q56" s="527"/>
      <c r="R56" s="99" t="e">
        <f t="array" aca="1" ref="R56" ca="1">INDEX('통합 점검결과'!$O:$O,MATCH(1,('통합 점검결과'!$B:$B=$A$5)*('통합 점검결과'!$J:$J=$C56),0))</f>
        <v>#N/A</v>
      </c>
    </row>
    <row r="57" spans="1:18" ht="13.5" customHeight="1">
      <c r="A57" s="497" t="s">
        <v>742</v>
      </c>
      <c r="B57" s="498"/>
      <c r="C57" s="499" t="s">
        <v>381</v>
      </c>
      <c r="D57" s="500"/>
      <c r="E57" s="501" t="s">
        <v>382</v>
      </c>
      <c r="F57" s="502"/>
      <c r="G57" s="502"/>
      <c r="H57" s="502"/>
      <c r="I57" s="502"/>
      <c r="J57" s="503"/>
      <c r="K57" s="230" t="s">
        <v>743</v>
      </c>
      <c r="L57" s="47" t="e">
        <f ca="1">IF(M57="N/A","-",'요약 통계'!E46)</f>
        <v>#N/A</v>
      </c>
      <c r="M57" s="231" t="e" cm="1">
        <f t="array" aca="1" ref="M57" ca="1">INDEX('통합 점검결과'!$M:$M,MATCH(1,('통합 점검결과'!$B:$B=$A$5)*('통합 점검결과'!$J:$J=$C57),0))</f>
        <v>#N/A</v>
      </c>
      <c r="N57" s="525" t="e" cm="1">
        <f t="array" aca="1" ref="N57" ca="1">INDEX('통합 점검결과'!$N:$N,MATCH(1,('통합 점검결과'!$B:$B=$A$5)*('통합 점검결과'!$J:$J=$C57),0))</f>
        <v>#N/A</v>
      </c>
      <c r="O57" s="526"/>
      <c r="P57" s="526"/>
      <c r="Q57" s="527"/>
      <c r="R57" s="99" t="e">
        <f t="array" aca="1" ref="R57" ca="1">INDEX('통합 점검결과'!$O:$O,MATCH(1,('통합 점검결과'!$B:$B=$A$5)*('통합 점검결과'!$J:$J=$C57),0))</f>
        <v>#N/A</v>
      </c>
    </row>
    <row r="58" spans="1:18" ht="13.5" customHeight="1">
      <c r="A58" s="497" t="s">
        <v>742</v>
      </c>
      <c r="B58" s="498"/>
      <c r="C58" s="499" t="s">
        <v>388</v>
      </c>
      <c r="D58" s="500"/>
      <c r="E58" s="501" t="s">
        <v>389</v>
      </c>
      <c r="F58" s="502"/>
      <c r="G58" s="502"/>
      <c r="H58" s="502"/>
      <c r="I58" s="502"/>
      <c r="J58" s="503"/>
      <c r="K58" s="230" t="s">
        <v>714</v>
      </c>
      <c r="L58" s="47" t="e">
        <f ca="1">IF(M58="N/A","-",'요약 통계'!E47)</f>
        <v>#N/A</v>
      </c>
      <c r="M58" s="231" t="e" cm="1">
        <f t="array" aca="1" ref="M58" ca="1">INDEX('통합 점검결과'!$M:$M,MATCH(1,('통합 점검결과'!$B:$B=$A$5)*('통합 점검결과'!$J:$J=$C58),0))</f>
        <v>#N/A</v>
      </c>
      <c r="N58" s="525" t="e" cm="1">
        <f t="array" aca="1" ref="N58" ca="1">INDEX('통합 점검결과'!$N:$N,MATCH(1,('통합 점검결과'!$B:$B=$A$5)*('통합 점검결과'!$J:$J=$C58),0))</f>
        <v>#N/A</v>
      </c>
      <c r="O58" s="526"/>
      <c r="P58" s="526"/>
      <c r="Q58" s="527"/>
      <c r="R58" s="99" t="e">
        <f t="array" aca="1" ref="R58" ca="1">INDEX('통합 점검결과'!$O:$O,MATCH(1,('통합 점검결과'!$B:$B=$A$5)*('통합 점검결과'!$J:$J=$C58),0))</f>
        <v>#N/A</v>
      </c>
    </row>
    <row r="59" spans="1:18" ht="13.5" customHeight="1">
      <c r="A59" s="497" t="s">
        <v>742</v>
      </c>
      <c r="B59" s="498"/>
      <c r="C59" s="499" t="s">
        <v>395</v>
      </c>
      <c r="D59" s="500"/>
      <c r="E59" s="501" t="s">
        <v>396</v>
      </c>
      <c r="F59" s="502"/>
      <c r="G59" s="502"/>
      <c r="H59" s="502"/>
      <c r="I59" s="502"/>
      <c r="J59" s="503"/>
      <c r="K59" s="230" t="s">
        <v>714</v>
      </c>
      <c r="L59" s="47" t="e">
        <f ca="1">IF(M59="N/A","-",'요약 통계'!E48)</f>
        <v>#N/A</v>
      </c>
      <c r="M59" s="231" t="e" cm="1">
        <f t="array" aca="1" ref="M59" ca="1">INDEX('통합 점검결과'!$M:$M,MATCH(1,('통합 점검결과'!$B:$B=$A$5)*('통합 점검결과'!$J:$J=$C59),0))</f>
        <v>#N/A</v>
      </c>
      <c r="N59" s="525" t="e" cm="1">
        <f t="array" aca="1" ref="N59" ca="1">INDEX('통합 점검결과'!$N:$N,MATCH(1,('통합 점검결과'!$B:$B=$A$5)*('통합 점검결과'!$J:$J=$C59),0))</f>
        <v>#N/A</v>
      </c>
      <c r="O59" s="526"/>
      <c r="P59" s="526"/>
      <c r="Q59" s="527"/>
      <c r="R59" s="99" t="e">
        <f t="array" aca="1" ref="R59" ca="1">INDEX('통합 점검결과'!$O:$O,MATCH(1,('통합 점검결과'!$B:$B=$A$5)*('통합 점검결과'!$J:$J=$C59),0))</f>
        <v>#N/A</v>
      </c>
    </row>
    <row r="60" spans="1:18" ht="13.5" customHeight="1">
      <c r="A60" s="497" t="s">
        <v>742</v>
      </c>
      <c r="B60" s="498"/>
      <c r="C60" s="499" t="s">
        <v>402</v>
      </c>
      <c r="D60" s="500"/>
      <c r="E60" s="501" t="s">
        <v>403</v>
      </c>
      <c r="F60" s="502"/>
      <c r="G60" s="502"/>
      <c r="H60" s="502"/>
      <c r="I60" s="502"/>
      <c r="J60" s="503"/>
      <c r="K60" s="230" t="s">
        <v>714</v>
      </c>
      <c r="L60" s="47" t="e">
        <f ca="1">IF(M60="N/A","-",'요약 통계'!E49)</f>
        <v>#N/A</v>
      </c>
      <c r="M60" s="231" t="e" cm="1">
        <f t="array" aca="1" ref="M60" ca="1">INDEX('통합 점검결과'!$M:$M,MATCH(1,('통합 점검결과'!$B:$B=$A$5)*('통합 점검결과'!$J:$J=$C60),0))</f>
        <v>#N/A</v>
      </c>
      <c r="N60" s="525" t="e" cm="1">
        <f t="array" aca="1" ref="N60" ca="1">INDEX('통합 점검결과'!$N:$N,MATCH(1,('통합 점검결과'!$B:$B=$A$5)*('통합 점검결과'!$J:$J=$C60),0))</f>
        <v>#N/A</v>
      </c>
      <c r="O60" s="526"/>
      <c r="P60" s="526"/>
      <c r="Q60" s="527"/>
      <c r="R60" s="99" t="e">
        <f t="array" aca="1" ref="R60" ca="1">INDEX('통합 점검결과'!$O:$O,MATCH(1,('통합 점검결과'!$B:$B=$A$5)*('통합 점검결과'!$J:$J=$C60),0))</f>
        <v>#N/A</v>
      </c>
    </row>
    <row r="61" spans="1:18" ht="13.5" customHeight="1">
      <c r="A61" s="497" t="s">
        <v>742</v>
      </c>
      <c r="B61" s="498"/>
      <c r="C61" s="499" t="s">
        <v>409</v>
      </c>
      <c r="D61" s="500"/>
      <c r="E61" s="501" t="s">
        <v>410</v>
      </c>
      <c r="F61" s="502"/>
      <c r="G61" s="502"/>
      <c r="H61" s="502"/>
      <c r="I61" s="502"/>
      <c r="J61" s="503"/>
      <c r="K61" s="230" t="s">
        <v>714</v>
      </c>
      <c r="L61" s="47" t="e">
        <f ca="1">IF(M61="N/A","-",'요약 통계'!E50)</f>
        <v>#N/A</v>
      </c>
      <c r="M61" s="231" t="e" cm="1">
        <f t="array" aca="1" ref="M61" ca="1">INDEX('통합 점검결과'!$M:$M,MATCH(1,('통합 점검결과'!$B:$B=$A$5)*('통합 점검결과'!$J:$J=$C61),0))</f>
        <v>#N/A</v>
      </c>
      <c r="N61" s="525" t="e" cm="1">
        <f t="array" aca="1" ref="N61" ca="1">INDEX('통합 점검결과'!$N:$N,MATCH(1,('통합 점검결과'!$B:$B=$A$5)*('통합 점검결과'!$J:$J=$C61),0))</f>
        <v>#N/A</v>
      </c>
      <c r="O61" s="526"/>
      <c r="P61" s="526"/>
      <c r="Q61" s="527"/>
      <c r="R61" s="99" t="e">
        <f t="array" aca="1" ref="R61" ca="1">INDEX('통합 점검결과'!$O:$O,MATCH(1,('통합 점검결과'!$B:$B=$A$5)*('통합 점검결과'!$J:$J=$C61),0))</f>
        <v>#N/A</v>
      </c>
    </row>
    <row r="62" spans="1:18" ht="13.5" customHeight="1">
      <c r="A62" s="497" t="s">
        <v>742</v>
      </c>
      <c r="B62" s="498"/>
      <c r="C62" s="499" t="s">
        <v>416</v>
      </c>
      <c r="D62" s="500"/>
      <c r="E62" s="501" t="s">
        <v>417</v>
      </c>
      <c r="F62" s="502"/>
      <c r="G62" s="502"/>
      <c r="H62" s="502"/>
      <c r="I62" s="502"/>
      <c r="J62" s="503"/>
      <c r="K62" s="230" t="s">
        <v>714</v>
      </c>
      <c r="L62" s="47" t="e">
        <f ca="1">IF(M62="N/A","-",'요약 통계'!E51)</f>
        <v>#N/A</v>
      </c>
      <c r="M62" s="231" t="e" cm="1">
        <f t="array" aca="1" ref="M62" ca="1">INDEX('통합 점검결과'!$M:$M,MATCH(1,('통합 점검결과'!$B:$B=$A$5)*('통합 점검결과'!$J:$J=$C62),0))</f>
        <v>#N/A</v>
      </c>
      <c r="N62" s="525" t="e" cm="1">
        <f t="array" aca="1" ref="N62" ca="1">INDEX('통합 점검결과'!$N:$N,MATCH(1,('통합 점검결과'!$B:$B=$A$5)*('통합 점검결과'!$J:$J=$C62),0))</f>
        <v>#N/A</v>
      </c>
      <c r="O62" s="526"/>
      <c r="P62" s="526"/>
      <c r="Q62" s="527"/>
      <c r="R62" s="99" t="e">
        <f t="array" aca="1" ref="R62" ca="1">INDEX('통합 점검결과'!$O:$O,MATCH(1,('통합 점검결과'!$B:$B=$A$5)*('통합 점검결과'!$J:$J=$C62),0))</f>
        <v>#N/A</v>
      </c>
    </row>
    <row r="63" spans="1:18" ht="13.5" customHeight="1">
      <c r="A63" s="497" t="s">
        <v>742</v>
      </c>
      <c r="B63" s="498"/>
      <c r="C63" s="499" t="s">
        <v>423</v>
      </c>
      <c r="D63" s="500"/>
      <c r="E63" s="501" t="s">
        <v>424</v>
      </c>
      <c r="F63" s="502"/>
      <c r="G63" s="502"/>
      <c r="H63" s="502"/>
      <c r="I63" s="502"/>
      <c r="J63" s="503"/>
      <c r="K63" s="230" t="s">
        <v>743</v>
      </c>
      <c r="L63" s="47" t="e">
        <f ca="1">IF(M63="N/A","-",'요약 통계'!E52)</f>
        <v>#N/A</v>
      </c>
      <c r="M63" s="231" t="e" cm="1">
        <f t="array" aca="1" ref="M63" ca="1">INDEX('통합 점검결과'!$M:$M,MATCH(1,('통합 점검결과'!$B:$B=$A$5)*('통합 점검결과'!$J:$J=$C63),0))</f>
        <v>#N/A</v>
      </c>
      <c r="N63" s="525" t="e" cm="1">
        <f t="array" aca="1" ref="N63" ca="1">INDEX('통합 점검결과'!$N:$N,MATCH(1,('통합 점검결과'!$B:$B=$A$5)*('통합 점검결과'!$J:$J=$C63),0))</f>
        <v>#N/A</v>
      </c>
      <c r="O63" s="526"/>
      <c r="P63" s="526"/>
      <c r="Q63" s="527"/>
      <c r="R63" s="99" t="e">
        <f t="array" aca="1" ref="R63" ca="1">INDEX('통합 점검결과'!$O:$O,MATCH(1,('통합 점검결과'!$B:$B=$A$5)*('통합 점검결과'!$J:$J=$C63),0))</f>
        <v>#N/A</v>
      </c>
    </row>
    <row r="64" spans="1:18" ht="13.5" customHeight="1">
      <c r="A64" s="497" t="s">
        <v>742</v>
      </c>
      <c r="B64" s="498"/>
      <c r="C64" s="499" t="s">
        <v>431</v>
      </c>
      <c r="D64" s="500"/>
      <c r="E64" s="501" t="s">
        <v>432</v>
      </c>
      <c r="F64" s="502"/>
      <c r="G64" s="502"/>
      <c r="H64" s="502"/>
      <c r="I64" s="502"/>
      <c r="J64" s="503"/>
      <c r="K64" s="230" t="s">
        <v>743</v>
      </c>
      <c r="L64" s="47" t="e">
        <f ca="1">IF(M64="N/A","-",'요약 통계'!E53)</f>
        <v>#N/A</v>
      </c>
      <c r="M64" s="231" t="e" cm="1">
        <f t="array" aca="1" ref="M64" ca="1">INDEX('통합 점검결과'!$M:$M,MATCH(1,('통합 점검결과'!$B:$B=$A$5)*('통합 점검결과'!$J:$J=$C64),0))</f>
        <v>#N/A</v>
      </c>
      <c r="N64" s="525" t="e" cm="1">
        <f t="array" aca="1" ref="N64" ca="1">INDEX('통합 점검결과'!$N:$N,MATCH(1,('통합 점검결과'!$B:$B=$A$5)*('통합 점검결과'!$J:$J=$C64),0))</f>
        <v>#N/A</v>
      </c>
      <c r="O64" s="526"/>
      <c r="P64" s="526"/>
      <c r="Q64" s="527"/>
      <c r="R64" s="99" t="e">
        <f t="array" aca="1" ref="R64" ca="1">INDEX('통합 점검결과'!$O:$O,MATCH(1,('통합 점검결과'!$B:$B=$A$5)*('통합 점검결과'!$J:$J=$C64),0))</f>
        <v>#N/A</v>
      </c>
    </row>
    <row r="65" spans="1:18" ht="13.5" customHeight="1">
      <c r="A65" s="497" t="s">
        <v>742</v>
      </c>
      <c r="B65" s="498"/>
      <c r="C65" s="499" t="s">
        <v>438</v>
      </c>
      <c r="D65" s="500"/>
      <c r="E65" s="501" t="s">
        <v>439</v>
      </c>
      <c r="F65" s="502"/>
      <c r="G65" s="502"/>
      <c r="H65" s="502"/>
      <c r="I65" s="502"/>
      <c r="J65" s="503"/>
      <c r="K65" s="230" t="s">
        <v>743</v>
      </c>
      <c r="L65" s="47" t="e">
        <f ca="1">IF(M65="N/A","-",'요약 통계'!E54)</f>
        <v>#N/A</v>
      </c>
      <c r="M65" s="231" t="e" cm="1">
        <f t="array" aca="1" ref="M65" ca="1">INDEX('통합 점검결과'!$M:$M,MATCH(1,('통합 점검결과'!$B:$B=$A$5)*('통합 점검결과'!$J:$J=$C65),0))</f>
        <v>#N/A</v>
      </c>
      <c r="N65" s="525" t="e" cm="1">
        <f t="array" aca="1" ref="N65" ca="1">INDEX('통합 점검결과'!$N:$N,MATCH(1,('통합 점검결과'!$B:$B=$A$5)*('통합 점검결과'!$J:$J=$C65),0))</f>
        <v>#N/A</v>
      </c>
      <c r="O65" s="526"/>
      <c r="P65" s="526"/>
      <c r="Q65" s="527"/>
      <c r="R65" s="99" t="e">
        <f t="array" aca="1" ref="R65" ca="1">INDEX('통합 점검결과'!$O:$O,MATCH(1,('통합 점검결과'!$B:$B=$A$5)*('통합 점검결과'!$J:$J=$C65),0))</f>
        <v>#N/A</v>
      </c>
    </row>
    <row r="66" spans="1:18" ht="13.5" customHeight="1">
      <c r="A66" s="497" t="s">
        <v>742</v>
      </c>
      <c r="B66" s="498"/>
      <c r="C66" s="499" t="s">
        <v>445</v>
      </c>
      <c r="D66" s="500"/>
      <c r="E66" s="501" t="s">
        <v>446</v>
      </c>
      <c r="F66" s="502"/>
      <c r="G66" s="502"/>
      <c r="H66" s="502"/>
      <c r="I66" s="502"/>
      <c r="J66" s="503"/>
      <c r="K66" s="230" t="s">
        <v>743</v>
      </c>
      <c r="L66" s="47" t="e">
        <f ca="1">IF(M66="N/A","-",'요약 통계'!E55)</f>
        <v>#N/A</v>
      </c>
      <c r="M66" s="231" t="e" cm="1">
        <f t="array" aca="1" ref="M66" ca="1">INDEX('통합 점검결과'!$M:$M,MATCH(1,('통합 점검결과'!$B:$B=$A$5)*('통합 점검결과'!$J:$J=$C66),0))</f>
        <v>#N/A</v>
      </c>
      <c r="N66" s="525" t="e" cm="1">
        <f t="array" aca="1" ref="N66" ca="1">INDEX('통합 점검결과'!$N:$N,MATCH(1,('통합 점검결과'!$B:$B=$A$5)*('통합 점검결과'!$J:$J=$C66),0))</f>
        <v>#N/A</v>
      </c>
      <c r="O66" s="526"/>
      <c r="P66" s="526"/>
      <c r="Q66" s="527"/>
      <c r="R66" s="99" t="e">
        <f t="array" aca="1" ref="R66" ca="1">INDEX('통합 점검결과'!$O:$O,MATCH(1,('통합 점검결과'!$B:$B=$A$5)*('통합 점검결과'!$J:$J=$C66),0))</f>
        <v>#N/A</v>
      </c>
    </row>
    <row r="67" spans="1:18" ht="13.5" customHeight="1">
      <c r="A67" s="497" t="s">
        <v>742</v>
      </c>
      <c r="B67" s="498"/>
      <c r="C67" s="499" t="s">
        <v>452</v>
      </c>
      <c r="D67" s="500"/>
      <c r="E67" s="501" t="s">
        <v>453</v>
      </c>
      <c r="F67" s="502"/>
      <c r="G67" s="502"/>
      <c r="H67" s="502"/>
      <c r="I67" s="502"/>
      <c r="J67" s="503"/>
      <c r="K67" s="230" t="s">
        <v>743</v>
      </c>
      <c r="L67" s="47" t="e">
        <f ca="1">IF(M67="N/A","-",'요약 통계'!E56)</f>
        <v>#N/A</v>
      </c>
      <c r="M67" s="231" t="e" cm="1">
        <f t="array" aca="1" ref="M67" ca="1">INDEX('통합 점검결과'!$M:$M,MATCH(1,('통합 점검결과'!$B:$B=$A$5)*('통합 점검결과'!$J:$J=$C67),0))</f>
        <v>#N/A</v>
      </c>
      <c r="N67" s="525" t="e" cm="1">
        <f t="array" aca="1" ref="N67" ca="1">INDEX('통합 점검결과'!$N:$N,MATCH(1,('통합 점검결과'!$B:$B=$A$5)*('통합 점검결과'!$J:$J=$C67),0))</f>
        <v>#N/A</v>
      </c>
      <c r="O67" s="526"/>
      <c r="P67" s="526"/>
      <c r="Q67" s="527"/>
      <c r="R67" s="99" t="e">
        <f t="array" aca="1" ref="R67" ca="1">INDEX('통합 점검결과'!$O:$O,MATCH(1,('통합 점검결과'!$B:$B=$A$5)*('통합 점검결과'!$J:$J=$C67),0))</f>
        <v>#N/A</v>
      </c>
    </row>
    <row r="68" spans="1:18" ht="13.5" customHeight="1">
      <c r="A68" s="497" t="s">
        <v>742</v>
      </c>
      <c r="B68" s="498"/>
      <c r="C68" s="499" t="s">
        <v>459</v>
      </c>
      <c r="D68" s="500"/>
      <c r="E68" s="501" t="s">
        <v>460</v>
      </c>
      <c r="F68" s="502"/>
      <c r="G68" s="502"/>
      <c r="H68" s="502"/>
      <c r="I68" s="502"/>
      <c r="J68" s="503"/>
      <c r="K68" s="230" t="s">
        <v>743</v>
      </c>
      <c r="L68" s="47" t="e">
        <f ca="1">IF(M68="N/A","-",'요약 통계'!E57)</f>
        <v>#N/A</v>
      </c>
      <c r="M68" s="231" t="e" cm="1">
        <f t="array" aca="1" ref="M68" ca="1">INDEX('통합 점검결과'!$M:$M,MATCH(1,('통합 점검결과'!$B:$B=$A$5)*('통합 점검결과'!$J:$J=$C68),0))</f>
        <v>#N/A</v>
      </c>
      <c r="N68" s="525" t="e" cm="1">
        <f t="array" aca="1" ref="N68" ca="1">INDEX('통합 점검결과'!$N:$N,MATCH(1,('통합 점검결과'!$B:$B=$A$5)*('통합 점검결과'!$J:$J=$C68),0))</f>
        <v>#N/A</v>
      </c>
      <c r="O68" s="526"/>
      <c r="P68" s="526"/>
      <c r="Q68" s="527"/>
      <c r="R68" s="99" t="e">
        <f t="array" aca="1" ref="R68" ca="1">INDEX('통합 점검결과'!$O:$O,MATCH(1,('통합 점검결과'!$B:$B=$A$5)*('통합 점검결과'!$J:$J=$C68),0))</f>
        <v>#N/A</v>
      </c>
    </row>
    <row r="69" spans="1:18" ht="13.5" customHeight="1">
      <c r="A69" s="497" t="s">
        <v>742</v>
      </c>
      <c r="B69" s="498"/>
      <c r="C69" s="499" t="s">
        <v>466</v>
      </c>
      <c r="D69" s="500"/>
      <c r="E69" s="501" t="s">
        <v>467</v>
      </c>
      <c r="F69" s="502"/>
      <c r="G69" s="502"/>
      <c r="H69" s="502"/>
      <c r="I69" s="502"/>
      <c r="J69" s="503"/>
      <c r="K69" s="230" t="s">
        <v>714</v>
      </c>
      <c r="L69" s="47" t="e">
        <f ca="1">IF(M69="N/A","-",'요약 통계'!E58)</f>
        <v>#N/A</v>
      </c>
      <c r="M69" s="231" t="e" cm="1">
        <f t="array" aca="1" ref="M69" ca="1">INDEX('통합 점검결과'!$M:$M,MATCH(1,('통합 점검결과'!$B:$B=$A$5)*('통합 점검결과'!$J:$J=$C69),0))</f>
        <v>#N/A</v>
      </c>
      <c r="N69" s="525" t="e" cm="1">
        <f t="array" aca="1" ref="N69" ca="1">INDEX('통합 점검결과'!$N:$N,MATCH(1,('통합 점검결과'!$B:$B=$A$5)*('통합 점검결과'!$J:$J=$C69),0))</f>
        <v>#N/A</v>
      </c>
      <c r="O69" s="526"/>
      <c r="P69" s="526"/>
      <c r="Q69" s="527"/>
      <c r="R69" s="99" t="e">
        <f t="array" aca="1" ref="R69" ca="1">INDEX('통합 점검결과'!$O:$O,MATCH(1,('통합 점검결과'!$B:$B=$A$5)*('통합 점검결과'!$J:$J=$C69),0))</f>
        <v>#N/A</v>
      </c>
    </row>
    <row r="70" spans="1:18" ht="13.5" customHeight="1">
      <c r="A70" s="497" t="s">
        <v>742</v>
      </c>
      <c r="B70" s="498"/>
      <c r="C70" s="499" t="s">
        <v>473</v>
      </c>
      <c r="D70" s="500"/>
      <c r="E70" s="501" t="s">
        <v>474</v>
      </c>
      <c r="F70" s="502"/>
      <c r="G70" s="502"/>
      <c r="H70" s="502"/>
      <c r="I70" s="502"/>
      <c r="J70" s="503"/>
      <c r="K70" s="230" t="s">
        <v>714</v>
      </c>
      <c r="L70" s="47" t="e">
        <f ca="1">IF(M70="N/A","-",'요약 통계'!E59)</f>
        <v>#N/A</v>
      </c>
      <c r="M70" s="231" t="e" cm="1">
        <f t="array" aca="1" ref="M70" ca="1">INDEX('통합 점검결과'!$M:$M,MATCH(1,('통합 점검결과'!$B:$B=$A$5)*('통합 점검결과'!$J:$J=$C70),0))</f>
        <v>#N/A</v>
      </c>
      <c r="N70" s="525" t="e" cm="1">
        <f t="array" aca="1" ref="N70" ca="1">INDEX('통합 점검결과'!$N:$N,MATCH(1,('통합 점검결과'!$B:$B=$A$5)*('통합 점검결과'!$J:$J=$C70),0))</f>
        <v>#N/A</v>
      </c>
      <c r="O70" s="526"/>
      <c r="P70" s="526"/>
      <c r="Q70" s="527"/>
      <c r="R70" s="99" t="e">
        <f t="array" aca="1" ref="R70" ca="1">INDEX('통합 점검결과'!$O:$O,MATCH(1,('통합 점검결과'!$B:$B=$A$5)*('통합 점검결과'!$J:$J=$C70),0))</f>
        <v>#N/A</v>
      </c>
    </row>
    <row r="71" spans="1:18" ht="13.5" customHeight="1">
      <c r="A71" s="497" t="s">
        <v>746</v>
      </c>
      <c r="B71" s="498"/>
      <c r="C71" s="499" t="s">
        <v>481</v>
      </c>
      <c r="D71" s="500"/>
      <c r="E71" s="501" t="s">
        <v>482</v>
      </c>
      <c r="F71" s="502"/>
      <c r="G71" s="502"/>
      <c r="H71" s="502"/>
      <c r="I71" s="502"/>
      <c r="J71" s="503"/>
      <c r="K71" s="230" t="s">
        <v>714</v>
      </c>
      <c r="L71" s="47" t="e">
        <f ca="1">IF(M71="N/A","-",'요약 통계'!E60)</f>
        <v>#N/A</v>
      </c>
      <c r="M71" s="231" t="e" cm="1">
        <f t="array" aca="1" ref="M71" ca="1">INDEX('통합 점검결과'!$M:$M,MATCH(1,('통합 점검결과'!$B:$B=$A$5)*('통합 점검결과'!$J:$J=$C71),0))</f>
        <v>#N/A</v>
      </c>
      <c r="N71" s="525" t="e" cm="1">
        <f t="array" aca="1" ref="N71" ca="1">INDEX('통합 점검결과'!$N:$N,MATCH(1,('통합 점검결과'!$B:$B=$A$5)*('통합 점검결과'!$J:$J=$C71),0))</f>
        <v>#N/A</v>
      </c>
      <c r="O71" s="526"/>
      <c r="P71" s="526"/>
      <c r="Q71" s="527"/>
      <c r="R71" s="99" t="e">
        <f t="array" aca="1" ref="R71" ca="1">INDEX('통합 점검결과'!$O:$O,MATCH(1,('통합 점검결과'!$B:$B=$A$5)*('통합 점검결과'!$J:$J=$C71),0))</f>
        <v>#N/A</v>
      </c>
    </row>
    <row r="72" spans="1:18" ht="13.5" customHeight="1">
      <c r="A72" s="497" t="s">
        <v>746</v>
      </c>
      <c r="B72" s="498"/>
      <c r="C72" s="499" t="s">
        <v>487</v>
      </c>
      <c r="D72" s="500"/>
      <c r="E72" s="501" t="s">
        <v>488</v>
      </c>
      <c r="F72" s="502"/>
      <c r="G72" s="502"/>
      <c r="H72" s="502"/>
      <c r="I72" s="502"/>
      <c r="J72" s="503"/>
      <c r="K72" s="230" t="s">
        <v>714</v>
      </c>
      <c r="L72" s="47" t="e">
        <f ca="1">IF(M72="N/A","-",'요약 통계'!E61)</f>
        <v>#N/A</v>
      </c>
      <c r="M72" s="231" t="e" cm="1">
        <f t="array" aca="1" ref="M72" ca="1">INDEX('통합 점검결과'!$M:$M,MATCH(1,('통합 점검결과'!$B:$B=$A$5)*('통합 점검결과'!$J:$J=$C72),0))</f>
        <v>#N/A</v>
      </c>
      <c r="N72" s="525" t="e" cm="1">
        <f t="array" aca="1" ref="N72" ca="1">INDEX('통합 점검결과'!$N:$N,MATCH(1,('통합 점검결과'!$B:$B=$A$5)*('통합 점검결과'!$J:$J=$C72),0))</f>
        <v>#N/A</v>
      </c>
      <c r="O72" s="526"/>
      <c r="P72" s="526"/>
      <c r="Q72" s="527"/>
      <c r="R72" s="99" t="e">
        <f t="array" aca="1" ref="R72" ca="1">INDEX('통합 점검결과'!$O:$O,MATCH(1,('통합 점검결과'!$B:$B=$A$5)*('통합 점검결과'!$J:$J=$C72),0))</f>
        <v>#N/A</v>
      </c>
    </row>
    <row r="73" spans="1:18" ht="13.5" customHeight="1">
      <c r="A73" s="497" t="s">
        <v>742</v>
      </c>
      <c r="B73" s="498"/>
      <c r="C73" s="499" t="s">
        <v>494</v>
      </c>
      <c r="D73" s="500"/>
      <c r="E73" s="501" t="s">
        <v>495</v>
      </c>
      <c r="F73" s="502"/>
      <c r="G73" s="502"/>
      <c r="H73" s="502"/>
      <c r="I73" s="502"/>
      <c r="J73" s="503"/>
      <c r="K73" s="230" t="s">
        <v>743</v>
      </c>
      <c r="L73" s="47" t="e">
        <f ca="1">IF(M73="N/A","-",'요약 통계'!E62)</f>
        <v>#N/A</v>
      </c>
      <c r="M73" s="231" t="e" cm="1">
        <f t="array" aca="1" ref="M73" ca="1">INDEX('통합 점검결과'!$M:$M,MATCH(1,('통합 점검결과'!$B:$B=$A$5)*('통합 점검결과'!$J:$J=$C73),0))</f>
        <v>#N/A</v>
      </c>
      <c r="N73" s="525" t="e" cm="1">
        <f t="array" aca="1" ref="N73" ca="1">INDEX('통합 점검결과'!$N:$N,MATCH(1,('통합 점검결과'!$B:$B=$A$5)*('통합 점검결과'!$J:$J=$C73),0))</f>
        <v>#N/A</v>
      </c>
      <c r="O73" s="526"/>
      <c r="P73" s="526"/>
      <c r="Q73" s="527"/>
      <c r="R73" s="99" t="e">
        <f t="array" aca="1" ref="R73" ca="1">INDEX('통합 점검결과'!$O:$O,MATCH(1,('통합 점검결과'!$B:$B=$A$5)*('통합 점검결과'!$J:$J=$C73),0))</f>
        <v>#N/A</v>
      </c>
    </row>
    <row r="74" spans="1:18" ht="13.5" customHeight="1">
      <c r="A74" s="497" t="s">
        <v>742</v>
      </c>
      <c r="B74" s="498"/>
      <c r="C74" s="499" t="s">
        <v>501</v>
      </c>
      <c r="D74" s="500"/>
      <c r="E74" s="501" t="s">
        <v>502</v>
      </c>
      <c r="F74" s="502"/>
      <c r="G74" s="502"/>
      <c r="H74" s="502"/>
      <c r="I74" s="502"/>
      <c r="J74" s="503"/>
      <c r="K74" s="230" t="s">
        <v>714</v>
      </c>
      <c r="L74" s="47" t="e">
        <f ca="1">IF(M74="N/A","-",'요약 통계'!E63)</f>
        <v>#N/A</v>
      </c>
      <c r="M74" s="231" t="e" cm="1">
        <f t="array" aca="1" ref="M74" ca="1">INDEX('통합 점검결과'!$M:$M,MATCH(1,('통합 점검결과'!$B:$B=$A$5)*('통합 점검결과'!$J:$J=$C74),0))</f>
        <v>#N/A</v>
      </c>
      <c r="N74" s="525" t="e" cm="1">
        <f t="array" aca="1" ref="N74" ca="1">INDEX('통합 점검결과'!$N:$N,MATCH(1,('통합 점검결과'!$B:$B=$A$5)*('통합 점검결과'!$J:$J=$C74),0))</f>
        <v>#N/A</v>
      </c>
      <c r="O74" s="526"/>
      <c r="P74" s="526"/>
      <c r="Q74" s="527"/>
      <c r="R74" s="99" t="e">
        <f t="array" aca="1" ref="R74" ca="1">INDEX('통합 점검결과'!$O:$O,MATCH(1,('통합 점검결과'!$B:$B=$A$5)*('통합 점검결과'!$J:$J=$C74),0))</f>
        <v>#N/A</v>
      </c>
    </row>
    <row r="75" spans="1:18" ht="13.5" customHeight="1">
      <c r="A75" s="497" t="s">
        <v>745</v>
      </c>
      <c r="B75" s="498"/>
      <c r="C75" s="499" t="s">
        <v>507</v>
      </c>
      <c r="D75" s="500"/>
      <c r="E75" s="501" t="s">
        <v>508</v>
      </c>
      <c r="F75" s="502"/>
      <c r="G75" s="502"/>
      <c r="H75" s="502"/>
      <c r="I75" s="502"/>
      <c r="J75" s="503"/>
      <c r="K75" s="230" t="s">
        <v>714</v>
      </c>
      <c r="L75" s="47" t="e">
        <f ca="1">IF(M75="N/A","-",'요약 통계'!E64)</f>
        <v>#N/A</v>
      </c>
      <c r="M75" s="231" t="e" cm="1">
        <f t="array" aca="1" ref="M75" ca="1">INDEX('통합 점검결과'!$M:$M,MATCH(1,('통합 점검결과'!$B:$B=$A$5)*('통합 점검결과'!$J:$J=$C75),0))</f>
        <v>#N/A</v>
      </c>
      <c r="N75" s="525" t="e" cm="1">
        <f t="array" aca="1" ref="N75" ca="1">INDEX('통합 점검결과'!$N:$N,MATCH(1,('통합 점검결과'!$B:$B=$A$5)*('통합 점검결과'!$J:$J=$C75),0))</f>
        <v>#N/A</v>
      </c>
      <c r="O75" s="526"/>
      <c r="P75" s="526"/>
      <c r="Q75" s="527"/>
      <c r="R75" s="99" t="e">
        <f t="array" aca="1" ref="R75" ca="1">INDEX('통합 점검결과'!$O:$O,MATCH(1,('통합 점검결과'!$B:$B=$A$5)*('통합 점검결과'!$J:$J=$C75),0))</f>
        <v>#N/A</v>
      </c>
    </row>
    <row r="76" spans="1:18" ht="13.5" customHeight="1">
      <c r="A76" s="497" t="s">
        <v>745</v>
      </c>
      <c r="B76" s="498"/>
      <c r="C76" s="499" t="s">
        <v>514</v>
      </c>
      <c r="D76" s="500"/>
      <c r="E76" s="501" t="s">
        <v>515</v>
      </c>
      <c r="F76" s="502"/>
      <c r="G76" s="502"/>
      <c r="H76" s="502"/>
      <c r="I76" s="502"/>
      <c r="J76" s="503"/>
      <c r="K76" s="230" t="s">
        <v>714</v>
      </c>
      <c r="L76" s="47" t="e">
        <f ca="1">IF(M76="N/A","-",'요약 통계'!E65)</f>
        <v>#N/A</v>
      </c>
      <c r="M76" s="231" t="e" cm="1">
        <f t="array" aca="1" ref="M76" ca="1">INDEX('통합 점검결과'!$M:$M,MATCH(1,('통합 점검결과'!$B:$B=$A$5)*('통합 점검결과'!$J:$J=$C76),0))</f>
        <v>#N/A</v>
      </c>
      <c r="N76" s="525" t="e" cm="1">
        <f t="array" aca="1" ref="N76" ca="1">INDEX('통합 점검결과'!$N:$N,MATCH(1,('통합 점검결과'!$B:$B=$A$5)*('통합 점검결과'!$J:$J=$C76),0))</f>
        <v>#N/A</v>
      </c>
      <c r="O76" s="526"/>
      <c r="P76" s="526"/>
      <c r="Q76" s="527"/>
      <c r="R76" s="99" t="e">
        <f t="array" aca="1" ref="R76" ca="1">INDEX('통합 점검결과'!$O:$O,MATCH(1,('통합 점검결과'!$B:$B=$A$5)*('통합 점검결과'!$J:$J=$C76),0))</f>
        <v>#N/A</v>
      </c>
    </row>
    <row r="77" spans="1:18" ht="13.5" customHeight="1">
      <c r="A77" s="497" t="s">
        <v>742</v>
      </c>
      <c r="B77" s="498"/>
      <c r="C77" s="499" t="s">
        <v>521</v>
      </c>
      <c r="D77" s="500"/>
      <c r="E77" s="501" t="s">
        <v>522</v>
      </c>
      <c r="F77" s="502"/>
      <c r="G77" s="502"/>
      <c r="H77" s="502"/>
      <c r="I77" s="502"/>
      <c r="J77" s="503"/>
      <c r="K77" s="230" t="s">
        <v>743</v>
      </c>
      <c r="L77" s="47" t="e">
        <f ca="1">IF(M77="N/A","-",'요약 통계'!E66)</f>
        <v>#N/A</v>
      </c>
      <c r="M77" s="231" t="e" cm="1">
        <f t="array" aca="1" ref="M77" ca="1">INDEX('통합 점검결과'!$M:$M,MATCH(1,('통합 점검결과'!$B:$B=$A$5)*('통합 점검결과'!$J:$J=$C77),0))</f>
        <v>#N/A</v>
      </c>
      <c r="N77" s="525" t="e" cm="1">
        <f t="array" aca="1" ref="N77" ca="1">INDEX('통합 점검결과'!$N:$N,MATCH(1,('통합 점검결과'!$B:$B=$A$5)*('통합 점검결과'!$J:$J=$C77),0))</f>
        <v>#N/A</v>
      </c>
      <c r="O77" s="526"/>
      <c r="P77" s="526"/>
      <c r="Q77" s="527"/>
      <c r="R77" s="99" t="e">
        <f t="array" aca="1" ref="R77" ca="1">INDEX('통합 점검결과'!$O:$O,MATCH(1,('통합 점검결과'!$B:$B=$A$5)*('통합 점검결과'!$J:$J=$C77),0))</f>
        <v>#N/A</v>
      </c>
    </row>
    <row r="78" spans="1:18" ht="13.5" customHeight="1">
      <c r="A78" s="497" t="s">
        <v>742</v>
      </c>
      <c r="B78" s="498"/>
      <c r="C78" s="499" t="s">
        <v>528</v>
      </c>
      <c r="D78" s="500"/>
      <c r="E78" s="501" t="s">
        <v>529</v>
      </c>
      <c r="F78" s="502"/>
      <c r="G78" s="502"/>
      <c r="H78" s="502"/>
      <c r="I78" s="502"/>
      <c r="J78" s="503"/>
      <c r="K78" s="230" t="s">
        <v>714</v>
      </c>
      <c r="L78" s="47" t="e">
        <f ca="1">IF(M78="N/A","-",'요약 통계'!E67)</f>
        <v>#N/A</v>
      </c>
      <c r="M78" s="231" t="e" cm="1">
        <f t="array" aca="1" ref="M78" ca="1">INDEX('통합 점검결과'!$M:$M,MATCH(1,('통합 점검결과'!$B:$B=$A$5)*('통합 점검결과'!$J:$J=$C78),0))</f>
        <v>#N/A</v>
      </c>
      <c r="N78" s="525" t="e" cm="1">
        <f t="array" aca="1" ref="N78" ca="1">INDEX('통합 점검결과'!$N:$N,MATCH(1,('통합 점검결과'!$B:$B=$A$5)*('통합 점검결과'!$J:$J=$C78),0))</f>
        <v>#N/A</v>
      </c>
      <c r="O78" s="526"/>
      <c r="P78" s="526"/>
      <c r="Q78" s="527"/>
      <c r="R78" s="99" t="e">
        <f t="array" aca="1" ref="R78" ca="1">INDEX('통합 점검결과'!$O:$O,MATCH(1,('통합 점검결과'!$B:$B=$A$5)*('통합 점검결과'!$J:$J=$C78),0))</f>
        <v>#N/A</v>
      </c>
    </row>
    <row r="79" spans="1:18" ht="13.5" customHeight="1">
      <c r="A79" s="497" t="s">
        <v>742</v>
      </c>
      <c r="B79" s="498"/>
      <c r="C79" s="499" t="s">
        <v>535</v>
      </c>
      <c r="D79" s="500"/>
      <c r="E79" s="501" t="s">
        <v>536</v>
      </c>
      <c r="F79" s="502"/>
      <c r="G79" s="502"/>
      <c r="H79" s="502"/>
      <c r="I79" s="502"/>
      <c r="J79" s="503"/>
      <c r="K79" s="230" t="s">
        <v>744</v>
      </c>
      <c r="L79" s="47" t="e">
        <f ca="1">IF(M79="N/A","-",'요약 통계'!E68)</f>
        <v>#N/A</v>
      </c>
      <c r="M79" s="231" t="e" cm="1">
        <f t="array" aca="1" ref="M79" ca="1">INDEX('통합 점검결과'!$M:$M,MATCH(1,('통합 점검결과'!$B:$B=$A$5)*('통합 점검결과'!$J:$J=$C79),0))</f>
        <v>#N/A</v>
      </c>
      <c r="N79" s="525" t="e" cm="1">
        <f t="array" aca="1" ref="N79" ca="1">INDEX('통합 점검결과'!$N:$N,MATCH(1,('통합 점검결과'!$B:$B=$A$5)*('통합 점검결과'!$J:$J=$C79),0))</f>
        <v>#N/A</v>
      </c>
      <c r="O79" s="526"/>
      <c r="P79" s="526"/>
      <c r="Q79" s="527"/>
      <c r="R79" s="99" t="e">
        <f t="array" aca="1" ref="R79" ca="1">INDEX('통합 점검결과'!$O:$O,MATCH(1,('통합 점검결과'!$B:$B=$A$5)*('통합 점검결과'!$J:$J=$C79),0))</f>
        <v>#N/A</v>
      </c>
    </row>
    <row r="80" spans="1:18" ht="13.5" customHeight="1">
      <c r="A80" s="497" t="s">
        <v>742</v>
      </c>
      <c r="B80" s="498"/>
      <c r="C80" s="499" t="s">
        <v>542</v>
      </c>
      <c r="D80" s="500"/>
      <c r="E80" s="501" t="s">
        <v>543</v>
      </c>
      <c r="F80" s="502"/>
      <c r="G80" s="502"/>
      <c r="H80" s="502"/>
      <c r="I80" s="502"/>
      <c r="J80" s="503"/>
      <c r="K80" s="230" t="s">
        <v>714</v>
      </c>
      <c r="L80" s="47" t="e">
        <f ca="1">IF(M80="N/A","-",'요약 통계'!E69)</f>
        <v>#N/A</v>
      </c>
      <c r="M80" s="231" t="e" cm="1">
        <f t="array" aca="1" ref="M80" ca="1">INDEX('통합 점검결과'!$M:$M,MATCH(1,('통합 점검결과'!$B:$B=$A$5)*('통합 점검결과'!$J:$J=$C80),0))</f>
        <v>#N/A</v>
      </c>
      <c r="N80" s="525" t="e" cm="1">
        <f t="array" aca="1" ref="N80" ca="1">INDEX('통합 점검결과'!$N:$N,MATCH(1,('통합 점검결과'!$B:$B=$A$5)*('통합 점검결과'!$J:$J=$C80),0))</f>
        <v>#N/A</v>
      </c>
      <c r="O80" s="526"/>
      <c r="P80" s="526"/>
      <c r="Q80" s="527"/>
      <c r="R80" s="99" t="e">
        <f t="array" aca="1" ref="R80" ca="1">INDEX('통합 점검결과'!$O:$O,MATCH(1,('통합 점검결과'!$B:$B=$A$5)*('통합 점검결과'!$J:$J=$C80),0))</f>
        <v>#N/A</v>
      </c>
    </row>
    <row r="81" spans="1:18" ht="13.5" customHeight="1">
      <c r="A81" s="497" t="s">
        <v>742</v>
      </c>
      <c r="B81" s="498"/>
      <c r="C81" s="499" t="s">
        <v>549</v>
      </c>
      <c r="D81" s="500"/>
      <c r="E81" s="501" t="s">
        <v>550</v>
      </c>
      <c r="F81" s="502"/>
      <c r="G81" s="502"/>
      <c r="H81" s="502"/>
      <c r="I81" s="502"/>
      <c r="J81" s="503"/>
      <c r="K81" s="230" t="s">
        <v>743</v>
      </c>
      <c r="L81" s="47" t="e">
        <f ca="1">IF(M81="N/A","-",'요약 통계'!E70)</f>
        <v>#N/A</v>
      </c>
      <c r="M81" s="231" t="e" cm="1">
        <f t="array" aca="1" ref="M81" ca="1">INDEX('통합 점검결과'!$M:$M,MATCH(1,('통합 점검결과'!$B:$B=$A$5)*('통합 점검결과'!$J:$J=$C81),0))</f>
        <v>#N/A</v>
      </c>
      <c r="N81" s="525" t="e" cm="1">
        <f t="array" aca="1" ref="N81" ca="1">INDEX('통합 점검결과'!$N:$N,MATCH(1,('통합 점검결과'!$B:$B=$A$5)*('통합 점검결과'!$J:$J=$C81),0))</f>
        <v>#N/A</v>
      </c>
      <c r="O81" s="526"/>
      <c r="P81" s="526"/>
      <c r="Q81" s="527"/>
      <c r="R81" s="99" t="e">
        <f t="array" aca="1" ref="R81" ca="1">INDEX('통합 점검결과'!$O:$O,MATCH(1,('통합 점검결과'!$B:$B=$A$5)*('통합 점검결과'!$J:$J=$C81),0))</f>
        <v>#N/A</v>
      </c>
    </row>
    <row r="82" spans="1:18" ht="13.5" customHeight="1">
      <c r="A82" s="497" t="s">
        <v>742</v>
      </c>
      <c r="B82" s="498"/>
      <c r="C82" s="499" t="s">
        <v>555</v>
      </c>
      <c r="D82" s="500"/>
      <c r="E82" s="501" t="s">
        <v>556</v>
      </c>
      <c r="F82" s="502"/>
      <c r="G82" s="502"/>
      <c r="H82" s="502"/>
      <c r="I82" s="502"/>
      <c r="J82" s="503"/>
      <c r="K82" s="230" t="s">
        <v>744</v>
      </c>
      <c r="L82" s="47" t="e">
        <f ca="1">IF(M82="N/A","-",'요약 통계'!E71)</f>
        <v>#N/A</v>
      </c>
      <c r="M82" s="231" t="e" cm="1">
        <f t="array" aca="1" ref="M82" ca="1">INDEX('통합 점검결과'!$M:$M,MATCH(1,('통합 점검결과'!$B:$B=$A$5)*('통합 점검결과'!$J:$J=$C82),0))</f>
        <v>#N/A</v>
      </c>
      <c r="N82" s="525" t="e" cm="1">
        <f t="array" aca="1" ref="N82" ca="1">INDEX('통합 점검결과'!$N:$N,MATCH(1,('통합 점검결과'!$B:$B=$A$5)*('통합 점검결과'!$J:$J=$C82),0))</f>
        <v>#N/A</v>
      </c>
      <c r="O82" s="526"/>
      <c r="P82" s="526"/>
      <c r="Q82" s="527"/>
      <c r="R82" s="99" t="e">
        <f t="array" aca="1" ref="R82" ca="1">INDEX('통합 점검결과'!$O:$O,MATCH(1,('통합 점검결과'!$B:$B=$A$5)*('통합 점검결과'!$J:$J=$C82),0))</f>
        <v>#N/A</v>
      </c>
    </row>
    <row r="83" spans="1:18" ht="13.5" customHeight="1">
      <c r="A83" s="497" t="s">
        <v>742</v>
      </c>
      <c r="B83" s="498"/>
      <c r="C83" s="499" t="s">
        <v>561</v>
      </c>
      <c r="D83" s="500"/>
      <c r="E83" s="501" t="s">
        <v>562</v>
      </c>
      <c r="F83" s="502"/>
      <c r="G83" s="502"/>
      <c r="H83" s="502"/>
      <c r="I83" s="502"/>
      <c r="J83" s="503"/>
      <c r="K83" s="230" t="s">
        <v>743</v>
      </c>
      <c r="L83" s="47" t="e">
        <f ca="1">IF(M83="N/A","-",'요약 통계'!E72)</f>
        <v>#N/A</v>
      </c>
      <c r="M83" s="231" t="e" cm="1">
        <f t="array" aca="1" ref="M83" ca="1">INDEX('통합 점검결과'!$M:$M,MATCH(1,('통합 점검결과'!$B:$B=$A$5)*('통합 점검결과'!$J:$J=$C83),0))</f>
        <v>#N/A</v>
      </c>
      <c r="N83" s="525" t="e" cm="1">
        <f t="array" aca="1" ref="N83" ca="1">INDEX('통합 점검결과'!$N:$N,MATCH(1,('통합 점검결과'!$B:$B=$A$5)*('통합 점검결과'!$J:$J=$C83),0))</f>
        <v>#N/A</v>
      </c>
      <c r="O83" s="526"/>
      <c r="P83" s="526"/>
      <c r="Q83" s="527"/>
      <c r="R83" s="99" t="e">
        <f t="array" aca="1" ref="R83" ca="1">INDEX('통합 점검결과'!$O:$O,MATCH(1,('통합 점검결과'!$B:$B=$A$5)*('통합 점검결과'!$J:$J=$C83),0))</f>
        <v>#N/A</v>
      </c>
    </row>
    <row r="84" spans="1:18" ht="13.5" customHeight="1">
      <c r="A84" s="497" t="s">
        <v>742</v>
      </c>
      <c r="B84" s="498"/>
      <c r="C84" s="499" t="s">
        <v>566</v>
      </c>
      <c r="D84" s="500"/>
      <c r="E84" s="501" t="s">
        <v>567</v>
      </c>
      <c r="F84" s="502"/>
      <c r="G84" s="502"/>
      <c r="H84" s="502"/>
      <c r="I84" s="502"/>
      <c r="J84" s="503"/>
      <c r="K84" s="230" t="s">
        <v>714</v>
      </c>
      <c r="L84" s="47" t="e">
        <f ca="1">IF(M84="N/A","-",'요약 통계'!E73)</f>
        <v>#N/A</v>
      </c>
      <c r="M84" s="231" t="e" cm="1">
        <f t="array" aca="1" ref="M84" ca="1">INDEX('통합 점검결과'!$M:$M,MATCH(1,('통합 점검결과'!$B:$B=$A$5)*('통합 점검결과'!$J:$J=$C84),0))</f>
        <v>#N/A</v>
      </c>
      <c r="N84" s="525" t="e" cm="1">
        <f t="array" aca="1" ref="N84" ca="1">INDEX('통합 점검결과'!$N:$N,MATCH(1,('통합 점검결과'!$B:$B=$A$5)*('통합 점검결과'!$J:$J=$C84),0))</f>
        <v>#N/A</v>
      </c>
      <c r="O84" s="526"/>
      <c r="P84" s="526"/>
      <c r="Q84" s="527"/>
      <c r="R84" s="99" t="e">
        <f t="array" aca="1" ref="R84" ca="1">INDEX('통합 점검결과'!$O:$O,MATCH(1,('통합 점검결과'!$B:$B=$A$5)*('통합 점검결과'!$J:$J=$C84),0))</f>
        <v>#N/A</v>
      </c>
    </row>
    <row r="85" spans="1:18" ht="13.5" customHeight="1">
      <c r="A85" s="497" t="s">
        <v>742</v>
      </c>
      <c r="B85" s="498"/>
      <c r="C85" s="499" t="s">
        <v>573</v>
      </c>
      <c r="D85" s="500"/>
      <c r="E85" s="501" t="s">
        <v>574</v>
      </c>
      <c r="F85" s="502"/>
      <c r="G85" s="502"/>
      <c r="H85" s="502"/>
      <c r="I85" s="502"/>
      <c r="J85" s="503"/>
      <c r="K85" s="230" t="s">
        <v>743</v>
      </c>
      <c r="L85" s="47" t="e">
        <f ca="1">IF(M85="N/A","-",'요약 통계'!E74)</f>
        <v>#N/A</v>
      </c>
      <c r="M85" s="231" t="e" cm="1">
        <f t="array" aca="1" ref="M85" ca="1">INDEX('통합 점검결과'!$M:$M,MATCH(1,('통합 점검결과'!$B:$B=$A$5)*('통합 점검결과'!$J:$J=$C85),0))</f>
        <v>#N/A</v>
      </c>
      <c r="N85" s="525" t="e" cm="1">
        <f t="array" aca="1" ref="N85" ca="1">INDEX('통합 점검결과'!$N:$N,MATCH(1,('통합 점검결과'!$B:$B=$A$5)*('통합 점검결과'!$J:$J=$C85),0))</f>
        <v>#N/A</v>
      </c>
      <c r="O85" s="526"/>
      <c r="P85" s="526"/>
      <c r="Q85" s="527"/>
      <c r="R85" s="99" t="e">
        <f t="array" aca="1" ref="R85" ca="1">INDEX('통합 점검결과'!$O:$O,MATCH(1,('통합 점검결과'!$B:$B=$A$5)*('통합 점검결과'!$J:$J=$C85),0))</f>
        <v>#N/A</v>
      </c>
    </row>
    <row r="86" spans="1:18" ht="13.5" customHeight="1">
      <c r="A86" s="497" t="s">
        <v>742</v>
      </c>
      <c r="B86" s="498"/>
      <c r="C86" s="499" t="s">
        <v>576</v>
      </c>
      <c r="D86" s="500"/>
      <c r="E86" s="501" t="s">
        <v>577</v>
      </c>
      <c r="F86" s="502"/>
      <c r="G86" s="502"/>
      <c r="H86" s="502"/>
      <c r="I86" s="502"/>
      <c r="J86" s="503"/>
      <c r="K86" s="230" t="s">
        <v>743</v>
      </c>
      <c r="L86" s="47" t="e">
        <f ca="1">IF(M86="N/A","-",'요약 통계'!E75)</f>
        <v>#N/A</v>
      </c>
      <c r="M86" s="231" t="e" cm="1">
        <f t="array" aca="1" ref="M86" ca="1">INDEX('통합 점검결과'!$M:$M,MATCH(1,('통합 점검결과'!$B:$B=$A$5)*('통합 점검결과'!$J:$J=$C86),0))</f>
        <v>#N/A</v>
      </c>
      <c r="N86" s="525" t="e" cm="1">
        <f t="array" aca="1" ref="N86" ca="1">INDEX('통합 점검결과'!$N:$N,MATCH(1,('통합 점검결과'!$B:$B=$A$5)*('통합 점검결과'!$J:$J=$C86),0))</f>
        <v>#N/A</v>
      </c>
      <c r="O86" s="526"/>
      <c r="P86" s="526"/>
      <c r="Q86" s="527"/>
      <c r="R86" s="99" t="e">
        <f t="array" aca="1" ref="R86" ca="1">INDEX('통합 점검결과'!$O:$O,MATCH(1,('통합 점검결과'!$B:$B=$A$5)*('통합 점검결과'!$J:$J=$C86),0))</f>
        <v>#N/A</v>
      </c>
    </row>
    <row r="87" spans="1:18" ht="13.5" customHeight="1">
      <c r="A87" s="497" t="s">
        <v>742</v>
      </c>
      <c r="B87" s="498"/>
      <c r="C87" s="499" t="s">
        <v>581</v>
      </c>
      <c r="D87" s="500"/>
      <c r="E87" s="501" t="s">
        <v>582</v>
      </c>
      <c r="F87" s="502"/>
      <c r="G87" s="502"/>
      <c r="H87" s="502"/>
      <c r="I87" s="502"/>
      <c r="J87" s="503"/>
      <c r="K87" s="230" t="s">
        <v>714</v>
      </c>
      <c r="L87" s="47" t="e">
        <f ca="1">IF(M87="N/A","-",'요약 통계'!E76)</f>
        <v>#N/A</v>
      </c>
      <c r="M87" s="231" t="e" cm="1">
        <f t="array" aca="1" ref="M87" ca="1">INDEX('통합 점검결과'!$M:$M,MATCH(1,('통합 점검결과'!$B:$B=$A$5)*('통합 점검결과'!$J:$J=$C87),0))</f>
        <v>#N/A</v>
      </c>
      <c r="N87" s="525" t="e" cm="1">
        <f t="array" aca="1" ref="N87" ca="1">INDEX('통합 점검결과'!$N:$N,MATCH(1,('통합 점검결과'!$B:$B=$A$5)*('통합 점검결과'!$J:$J=$C87),0))</f>
        <v>#N/A</v>
      </c>
      <c r="O87" s="526"/>
      <c r="P87" s="526"/>
      <c r="Q87" s="527"/>
      <c r="R87" s="99" t="e">
        <f t="array" aca="1" ref="R87" ca="1">INDEX('통합 점검결과'!$O:$O,MATCH(1,('통합 점검결과'!$B:$B=$A$5)*('통합 점검결과'!$J:$J=$C87),0))</f>
        <v>#N/A</v>
      </c>
    </row>
    <row r="88" spans="1:18" ht="13.5" customHeight="1">
      <c r="A88" s="497" t="s">
        <v>745</v>
      </c>
      <c r="B88" s="498"/>
      <c r="C88" s="499" t="s">
        <v>588</v>
      </c>
      <c r="D88" s="500"/>
      <c r="E88" s="501" t="s">
        <v>589</v>
      </c>
      <c r="F88" s="502"/>
      <c r="G88" s="502"/>
      <c r="H88" s="502"/>
      <c r="I88" s="502"/>
      <c r="J88" s="503"/>
      <c r="K88" s="230" t="s">
        <v>743</v>
      </c>
      <c r="L88" s="47" t="e">
        <f ca="1">IF(M88="N/A","-",'요약 통계'!E77)</f>
        <v>#N/A</v>
      </c>
      <c r="M88" s="231" t="e" cm="1">
        <f t="array" aca="1" ref="M88" ca="1">INDEX('통합 점검결과'!$M:$M,MATCH(1,('통합 점검결과'!$B:$B=$A$5)*('통합 점검결과'!$J:$J=$C88),0))</f>
        <v>#N/A</v>
      </c>
      <c r="N88" s="525" t="e" cm="1">
        <f t="array" aca="1" ref="N88" ca="1">INDEX('통합 점검결과'!$N:$N,MATCH(1,('통합 점검결과'!$B:$B=$A$5)*('통합 점검결과'!$J:$J=$C88),0))</f>
        <v>#N/A</v>
      </c>
      <c r="O88" s="526"/>
      <c r="P88" s="526"/>
      <c r="Q88" s="527"/>
      <c r="R88" s="99" t="e">
        <f t="array" aca="1" ref="R88" ca="1">INDEX('통합 점검결과'!$O:$O,MATCH(1,('통합 점검결과'!$B:$B=$A$5)*('통합 점검결과'!$J:$J=$C88),0))</f>
        <v>#N/A</v>
      </c>
    </row>
    <row r="89" spans="1:18" ht="13.5" customHeight="1">
      <c r="A89" s="497" t="s">
        <v>742</v>
      </c>
      <c r="B89" s="498"/>
      <c r="C89" s="499" t="s">
        <v>595</v>
      </c>
      <c r="D89" s="500"/>
      <c r="E89" s="501" t="s">
        <v>596</v>
      </c>
      <c r="F89" s="502"/>
      <c r="G89" s="502"/>
      <c r="H89" s="502"/>
      <c r="I89" s="502"/>
      <c r="J89" s="503"/>
      <c r="K89" s="230" t="s">
        <v>743</v>
      </c>
      <c r="L89" s="47" t="e">
        <f ca="1">IF(M89="N/A","-",'요약 통계'!E78)</f>
        <v>#N/A</v>
      </c>
      <c r="M89" s="231" t="e" cm="1">
        <f t="array" aca="1" ref="M89" ca="1">INDEX('통합 점검결과'!$M:$M,MATCH(1,('통합 점검결과'!$B:$B=$A$5)*('통합 점검결과'!$J:$J=$C89),0))</f>
        <v>#N/A</v>
      </c>
      <c r="N89" s="525" t="e" cm="1">
        <f t="array" aca="1" ref="N89" ca="1">INDEX('통합 점검결과'!$N:$N,MATCH(1,('통합 점검결과'!$B:$B=$A$5)*('통합 점검결과'!$J:$J=$C89),0))</f>
        <v>#N/A</v>
      </c>
      <c r="O89" s="526"/>
      <c r="P89" s="526"/>
      <c r="Q89" s="527"/>
      <c r="R89" s="99" t="e">
        <f t="array" aca="1" ref="R89" ca="1">INDEX('통합 점검결과'!$O:$O,MATCH(1,('통합 점검결과'!$B:$B=$A$5)*('통합 점검결과'!$J:$J=$C89),0))</f>
        <v>#N/A</v>
      </c>
    </row>
    <row r="90" spans="1:18" ht="13.5" customHeight="1">
      <c r="A90" s="497" t="s">
        <v>742</v>
      </c>
      <c r="B90" s="498"/>
      <c r="C90" s="499" t="s">
        <v>602</v>
      </c>
      <c r="D90" s="500"/>
      <c r="E90" s="501" t="s">
        <v>603</v>
      </c>
      <c r="F90" s="502"/>
      <c r="G90" s="502"/>
      <c r="H90" s="502"/>
      <c r="I90" s="502"/>
      <c r="J90" s="503"/>
      <c r="K90" s="230" t="s">
        <v>743</v>
      </c>
      <c r="L90" s="47" t="e">
        <f ca="1">IF(M90="N/A","-",'요약 통계'!E79)</f>
        <v>#N/A</v>
      </c>
      <c r="M90" s="231" t="e" cm="1">
        <f t="array" aca="1" ref="M90" ca="1">INDEX('통합 점검결과'!$M:$M,MATCH(1,('통합 점검결과'!$B:$B=$A$5)*('통합 점검결과'!$J:$J=$C90),0))</f>
        <v>#N/A</v>
      </c>
      <c r="N90" s="525" t="e" cm="1">
        <f t="array" aca="1" ref="N90" ca="1">INDEX('통합 점검결과'!$N:$N,MATCH(1,('통합 점검결과'!$B:$B=$A$5)*('통합 점검결과'!$J:$J=$C90),0))</f>
        <v>#N/A</v>
      </c>
      <c r="O90" s="526"/>
      <c r="P90" s="526"/>
      <c r="Q90" s="527"/>
      <c r="R90" s="99" t="e">
        <f t="array" aca="1" ref="R90" ca="1">INDEX('통합 점검결과'!$O:$O,MATCH(1,('통합 점검결과'!$B:$B=$A$5)*('통합 점검결과'!$J:$J=$C90),0))</f>
        <v>#N/A</v>
      </c>
    </row>
    <row r="91" spans="1:18" ht="13.5" customHeight="1">
      <c r="A91" s="497" t="s">
        <v>742</v>
      </c>
      <c r="B91" s="498"/>
      <c r="C91" s="499" t="s">
        <v>609</v>
      </c>
      <c r="D91" s="500"/>
      <c r="E91" s="501" t="s">
        <v>610</v>
      </c>
      <c r="F91" s="502"/>
      <c r="G91" s="502"/>
      <c r="H91" s="502"/>
      <c r="I91" s="502"/>
      <c r="J91" s="503"/>
      <c r="K91" s="230" t="s">
        <v>743</v>
      </c>
      <c r="L91" s="47" t="e">
        <f ca="1">IF(M91="N/A","-",'요약 통계'!E80)</f>
        <v>#N/A</v>
      </c>
      <c r="M91" s="231" t="e" cm="1">
        <f t="array" aca="1" ref="M91" ca="1">INDEX('통합 점검결과'!$M:$M,MATCH(1,('통합 점검결과'!$B:$B=$A$5)*('통합 점검결과'!$J:$J=$C91),0))</f>
        <v>#N/A</v>
      </c>
      <c r="N91" s="525" t="e" cm="1">
        <f t="array" aca="1" ref="N91" ca="1">INDEX('통합 점검결과'!$N:$N,MATCH(1,('통합 점검결과'!$B:$B=$A$5)*('통합 점검결과'!$J:$J=$C91),0))</f>
        <v>#N/A</v>
      </c>
      <c r="O91" s="526"/>
      <c r="P91" s="526"/>
      <c r="Q91" s="527"/>
      <c r="R91" s="99" t="e">
        <f t="array" aca="1" ref="R91" ca="1">INDEX('통합 점검결과'!$O:$O,MATCH(1,('통합 점검결과'!$B:$B=$A$5)*('통합 점검결과'!$J:$J=$C91),0))</f>
        <v>#N/A</v>
      </c>
    </row>
    <row r="92" spans="1:18" ht="13.5" customHeight="1">
      <c r="A92" s="497" t="s">
        <v>742</v>
      </c>
      <c r="B92" s="498"/>
      <c r="C92" s="499" t="s">
        <v>615</v>
      </c>
      <c r="D92" s="500"/>
      <c r="E92" s="501" t="s">
        <v>616</v>
      </c>
      <c r="F92" s="502"/>
      <c r="G92" s="502"/>
      <c r="H92" s="502"/>
      <c r="I92" s="502"/>
      <c r="J92" s="503"/>
      <c r="K92" s="230" t="s">
        <v>744</v>
      </c>
      <c r="L92" s="47" t="e">
        <f ca="1">IF(M92="N/A","-",'요약 통계'!E81)</f>
        <v>#N/A</v>
      </c>
      <c r="M92" s="231" t="e" cm="1">
        <f t="array" aca="1" ref="M92" ca="1">INDEX('통합 점검결과'!$M:$M,MATCH(1,('통합 점검결과'!$B:$B=$A$5)*('통합 점검결과'!$J:$J=$C92),0))</f>
        <v>#N/A</v>
      </c>
      <c r="N92" s="525" t="e" cm="1">
        <f t="array" aca="1" ref="N92" ca="1">INDEX('통합 점검결과'!$N:$N,MATCH(1,('통합 점검결과'!$B:$B=$A$5)*('통합 점검결과'!$J:$J=$C92),0))</f>
        <v>#N/A</v>
      </c>
      <c r="O92" s="526"/>
      <c r="P92" s="526"/>
      <c r="Q92" s="527"/>
      <c r="R92" s="99" t="e">
        <f t="array" aca="1" ref="R92" ca="1">INDEX('통합 점검결과'!$O:$O,MATCH(1,('통합 점검결과'!$B:$B=$A$5)*('통합 점검결과'!$J:$J=$C92),0))</f>
        <v>#N/A</v>
      </c>
    </row>
    <row r="93" spans="1:18" ht="13.5" customHeight="1">
      <c r="A93" s="497" t="s">
        <v>742</v>
      </c>
      <c r="B93" s="498"/>
      <c r="C93" s="499" t="s">
        <v>622</v>
      </c>
      <c r="D93" s="500"/>
      <c r="E93" s="501" t="s">
        <v>623</v>
      </c>
      <c r="F93" s="502"/>
      <c r="G93" s="502"/>
      <c r="H93" s="502"/>
      <c r="I93" s="502"/>
      <c r="J93" s="503"/>
      <c r="K93" s="230" t="s">
        <v>744</v>
      </c>
      <c r="L93" s="47" t="e">
        <f ca="1">IF(M93="N/A","-",'요약 통계'!E82)</f>
        <v>#N/A</v>
      </c>
      <c r="M93" s="231" t="e" cm="1">
        <f t="array" aca="1" ref="M93" ca="1">INDEX('통합 점검결과'!$M:$M,MATCH(1,('통합 점검결과'!$B:$B=$A$5)*('통합 점검결과'!$J:$J=$C93),0))</f>
        <v>#N/A</v>
      </c>
      <c r="N93" s="525" t="e" cm="1">
        <f t="array" aca="1" ref="N93" ca="1">INDEX('통합 점검결과'!$N:$N,MATCH(1,('통합 점검결과'!$B:$B=$A$5)*('통합 점검결과'!$J:$J=$C93),0))</f>
        <v>#N/A</v>
      </c>
      <c r="O93" s="526"/>
      <c r="P93" s="526"/>
      <c r="Q93" s="527"/>
      <c r="R93" s="99" t="e">
        <f t="array" aca="1" ref="R93" ca="1">INDEX('통합 점검결과'!$O:$O,MATCH(1,('통합 점검결과'!$B:$B=$A$5)*('통합 점검결과'!$J:$J=$C93),0))</f>
        <v>#N/A</v>
      </c>
    </row>
    <row r="94" spans="1:18" ht="13.5" customHeight="1">
      <c r="A94" s="497" t="s">
        <v>742</v>
      </c>
      <c r="B94" s="498"/>
      <c r="C94" s="499" t="s">
        <v>628</v>
      </c>
      <c r="D94" s="500"/>
      <c r="E94" s="501" t="s">
        <v>629</v>
      </c>
      <c r="F94" s="502"/>
      <c r="G94" s="502"/>
      <c r="H94" s="502"/>
      <c r="I94" s="502"/>
      <c r="J94" s="503"/>
      <c r="K94" s="230" t="s">
        <v>744</v>
      </c>
      <c r="L94" s="47" t="e">
        <f ca="1">IF(M94="N/A","-",'요약 통계'!E83)</f>
        <v>#N/A</v>
      </c>
      <c r="M94" s="231" t="e" cm="1">
        <f t="array" aca="1" ref="M94" ca="1">INDEX('통합 점검결과'!$M:$M,MATCH(1,('통합 점검결과'!$B:$B=$A$5)*('통합 점검결과'!$J:$J=$C94),0))</f>
        <v>#N/A</v>
      </c>
      <c r="N94" s="525" t="e" cm="1">
        <f t="array" aca="1" ref="N94" ca="1">INDEX('통합 점검결과'!$N:$N,MATCH(1,('통합 점검결과'!$B:$B=$A$5)*('통합 점검결과'!$J:$J=$C94),0))</f>
        <v>#N/A</v>
      </c>
      <c r="O94" s="526"/>
      <c r="P94" s="526"/>
      <c r="Q94" s="527"/>
      <c r="R94" s="99" t="e">
        <f t="array" aca="1" ref="R94" ca="1">INDEX('통합 점검결과'!$O:$O,MATCH(1,('통합 점검결과'!$B:$B=$A$5)*('통합 점검결과'!$J:$J=$C94),0))</f>
        <v>#N/A</v>
      </c>
    </row>
    <row r="95" spans="1:18" ht="13.5" customHeight="1">
      <c r="A95" s="497" t="s">
        <v>742</v>
      </c>
      <c r="B95" s="498"/>
      <c r="C95" s="499" t="s">
        <v>635</v>
      </c>
      <c r="D95" s="500"/>
      <c r="E95" s="501" t="s">
        <v>636</v>
      </c>
      <c r="F95" s="502"/>
      <c r="G95" s="502"/>
      <c r="H95" s="502"/>
      <c r="I95" s="502"/>
      <c r="J95" s="503"/>
      <c r="K95" s="230" t="s">
        <v>744</v>
      </c>
      <c r="L95" s="47" t="e">
        <f ca="1">IF(M95="N/A","-",'요약 통계'!E84)</f>
        <v>#N/A</v>
      </c>
      <c r="M95" s="231" t="e" cm="1">
        <f t="array" aca="1" ref="M95" ca="1">INDEX('통합 점검결과'!$M:$M,MATCH(1,('통합 점검결과'!$B:$B=$A$5)*('통합 점검결과'!$J:$J=$C95),0))</f>
        <v>#N/A</v>
      </c>
      <c r="N95" s="525" t="e" cm="1">
        <f t="array" aca="1" ref="N95" ca="1">INDEX('통합 점검결과'!$N:$N,MATCH(1,('통합 점검결과'!$B:$B=$A$5)*('통합 점검결과'!$J:$J=$C95),0))</f>
        <v>#N/A</v>
      </c>
      <c r="O95" s="526"/>
      <c r="P95" s="526"/>
      <c r="Q95" s="527"/>
      <c r="R95" s="99" t="e">
        <f t="array" aca="1" ref="R95" ca="1">INDEX('통합 점검결과'!$O:$O,MATCH(1,('통합 점검결과'!$B:$B=$A$5)*('통합 점검결과'!$J:$J=$C95),0))</f>
        <v>#N/A</v>
      </c>
    </row>
    <row r="96" spans="1:18" ht="13.5" customHeight="1">
      <c r="A96" s="497" t="s">
        <v>742</v>
      </c>
      <c r="B96" s="498"/>
      <c r="C96" s="499" t="s">
        <v>641</v>
      </c>
      <c r="D96" s="500"/>
      <c r="E96" s="501" t="s">
        <v>642</v>
      </c>
      <c r="F96" s="502"/>
      <c r="G96" s="502"/>
      <c r="H96" s="502"/>
      <c r="I96" s="502"/>
      <c r="J96" s="503"/>
      <c r="K96" s="230" t="s">
        <v>743</v>
      </c>
      <c r="L96" s="47" t="e">
        <f ca="1">IF(M96="N/A","-",'요약 통계'!E85)</f>
        <v>#N/A</v>
      </c>
      <c r="M96" s="231" t="e" cm="1">
        <f t="array" aca="1" ref="M96" ca="1">INDEX('통합 점검결과'!$M:$M,MATCH(1,('통합 점검결과'!$B:$B=$A$5)*('통합 점검결과'!$J:$J=$C96),0))</f>
        <v>#N/A</v>
      </c>
      <c r="N96" s="525" t="e" cm="1">
        <f t="array" aca="1" ref="N96" ca="1">INDEX('통합 점검결과'!$N:$N,MATCH(1,('통합 점검결과'!$B:$B=$A$5)*('통합 점검결과'!$J:$J=$C96),0))</f>
        <v>#N/A</v>
      </c>
      <c r="O96" s="526"/>
      <c r="P96" s="526"/>
      <c r="Q96" s="527"/>
      <c r="R96" s="99" t="e">
        <f t="array" aca="1" ref="R96" ca="1">INDEX('통합 점검결과'!$O:$O,MATCH(1,('통합 점검결과'!$B:$B=$A$5)*('통합 점검결과'!$J:$J=$C96),0))</f>
        <v>#N/A</v>
      </c>
    </row>
    <row r="97" spans="1:18" ht="13.5" customHeight="1">
      <c r="A97" s="497" t="s">
        <v>742</v>
      </c>
      <c r="B97" s="498"/>
      <c r="C97" s="499" t="s">
        <v>647</v>
      </c>
      <c r="D97" s="500"/>
      <c r="E97" s="501" t="s">
        <v>648</v>
      </c>
      <c r="F97" s="502"/>
      <c r="G97" s="502"/>
      <c r="H97" s="502"/>
      <c r="I97" s="502"/>
      <c r="J97" s="503"/>
      <c r="K97" s="230" t="s">
        <v>743</v>
      </c>
      <c r="L97" s="47" t="e">
        <f ca="1">IF(M97="N/A","-",'요약 통계'!E86)</f>
        <v>#N/A</v>
      </c>
      <c r="M97" s="231" t="e" cm="1">
        <f t="array" aca="1" ref="M97" ca="1">INDEX('통합 점검결과'!$M:$M,MATCH(1,('통합 점검결과'!$B:$B=$A$5)*('통합 점검결과'!$J:$J=$C97),0))</f>
        <v>#N/A</v>
      </c>
      <c r="N97" s="525" t="e" cm="1">
        <f t="array" aca="1" ref="N97" ca="1">INDEX('통합 점검결과'!$N:$N,MATCH(1,('통합 점검결과'!$B:$B=$A$5)*('통합 점검결과'!$J:$J=$C97),0))</f>
        <v>#N/A</v>
      </c>
      <c r="O97" s="526"/>
      <c r="P97" s="526"/>
      <c r="Q97" s="527"/>
      <c r="R97" s="99" t="e">
        <f t="array" aca="1" ref="R97" ca="1">INDEX('통합 점검결과'!$O:$O,MATCH(1,('통합 점검결과'!$B:$B=$A$5)*('통합 점검결과'!$J:$J=$C97),0))</f>
        <v>#N/A</v>
      </c>
    </row>
    <row r="98" spans="1:18" ht="13.5" customHeight="1">
      <c r="A98" s="497" t="s">
        <v>742</v>
      </c>
      <c r="B98" s="498"/>
      <c r="C98" s="499" t="s">
        <v>654</v>
      </c>
      <c r="D98" s="500"/>
      <c r="E98" s="501" t="s">
        <v>655</v>
      </c>
      <c r="F98" s="502"/>
      <c r="G98" s="502"/>
      <c r="H98" s="502"/>
      <c r="I98" s="502"/>
      <c r="J98" s="503"/>
      <c r="K98" s="230" t="s">
        <v>743</v>
      </c>
      <c r="L98" s="47" t="e">
        <f ca="1">IF(M98="N/A","-",'요약 통계'!E87)</f>
        <v>#N/A</v>
      </c>
      <c r="M98" s="231" t="e" cm="1">
        <f t="array" aca="1" ref="M98" ca="1">INDEX('통합 점검결과'!$M:$M,MATCH(1,('통합 점검결과'!$B:$B=$A$5)*('통합 점검결과'!$J:$J=$C98),0))</f>
        <v>#N/A</v>
      </c>
      <c r="N98" s="525" t="e" cm="1">
        <f t="array" aca="1" ref="N98" ca="1">INDEX('통합 점검결과'!$N:$N,MATCH(1,('통합 점검결과'!$B:$B=$A$5)*('통합 점검결과'!$J:$J=$C98),0))</f>
        <v>#N/A</v>
      </c>
      <c r="O98" s="526"/>
      <c r="P98" s="526"/>
      <c r="Q98" s="527"/>
      <c r="R98" s="99" t="e">
        <f t="array" aca="1" ref="R98" ca="1">INDEX('통합 점검결과'!$O:$O,MATCH(1,('통합 점검결과'!$B:$B=$A$5)*('통합 점검결과'!$J:$J=$C98),0))</f>
        <v>#N/A</v>
      </c>
    </row>
    <row r="99" spans="1:18" ht="13.5" customHeight="1">
      <c r="A99" s="497" t="s">
        <v>742</v>
      </c>
      <c r="B99" s="498"/>
      <c r="C99" s="499" t="s">
        <v>660</v>
      </c>
      <c r="D99" s="500"/>
      <c r="E99" s="501" t="s">
        <v>661</v>
      </c>
      <c r="F99" s="502"/>
      <c r="G99" s="502"/>
      <c r="H99" s="502"/>
      <c r="I99" s="502"/>
      <c r="J99" s="503"/>
      <c r="K99" s="230" t="s">
        <v>744</v>
      </c>
      <c r="L99" s="47" t="e">
        <f ca="1">IF(M99="N/A","-",'요약 통계'!E88)</f>
        <v>#N/A</v>
      </c>
      <c r="M99" s="231" t="e" cm="1">
        <f t="array" aca="1" ref="M99" ca="1">INDEX('통합 점검결과'!$M:$M,MATCH(1,('통합 점검결과'!$B:$B=$A$5)*('통합 점검결과'!$J:$J=$C99),0))</f>
        <v>#N/A</v>
      </c>
      <c r="N99" s="525" t="e" cm="1">
        <f t="array" aca="1" ref="N99" ca="1">INDEX('통합 점검결과'!$N:$N,MATCH(1,('통합 점검결과'!$B:$B=$A$5)*('통합 점검결과'!$J:$J=$C99),0))</f>
        <v>#N/A</v>
      </c>
      <c r="O99" s="526"/>
      <c r="P99" s="526"/>
      <c r="Q99" s="527"/>
      <c r="R99" s="99" t="e">
        <f t="array" aca="1" ref="R99" ca="1">INDEX('통합 점검결과'!$O:$O,MATCH(1,('통합 점검결과'!$B:$B=$A$5)*('통합 점검결과'!$J:$J=$C99),0))</f>
        <v>#N/A</v>
      </c>
    </row>
    <row r="109" spans="1:18" ht="16.5" customHeight="1"/>
    <row r="110" spans="1:18" ht="16.5" customHeight="1"/>
    <row r="111" spans="1:18" ht="16.5" customHeight="1"/>
    <row r="112" spans="1:18"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sheetData>
  <mergeCells count="358">
    <mergeCell ref="N96:Q96"/>
    <mergeCell ref="N97:Q97"/>
    <mergeCell ref="N98:Q98"/>
    <mergeCell ref="N99:Q99"/>
    <mergeCell ref="N87:Q87"/>
    <mergeCell ref="N88:Q88"/>
    <mergeCell ref="N89:Q89"/>
    <mergeCell ref="N90:Q90"/>
    <mergeCell ref="N91:Q91"/>
    <mergeCell ref="N92:Q92"/>
    <mergeCell ref="N93:Q93"/>
    <mergeCell ref="N94:Q94"/>
    <mergeCell ref="N95:Q95"/>
    <mergeCell ref="N78:Q78"/>
    <mergeCell ref="N79:Q79"/>
    <mergeCell ref="N80:Q80"/>
    <mergeCell ref="N81:Q81"/>
    <mergeCell ref="N82:Q82"/>
    <mergeCell ref="N83:Q83"/>
    <mergeCell ref="N84:Q84"/>
    <mergeCell ref="N85:Q85"/>
    <mergeCell ref="N86:Q86"/>
    <mergeCell ref="N69:Q69"/>
    <mergeCell ref="N70:Q70"/>
    <mergeCell ref="N71:Q71"/>
    <mergeCell ref="N72:Q72"/>
    <mergeCell ref="N73:Q73"/>
    <mergeCell ref="N74:Q74"/>
    <mergeCell ref="N75:Q75"/>
    <mergeCell ref="N76:Q76"/>
    <mergeCell ref="N77:Q77"/>
    <mergeCell ref="N60:Q60"/>
    <mergeCell ref="N61:Q61"/>
    <mergeCell ref="N62:Q62"/>
    <mergeCell ref="N63:Q63"/>
    <mergeCell ref="N64:Q64"/>
    <mergeCell ref="N65:Q65"/>
    <mergeCell ref="N66:Q66"/>
    <mergeCell ref="N67:Q67"/>
    <mergeCell ref="N68:Q68"/>
    <mergeCell ref="N51:Q51"/>
    <mergeCell ref="N52:Q52"/>
    <mergeCell ref="N53:Q53"/>
    <mergeCell ref="N54:Q54"/>
    <mergeCell ref="N55:Q55"/>
    <mergeCell ref="N56:Q56"/>
    <mergeCell ref="N57:Q57"/>
    <mergeCell ref="N58:Q58"/>
    <mergeCell ref="N59:Q59"/>
    <mergeCell ref="N42:Q42"/>
    <mergeCell ref="N43:Q43"/>
    <mergeCell ref="N44:Q44"/>
    <mergeCell ref="N45:Q45"/>
    <mergeCell ref="N46:Q46"/>
    <mergeCell ref="N47:Q47"/>
    <mergeCell ref="N48:Q48"/>
    <mergeCell ref="N49:Q49"/>
    <mergeCell ref="N50:Q50"/>
    <mergeCell ref="N33:Q33"/>
    <mergeCell ref="N34:Q34"/>
    <mergeCell ref="N35:Q35"/>
    <mergeCell ref="N36:Q36"/>
    <mergeCell ref="N37:Q37"/>
    <mergeCell ref="N38:Q38"/>
    <mergeCell ref="N39:Q39"/>
    <mergeCell ref="N40:Q40"/>
    <mergeCell ref="N41:Q41"/>
    <mergeCell ref="N24:Q24"/>
    <mergeCell ref="N25:Q25"/>
    <mergeCell ref="N26:Q26"/>
    <mergeCell ref="N27:Q27"/>
    <mergeCell ref="N28:Q28"/>
    <mergeCell ref="N29:Q29"/>
    <mergeCell ref="N30:Q30"/>
    <mergeCell ref="N31:Q31"/>
    <mergeCell ref="N32:Q32"/>
    <mergeCell ref="A96:B96"/>
    <mergeCell ref="A97:B97"/>
    <mergeCell ref="A98:B98"/>
    <mergeCell ref="A99:B99"/>
    <mergeCell ref="A78:B78"/>
    <mergeCell ref="A79:B79"/>
    <mergeCell ref="A80:B80"/>
    <mergeCell ref="A81:B81"/>
    <mergeCell ref="A82:B82"/>
    <mergeCell ref="A83:B83"/>
    <mergeCell ref="A84:B84"/>
    <mergeCell ref="A94:B94"/>
    <mergeCell ref="A95:B95"/>
    <mergeCell ref="A85:B85"/>
    <mergeCell ref="A86:B86"/>
    <mergeCell ref="A87:B87"/>
    <mergeCell ref="A88:B88"/>
    <mergeCell ref="A89:B89"/>
    <mergeCell ref="A90:B90"/>
    <mergeCell ref="A91:B91"/>
    <mergeCell ref="A92:B92"/>
    <mergeCell ref="A93:B93"/>
    <mergeCell ref="A21:B21"/>
    <mergeCell ref="C21:D21"/>
    <mergeCell ref="E21:J21"/>
    <mergeCell ref="A18:B18"/>
    <mergeCell ref="C18:D18"/>
    <mergeCell ref="E18:J18"/>
    <mergeCell ref="A19:B19"/>
    <mergeCell ref="C19:D19"/>
    <mergeCell ref="E19:J19"/>
    <mergeCell ref="A20:B20"/>
    <mergeCell ref="C20:D20"/>
    <mergeCell ref="E20:J20"/>
    <mergeCell ref="E60:J60"/>
    <mergeCell ref="A70:B70"/>
    <mergeCell ref="A71:B71"/>
    <mergeCell ref="A72:B72"/>
    <mergeCell ref="A73:B73"/>
    <mergeCell ref="A74:B74"/>
    <mergeCell ref="A75:B75"/>
    <mergeCell ref="A76:B76"/>
    <mergeCell ref="A77:B77"/>
    <mergeCell ref="A65:B65"/>
    <mergeCell ref="A66:B66"/>
    <mergeCell ref="A67:B67"/>
    <mergeCell ref="A68:B68"/>
    <mergeCell ref="A69:B69"/>
    <mergeCell ref="C66:D66"/>
    <mergeCell ref="C67:D67"/>
    <mergeCell ref="C68:D68"/>
    <mergeCell ref="C69:D69"/>
    <mergeCell ref="E69:J69"/>
    <mergeCell ref="E68:J68"/>
    <mergeCell ref="E67:J67"/>
    <mergeCell ref="E66:J66"/>
    <mergeCell ref="E65:J65"/>
    <mergeCell ref="E64:J64"/>
    <mergeCell ref="E78:J78"/>
    <mergeCell ref="E77:J77"/>
    <mergeCell ref="E76:J76"/>
    <mergeCell ref="E75:J75"/>
    <mergeCell ref="E74:J74"/>
    <mergeCell ref="E73:J73"/>
    <mergeCell ref="E72:J72"/>
    <mergeCell ref="E71:J71"/>
    <mergeCell ref="E70:J70"/>
    <mergeCell ref="E99:J99"/>
    <mergeCell ref="E98:J98"/>
    <mergeCell ref="E83:J83"/>
    <mergeCell ref="E82:J82"/>
    <mergeCell ref="E81:J81"/>
    <mergeCell ref="E80:J80"/>
    <mergeCell ref="E79:J79"/>
    <mergeCell ref="E61:J61"/>
    <mergeCell ref="E90:J90"/>
    <mergeCell ref="E89:J89"/>
    <mergeCell ref="E88:J88"/>
    <mergeCell ref="E87:J87"/>
    <mergeCell ref="E86:J86"/>
    <mergeCell ref="E85:J85"/>
    <mergeCell ref="E84:J84"/>
    <mergeCell ref="E97:J97"/>
    <mergeCell ref="E96:J96"/>
    <mergeCell ref="E95:J95"/>
    <mergeCell ref="E94:J94"/>
    <mergeCell ref="E93:J93"/>
    <mergeCell ref="E92:J92"/>
    <mergeCell ref="E91:J91"/>
    <mergeCell ref="E63:J63"/>
    <mergeCell ref="E62:J62"/>
    <mergeCell ref="A16:B16"/>
    <mergeCell ref="C63:D63"/>
    <mergeCell ref="C64:D64"/>
    <mergeCell ref="C65:D65"/>
    <mergeCell ref="A23:B23"/>
    <mergeCell ref="C23:D23"/>
    <mergeCell ref="A26:B26"/>
    <mergeCell ref="C26:D26"/>
    <mergeCell ref="A29:B29"/>
    <mergeCell ref="A64:B64"/>
    <mergeCell ref="C16:J16"/>
    <mergeCell ref="A17:B17"/>
    <mergeCell ref="A22:B22"/>
    <mergeCell ref="A60:B60"/>
    <mergeCell ref="A61:B61"/>
    <mergeCell ref="A62:B62"/>
    <mergeCell ref="A63:B63"/>
    <mergeCell ref="E22:J22"/>
    <mergeCell ref="E17:J17"/>
    <mergeCell ref="C17:D17"/>
    <mergeCell ref="C22:D22"/>
    <mergeCell ref="C60:D60"/>
    <mergeCell ref="C61:D61"/>
    <mergeCell ref="C62:D62"/>
    <mergeCell ref="C70:D70"/>
    <mergeCell ref="C71:D71"/>
    <mergeCell ref="C72:D72"/>
    <mergeCell ref="C73:D73"/>
    <mergeCell ref="C74:D74"/>
    <mergeCell ref="C75:D75"/>
    <mergeCell ref="C82:D82"/>
    <mergeCell ref="C83:D83"/>
    <mergeCell ref="C84:D84"/>
    <mergeCell ref="C97:D97"/>
    <mergeCell ref="C98:D98"/>
    <mergeCell ref="C99:D99"/>
    <mergeCell ref="C93:D93"/>
    <mergeCell ref="C94:D94"/>
    <mergeCell ref="C95:D95"/>
    <mergeCell ref="C96:D96"/>
    <mergeCell ref="C76:D76"/>
    <mergeCell ref="C77:D77"/>
    <mergeCell ref="C78:D78"/>
    <mergeCell ref="C86:D86"/>
    <mergeCell ref="C87:D87"/>
    <mergeCell ref="C91:D91"/>
    <mergeCell ref="C92:D92"/>
    <mergeCell ref="C79:D79"/>
    <mergeCell ref="C80:D80"/>
    <mergeCell ref="C81:D81"/>
    <mergeCell ref="C88:D88"/>
    <mergeCell ref="C89:D89"/>
    <mergeCell ref="C90:D90"/>
    <mergeCell ref="C85:D85"/>
    <mergeCell ref="N4:O4"/>
    <mergeCell ref="P4:Q4"/>
    <mergeCell ref="A4:B4"/>
    <mergeCell ref="C4:D4"/>
    <mergeCell ref="E4:F4"/>
    <mergeCell ref="G4:H4"/>
    <mergeCell ref="G5:H5"/>
    <mergeCell ref="E5:F5"/>
    <mergeCell ref="C5:D5"/>
    <mergeCell ref="A5:B5"/>
    <mergeCell ref="I4:J4"/>
    <mergeCell ref="I5:J5"/>
    <mergeCell ref="K4:M4"/>
    <mergeCell ref="K5:M5"/>
    <mergeCell ref="E23:J23"/>
    <mergeCell ref="A24:B24"/>
    <mergeCell ref="C24:D24"/>
    <mergeCell ref="E24:J24"/>
    <mergeCell ref="A25:B25"/>
    <mergeCell ref="C25:D25"/>
    <mergeCell ref="E25:J25"/>
    <mergeCell ref="N16:Q16"/>
    <mergeCell ref="P5:Q5"/>
    <mergeCell ref="N5:O5"/>
    <mergeCell ref="I7:K7"/>
    <mergeCell ref="A12:C12"/>
    <mergeCell ref="A9:C9"/>
    <mergeCell ref="A10:C10"/>
    <mergeCell ref="A11:C11"/>
    <mergeCell ref="A7:C8"/>
    <mergeCell ref="D7:H7"/>
    <mergeCell ref="N17:Q17"/>
    <mergeCell ref="N18:Q18"/>
    <mergeCell ref="N19:Q19"/>
    <mergeCell ref="N20:Q20"/>
    <mergeCell ref="N21:Q21"/>
    <mergeCell ref="N22:Q22"/>
    <mergeCell ref="N23:Q23"/>
    <mergeCell ref="C29:D29"/>
    <mergeCell ref="E29:J29"/>
    <mergeCell ref="A30:B30"/>
    <mergeCell ref="C30:D30"/>
    <mergeCell ref="E30:J30"/>
    <mergeCell ref="A31:B31"/>
    <mergeCell ref="C31:D31"/>
    <mergeCell ref="E31:J31"/>
    <mergeCell ref="E26:J26"/>
    <mergeCell ref="A27:B27"/>
    <mergeCell ref="C27:D27"/>
    <mergeCell ref="E27:J27"/>
    <mergeCell ref="A28:B28"/>
    <mergeCell ref="C28:D28"/>
    <mergeCell ref="E28:J28"/>
    <mergeCell ref="A32:B32"/>
    <mergeCell ref="C32:D32"/>
    <mergeCell ref="E32:J32"/>
    <mergeCell ref="A33:B33"/>
    <mergeCell ref="C33:D33"/>
    <mergeCell ref="E33:J33"/>
    <mergeCell ref="A34:B34"/>
    <mergeCell ref="C34:D34"/>
    <mergeCell ref="E34:J34"/>
    <mergeCell ref="A35:B35"/>
    <mergeCell ref="C35:D35"/>
    <mergeCell ref="E35:J35"/>
    <mergeCell ref="A36:B36"/>
    <mergeCell ref="C36:D36"/>
    <mergeCell ref="E36:J36"/>
    <mergeCell ref="A37:B37"/>
    <mergeCell ref="C37:D37"/>
    <mergeCell ref="E37:J37"/>
    <mergeCell ref="A38:B38"/>
    <mergeCell ref="C38:D38"/>
    <mergeCell ref="E38:J38"/>
    <mergeCell ref="A39:B39"/>
    <mergeCell ref="C39:D39"/>
    <mergeCell ref="E39:J39"/>
    <mergeCell ref="A40:B40"/>
    <mergeCell ref="C40:D40"/>
    <mergeCell ref="E40:J40"/>
    <mergeCell ref="A41:B41"/>
    <mergeCell ref="C41:D41"/>
    <mergeCell ref="E41:J41"/>
    <mergeCell ref="A42:B42"/>
    <mergeCell ref="C42:D42"/>
    <mergeCell ref="E42:J42"/>
    <mergeCell ref="A43:B43"/>
    <mergeCell ref="C43:D43"/>
    <mergeCell ref="E43:J43"/>
    <mergeCell ref="A44:B44"/>
    <mergeCell ref="C44:D44"/>
    <mergeCell ref="E44:J44"/>
    <mergeCell ref="A45:B45"/>
    <mergeCell ref="C45:D45"/>
    <mergeCell ref="E45:J45"/>
    <mergeCell ref="A46:B46"/>
    <mergeCell ref="C46:D46"/>
    <mergeCell ref="E46:J46"/>
    <mergeCell ref="A47:B47"/>
    <mergeCell ref="C47:D47"/>
    <mergeCell ref="E47:J47"/>
    <mergeCell ref="A48:B48"/>
    <mergeCell ref="C48:D48"/>
    <mergeCell ref="E48:J48"/>
    <mergeCell ref="A49:B49"/>
    <mergeCell ref="C49:D49"/>
    <mergeCell ref="E49:J49"/>
    <mergeCell ref="A50:B50"/>
    <mergeCell ref="C50:D50"/>
    <mergeCell ref="E50:J50"/>
    <mergeCell ref="A51:B51"/>
    <mergeCell ref="C51:D51"/>
    <mergeCell ref="E51:J51"/>
    <mergeCell ref="A52:B52"/>
    <mergeCell ref="C52:D52"/>
    <mergeCell ref="E52:J52"/>
    <mergeCell ref="A53:B53"/>
    <mergeCell ref="C53:D53"/>
    <mergeCell ref="E53:J53"/>
    <mergeCell ref="A54:B54"/>
    <mergeCell ref="C54:D54"/>
    <mergeCell ref="E54:J54"/>
    <mergeCell ref="A55:B55"/>
    <mergeCell ref="C55:D55"/>
    <mergeCell ref="E55:J55"/>
    <mergeCell ref="A59:B59"/>
    <mergeCell ref="C59:D59"/>
    <mergeCell ref="E59:J59"/>
    <mergeCell ref="A56:B56"/>
    <mergeCell ref="C56:D56"/>
    <mergeCell ref="E56:J56"/>
    <mergeCell ref="A57:B57"/>
    <mergeCell ref="C57:D57"/>
    <mergeCell ref="E57:J57"/>
    <mergeCell ref="A58:B58"/>
    <mergeCell ref="C58:D58"/>
    <mergeCell ref="E58:J58"/>
  </mergeCells>
  <phoneticPr fontId="1" type="noConversion"/>
  <conditionalFormatting sqref="M17">
    <cfRule type="cellIs" dxfId="9" priority="6" operator="equal">
      <formula>"인터뷰"</formula>
    </cfRule>
    <cfRule type="cellIs" dxfId="8" priority="7" operator="equal">
      <formula>"인터뷰"</formula>
    </cfRule>
    <cfRule type="cellIs" dxfId="7" priority="8" stopIfTrue="1" operator="equal">
      <formula>"취약"</formula>
    </cfRule>
    <cfRule type="cellIs" dxfId="6" priority="9" stopIfTrue="1" operator="equal">
      <formula>"부분만족"</formula>
    </cfRule>
    <cfRule type="cellIs" dxfId="5" priority="10" stopIfTrue="1" operator="equal">
      <formula>"N/A"</formula>
    </cfRule>
  </conditionalFormatting>
  <conditionalFormatting sqref="M18:M99">
    <cfRule type="cellIs" dxfId="4" priority="1" operator="equal">
      <formula>"인터뷰"</formula>
    </cfRule>
    <cfRule type="cellIs" dxfId="3" priority="2" operator="equal">
      <formula>"인터뷰"</formula>
    </cfRule>
    <cfRule type="cellIs" dxfId="2" priority="3" stopIfTrue="1" operator="equal">
      <formula>"취약"</formula>
    </cfRule>
    <cfRule type="cellIs" dxfId="1" priority="4" stopIfTrue="1" operator="equal">
      <formula>"부분만족"</formula>
    </cfRule>
    <cfRule type="cellIs" dxfId="0" priority="5" stopIfTrue="1" operator="equal">
      <formula>"N/A"</formula>
    </cfRule>
  </conditionalFormatting>
  <dataValidations count="2">
    <dataValidation allowBlank="1" showInputMessage="1" showErrorMessage="1" errorTitle="잘못된 입력값" error="&quot;Y&quot;, &quot;N&quot;, &quot;P&quot;, &quot;N/A&quot; 로 입력해 주세요." sqref="M983066:M983138 M65562:M65634 M131098:M131170 M196634:M196706 M262170:M262242 M327706:M327778 M393242:M393314 M458778:M458850 M524314:M524386 M589850:M589922 M655386:M655458 M720922:M720994 M786458:M786530 M851994:M852066 M917530:M917602" xr:uid="{00000000-0002-0000-0E00-000000000000}"/>
    <dataValidation type="list" showInputMessage="1" showErrorMessage="1" errorTitle="잘못된 입력값" error="양호, 취약, 부분만족, N/A 만 입력 가능합니다." sqref="M17:M99" xr:uid="{00000000-0002-0000-0E00-000001000000}">
      <formula1>"양호,취약,부분만족,N/A,인터뷰"</formula1>
    </dataValidation>
  </dataValidations>
  <printOptions horizontalCentered="1"/>
  <pageMargins left="0.39370078740157483" right="0.39370078740157483" top="0.59055118110236227" bottom="0.59055118110236227" header="0.19685039370078741" footer="0.19685039370078741"/>
  <pageSetup paperSize="9" scale="67" fitToHeight="0" orientation="portrait" r:id="rId1"/>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1"/>
  </sheetPr>
  <dimension ref="A1:G2"/>
  <sheetViews>
    <sheetView workbookViewId="0">
      <selection sqref="A1:G1"/>
    </sheetView>
  </sheetViews>
  <sheetFormatPr defaultColWidth="9" defaultRowHeight="13.5"/>
  <cols>
    <col min="1" max="16384" width="9" style="2"/>
  </cols>
  <sheetData>
    <row r="1" spans="1:7" ht="24">
      <c r="A1" s="541" t="s">
        <v>803</v>
      </c>
      <c r="B1" s="541"/>
      <c r="C1" s="541"/>
      <c r="D1" s="541"/>
      <c r="E1" s="541"/>
      <c r="F1" s="541"/>
      <c r="G1" s="541"/>
    </row>
    <row r="2" spans="1:7" ht="24">
      <c r="A2" s="180"/>
      <c r="B2" s="180"/>
      <c r="C2" s="180"/>
      <c r="D2" s="180"/>
      <c r="E2" s="180"/>
      <c r="F2" s="180"/>
      <c r="G2" s="180"/>
    </row>
  </sheetData>
  <mergeCells count="1">
    <mergeCell ref="A1:G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16</vt:i4>
      </vt:variant>
      <vt:variant>
        <vt:lpstr>이름 지정된 범위</vt:lpstr>
      </vt:variant>
      <vt:variant>
        <vt:i4>17</vt:i4>
      </vt:variant>
    </vt:vector>
  </HeadingPairs>
  <TitlesOfParts>
    <vt:vector size="33" baseType="lpstr">
      <vt:lpstr>#삭제. 설명서</vt:lpstr>
      <vt:lpstr>#숨김. WINDOWS 서버 보안 가이드</vt:lpstr>
      <vt:lpstr>#숨김. 위협목록</vt:lpstr>
      <vt:lpstr>표지</vt:lpstr>
      <vt:lpstr>개정이력</vt:lpstr>
      <vt:lpstr>개요</vt:lpstr>
      <vt:lpstr>점검대상</vt:lpstr>
      <vt:lpstr>보안수준 통계</vt:lpstr>
      <vt:lpstr>요약 통계</vt:lpstr>
      <vt:lpstr>#삭제. 항목별 취약 시스템</vt:lpstr>
      <vt:lpstr>#숨김. 전년도 점검 결과</vt:lpstr>
      <vt:lpstr>결과 비교</vt:lpstr>
      <vt:lpstr>#삭제. 결과가져오기</vt:lpstr>
      <vt:lpstr>통합 점검결과</vt:lpstr>
      <vt:lpstr>WINDOWS(샘플)</vt:lpstr>
      <vt:lpstr>END</vt:lpstr>
      <vt:lpstr>'#삭제. 결과가져오기'!Print_Area</vt:lpstr>
      <vt:lpstr>'#삭제. 설명서'!Print_Area</vt:lpstr>
      <vt:lpstr>'#삭제. 항목별 취약 시스템'!Print_Area</vt:lpstr>
      <vt:lpstr>'#숨김. WINDOWS 서버 보안 가이드'!Print_Area</vt:lpstr>
      <vt:lpstr>'#숨김. 위협목록'!Print_Area</vt:lpstr>
      <vt:lpstr>'#숨김. 전년도 점검 결과'!Print_Area</vt:lpstr>
      <vt:lpstr>'WINDOWS(샘플)'!Print_Area</vt:lpstr>
      <vt:lpstr>개요!Print_Area</vt:lpstr>
      <vt:lpstr>개정이력!Print_Area</vt:lpstr>
      <vt:lpstr>'결과 비교'!Print_Area</vt:lpstr>
      <vt:lpstr>'보안수준 통계'!Print_Area</vt:lpstr>
      <vt:lpstr>'요약 통계'!Print_Area</vt:lpstr>
      <vt:lpstr>점검대상!Print_Area</vt:lpstr>
      <vt:lpstr>'통합 점검결과'!Print_Area</vt:lpstr>
      <vt:lpstr>표지!Print_Area</vt:lpstr>
      <vt:lpstr>'#숨김. 위협목록'!Print_Titles</vt:lpstr>
      <vt:lpstr>'요약 통계'!Print_Titles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ICTIS</dc:creator>
  <cp:keywords/>
  <dc:description/>
  <cp:lastModifiedBy>Lynsecure</cp:lastModifiedBy>
  <cp:revision/>
  <cp:lastPrinted>2023-04-03T05:52:43Z</cp:lastPrinted>
  <dcterms:created xsi:type="dcterms:W3CDTF">2017-02-20T08:28:44Z</dcterms:created>
  <dcterms:modified xsi:type="dcterms:W3CDTF">2025-04-16T07:54:45Z</dcterms:modified>
  <cp:category/>
  <cp:contentStatus/>
</cp:coreProperties>
</file>